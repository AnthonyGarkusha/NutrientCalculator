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Фрукты" sheetId="1" r:id="rId4"/>
    <sheet state="visible" name="Овощи" sheetId="2" r:id="rId5"/>
    <sheet state="visible" name="Орехи и семена" sheetId="3" r:id="rId6"/>
    <sheet state="visible" name="Зерновые" sheetId="4" r:id="rId7"/>
    <sheet state="visible" name="Бобовые" sheetId="5" r:id="rId8"/>
    <sheet state="visible" name="Грибы" sheetId="6" r:id="rId9"/>
    <sheet state="visible" name="Масла" sheetId="7" r:id="rId10"/>
    <sheet state="visible" name="Травы и специи" sheetId="8" r:id="rId11"/>
    <sheet state="visible" name="Добавки" sheetId="9" r:id="rId12"/>
    <sheet state="visible" name="Психоактивы" sheetId="10" r:id="rId13"/>
    <sheet state="visible" name="Животные" sheetId="11" r:id="rId14"/>
    <sheet state="visible" name="ИТОГО" sheetId="12" r:id="rId15"/>
  </sheets>
  <definedNames/>
  <calcPr/>
  <extLst>
    <ext uri="GoogleSheetsCustomDataVersion2">
      <go:sheetsCustomData xmlns:go="http://customooxmlschemas.google.com/" r:id="rId16" roundtripDataChecksum="KWrY8eNd2LOZe9zgrsrTuRly0pUYP31Yr3QyNe0jI30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O67">
      <text>
        <t xml:space="preserve">======
ID#AAAAf1_cl4Y
VeganWorld.ru    (2022-09-13 17:59:40)
Значение не верное (ниже действительного) по причине отсутствия в базе достаточных данных по линолевой кислоте.</t>
      </text>
    </comment>
    <comment authorId="0" ref="O23">
      <text>
        <t xml:space="preserve">======
ID#AAAAf1_cl4U
VeganWorld.ru    (2022-09-13 17:59:40)
Значение не верное (существенно ниже действительного) по причине отсутствия в базе достаточных данных по фтору.</t>
      </text>
    </comment>
    <comment authorId="0" ref="O40">
      <text>
        <t xml:space="preserve">======
ID#AAAAf1_cl4Q
VeganWorld.ru    (2022-09-13 17:59:40)
Значение не верное (существенно ниже действительного) по причине отсутствия в базе достаточных данных по бетаину.</t>
      </text>
    </comment>
    <comment authorId="0" ref="O39">
      <text>
        <t xml:space="preserve">======
ID#AAAAf1_cl4M
VeganWorld.ru    (2022-09-13 17:59:40)
Значение не верное (ниже действительного) по причине отсутствия в базе достаточных данных по холину.</t>
      </text>
    </comment>
    <comment authorId="0" ref="O66">
      <text>
        <t xml:space="preserve">======
ID#AAAAf1_cl4I
VeganWorld.ru    (2022-09-13 17:59:40)
Значение не верное (ниже действительного) по причине отсутствия в базе достаточных данных по линоленовой кислоте.</t>
      </text>
    </comment>
  </commentList>
  <extLst>
    <ext uri="GoogleSheetsCustomDataVersion2">
      <go:sheetsCustomData xmlns:go="http://customooxmlschemas.google.com/" r:id="rId1" roundtripDataSignature="AMtx7mhmkOVVJ+CdgvUZbIEz4v0YMCgZRA=="/>
    </ext>
  </extLst>
</comments>
</file>

<file path=xl/sharedStrings.xml><?xml version="1.0" encoding="utf-8"?>
<sst xmlns="http://schemas.openxmlformats.org/spreadsheetml/2006/main" count="2420" uniqueCount="668">
  <si>
    <t>Таблица-калькулятор</t>
  </si>
  <si>
    <t>Яблоко</t>
  </si>
  <si>
    <t>Груша</t>
  </si>
  <si>
    <t>Банан</t>
  </si>
  <si>
    <t>Апельсин</t>
  </si>
  <si>
    <t>Мандарин</t>
  </si>
  <si>
    <t>Лимон</t>
  </si>
  <si>
    <t>Грейпфрут</t>
  </si>
  <si>
    <t>Абрикос</t>
  </si>
  <si>
    <t>Персик</t>
  </si>
  <si>
    <t>Киви</t>
  </si>
  <si>
    <t>Вишня</t>
  </si>
  <si>
    <t>Черешня</t>
  </si>
  <si>
    <t>Слива</t>
  </si>
  <si>
    <t>Арбуз</t>
  </si>
  <si>
    <t>Дыня</t>
  </si>
  <si>
    <t>Виноград</t>
  </si>
  <si>
    <t>Изюм</t>
  </si>
  <si>
    <t>Клубника</t>
  </si>
  <si>
    <t>Малина</t>
  </si>
  <si>
    <t>Ежевика</t>
  </si>
  <si>
    <t>Смородина</t>
  </si>
  <si>
    <t>Манго</t>
  </si>
  <si>
    <t>Ананас</t>
  </si>
  <si>
    <t>Авокадо</t>
  </si>
  <si>
    <t>Гранат</t>
  </si>
  <si>
    <t>Финик</t>
  </si>
  <si>
    <t>Инжир (фига)</t>
  </si>
  <si>
    <t>Хурма японская</t>
  </si>
  <si>
    <t>Олива</t>
  </si>
  <si>
    <t>Айва</t>
  </si>
  <si>
    <t>Шелковица</t>
  </si>
  <si>
    <t>Ревень</t>
  </si>
  <si>
    <t>Голубика</t>
  </si>
  <si>
    <t>Крыжовник</t>
  </si>
  <si>
    <t>Клюква</t>
  </si>
  <si>
    <t>Бузина</t>
  </si>
  <si>
    <t>Папайя</t>
  </si>
  <si>
    <t>Маракуйя (пурпур.)</t>
  </si>
  <si>
    <t>Фейхоа</t>
  </si>
  <si>
    <t>Кивано (рогатая дыня)</t>
  </si>
  <si>
    <t>Нектарин</t>
  </si>
  <si>
    <t>Клементин</t>
  </si>
  <si>
    <t>Помело (Шеддок)</t>
  </si>
  <si>
    <t>питательных веществ</t>
  </si>
  <si>
    <t>сырое</t>
  </si>
  <si>
    <t>сырое б/к</t>
  </si>
  <si>
    <t>вар., б/к</t>
  </si>
  <si>
    <t>микров.</t>
  </si>
  <si>
    <t>конс., сах.</t>
  </si>
  <si>
    <t>морож.</t>
  </si>
  <si>
    <t>сушён.</t>
  </si>
  <si>
    <t>сырая</t>
  </si>
  <si>
    <t>конс. б/с</t>
  </si>
  <si>
    <t>конс. сироп</t>
  </si>
  <si>
    <t>сырой</t>
  </si>
  <si>
    <t>свеж. сок</t>
  </si>
  <si>
    <t>конс. сок б/с</t>
  </si>
  <si>
    <t>кожура</t>
  </si>
  <si>
    <t>сушёный</t>
  </si>
  <si>
    <t>консерв.</t>
  </si>
  <si>
    <t>сырой голд</t>
  </si>
  <si>
    <t>сырой грин</t>
  </si>
  <si>
    <t>морож. с сах.</t>
  </si>
  <si>
    <t>чёрнослив</t>
  </si>
  <si>
    <t>обыкн.</t>
  </si>
  <si>
    <t>кассаба</t>
  </si>
  <si>
    <t>томпсон</t>
  </si>
  <si>
    <t>американ</t>
  </si>
  <si>
    <t>сок конс.</t>
  </si>
  <si>
    <t>с кост.</t>
  </si>
  <si>
    <t>без кост.</t>
  </si>
  <si>
    <t>голден б/к</t>
  </si>
  <si>
    <t>морож. с сахаром</t>
  </si>
  <si>
    <t>конс. сок</t>
  </si>
  <si>
    <t>чёрная</t>
  </si>
  <si>
    <t>красная / белая</t>
  </si>
  <si>
    <t>сушёная</t>
  </si>
  <si>
    <t>нектар конс.</t>
  </si>
  <si>
    <t>сок бутыл.</t>
  </si>
  <si>
    <t>Меджул</t>
  </si>
  <si>
    <t>Деглет Нур</t>
  </si>
  <si>
    <t>сушёный, сырой</t>
  </si>
  <si>
    <t>сушёный, вяленый</t>
  </si>
  <si>
    <t>сол., зел., конс.</t>
  </si>
  <si>
    <t>сок</t>
  </si>
  <si>
    <t>сушёная в сахаре</t>
  </si>
  <si>
    <t>сок свеж.</t>
  </si>
  <si>
    <t>Рацион, г (ваши данные):</t>
  </si>
  <si>
    <t>Общие</t>
  </si>
  <si>
    <t>Норма</t>
  </si>
  <si>
    <t>Максимум</t>
  </si>
  <si>
    <t>Вода, г</t>
  </si>
  <si>
    <t>2700-3700</t>
  </si>
  <si>
    <t>Энергия, кКал</t>
  </si>
  <si>
    <t>1800-2500</t>
  </si>
  <si>
    <t>Белки, г</t>
  </si>
  <si>
    <t>0,8 г/кг</t>
  </si>
  <si>
    <t>2-2,5 г/кг</t>
  </si>
  <si>
    <t>Жиры, г</t>
  </si>
  <si>
    <t>неизв.</t>
  </si>
  <si>
    <t>Углеводы, г</t>
  </si>
  <si>
    <t>130-210</t>
  </si>
  <si>
    <t>Волокна, г</t>
  </si>
  <si>
    <t>М:38; Ж:25</t>
  </si>
  <si>
    <t>Сахара, г</t>
  </si>
  <si>
    <t>Минералы</t>
  </si>
  <si>
    <t>Кальций, Ca, мг</t>
  </si>
  <si>
    <t>Железо, Fe, мг</t>
  </si>
  <si>
    <t>М:8; Ж:18</t>
  </si>
  <si>
    <t>45</t>
  </si>
  <si>
    <t>Магний, Mg, мг</t>
  </si>
  <si>
    <t>320-420</t>
  </si>
  <si>
    <t>Фосфор, P, мг</t>
  </si>
  <si>
    <t>700</t>
  </si>
  <si>
    <t>Калий, K, мг</t>
  </si>
  <si>
    <t>4700</t>
  </si>
  <si>
    <t>Натрий, Na, мг</t>
  </si>
  <si>
    <t>1500</t>
  </si>
  <si>
    <t>Цинк, Zn, мг</t>
  </si>
  <si>
    <t>8-11</t>
  </si>
  <si>
    <t>Медь, Cu, мг</t>
  </si>
  <si>
    <t>0,9</t>
  </si>
  <si>
    <t>Марганец, Mn, мг</t>
  </si>
  <si>
    <t>1,8-2,3</t>
  </si>
  <si>
    <t>Селен, Se, мкг</t>
  </si>
  <si>
    <t>55</t>
  </si>
  <si>
    <t>Фтор, F, мкг</t>
  </si>
  <si>
    <t>3000-4000</t>
  </si>
  <si>
    <t>10000</t>
  </si>
  <si>
    <t>Витамины</t>
  </si>
  <si>
    <t>C, аскорбиновая к-та, мг</t>
  </si>
  <si>
    <t>B1, тиамин, мг</t>
  </si>
  <si>
    <t>1,2</t>
  </si>
  <si>
    <t>B2, рибофлавин, мг</t>
  </si>
  <si>
    <t>1,3</t>
  </si>
  <si>
    <t>B3, ниацин, мг</t>
  </si>
  <si>
    <t>16</t>
  </si>
  <si>
    <t>30-35</t>
  </si>
  <si>
    <t>B6, пиридоксин, мг</t>
  </si>
  <si>
    <t>100</t>
  </si>
  <si>
    <t>B9, фолаты, мкг</t>
  </si>
  <si>
    <t>400</t>
  </si>
  <si>
    <t>В12, кобаламин, мкг</t>
  </si>
  <si>
    <t>2,4</t>
  </si>
  <si>
    <t>A, ретинол, мкг</t>
  </si>
  <si>
    <t>А, ретинол, МЕ</t>
  </si>
  <si>
    <t>E, α-токоферол, мг</t>
  </si>
  <si>
    <t>15</t>
  </si>
  <si>
    <t>D (D2+D3), мкг</t>
  </si>
  <si>
    <t>5-15</t>
  </si>
  <si>
    <t>D, МЕ</t>
  </si>
  <si>
    <t>K, филлохинон, мкг</t>
  </si>
  <si>
    <t>B5, пантотеновая к-та, мг</t>
  </si>
  <si>
    <t>5</t>
  </si>
  <si>
    <t>В4, холин, мг</t>
  </si>
  <si>
    <t>425-550</t>
  </si>
  <si>
    <t>Бетаин, мг</t>
  </si>
  <si>
    <t>Жирные кислоты</t>
  </si>
  <si>
    <t>Насыщенные,  г</t>
  </si>
  <si>
    <t>0 или мин.</t>
  </si>
  <si>
    <t>7-10%</t>
  </si>
  <si>
    <t>Мононенасыщенные,  г</t>
  </si>
  <si>
    <t>Полиненасыщенные,  г</t>
  </si>
  <si>
    <t>Холестерин, мг</t>
  </si>
  <si>
    <t>200-300</t>
  </si>
  <si>
    <t>Аминокислоты</t>
  </si>
  <si>
    <t>г на кг веса</t>
  </si>
  <si>
    <t>Триптофан, г</t>
  </si>
  <si>
    <t>0,004 г/кг</t>
  </si>
  <si>
    <t>Треонин, г</t>
  </si>
  <si>
    <t>0,015 г/кг</t>
  </si>
  <si>
    <t>Изолейцин, г</t>
  </si>
  <si>
    <t>0,02 г/кг</t>
  </si>
  <si>
    <t>Лейцин, г</t>
  </si>
  <si>
    <t>0,039 г/кг</t>
  </si>
  <si>
    <t>Лизин, г</t>
  </si>
  <si>
    <t>0,03 г/кг</t>
  </si>
  <si>
    <t>Метионин, г</t>
  </si>
  <si>
    <t>0,014 г/кг</t>
  </si>
  <si>
    <t>Цистин, г</t>
  </si>
  <si>
    <t>0,0041 г/кг</t>
  </si>
  <si>
    <t>Фенилаланин, г</t>
  </si>
  <si>
    <t>0,025 г/кг</t>
  </si>
  <si>
    <t>Тирозин, г</t>
  </si>
  <si>
    <t>Валин, г</t>
  </si>
  <si>
    <t>0,026 г/кг</t>
  </si>
  <si>
    <t>Аргинин, г</t>
  </si>
  <si>
    <t>Гистидин, г</t>
  </si>
  <si>
    <t>0,01 г / кг</t>
  </si>
  <si>
    <t>Аланин, г</t>
  </si>
  <si>
    <t>Аспарагиновая кислота, г</t>
  </si>
  <si>
    <t>Глутаминовая кислота, г</t>
  </si>
  <si>
    <t>Глицин, г</t>
  </si>
  <si>
    <t>Пролин, г</t>
  </si>
  <si>
    <t>Серин, г</t>
  </si>
  <si>
    <t>Таблица составлена по данным USDA National Nutrient Database национальной сельскохозяйственной библиотеки США (NAL, учр. USDA). Данные были получены в исследовательской лабаратории USDA Nutrient Data Labaratory.</t>
  </si>
  <si>
    <t>http://www.ars.usda.gov/</t>
  </si>
  <si>
    <t>http://ndb.nal.usda.gov/</t>
  </si>
  <si>
    <t>Нормы и максимумы: Food and Nutrition Board, Institute of Medicine, National Academies.</t>
  </si>
  <si>
    <t>http://www.iom.edu/</t>
  </si>
  <si>
    <t xml:space="preserve">Мы выбираем мир без насилия, здоровье и жизнь! </t>
  </si>
  <si>
    <t>http://veganworld.ru/</t>
  </si>
  <si>
    <t>Помидор</t>
  </si>
  <si>
    <t>Огурец</t>
  </si>
  <si>
    <t>Перец сладкий</t>
  </si>
  <si>
    <t>Картофель</t>
  </si>
  <si>
    <t>Капуста белокачанная</t>
  </si>
  <si>
    <t>Капуста краснокачанная</t>
  </si>
  <si>
    <t>Капуста пекинская</t>
  </si>
  <si>
    <t>Капуста савойская</t>
  </si>
  <si>
    <t>Цветная капуста</t>
  </si>
  <si>
    <t>Брокколи</t>
  </si>
  <si>
    <t>Кольраби</t>
  </si>
  <si>
    <t>Брюссельская капуста</t>
  </si>
  <si>
    <t>Морковь</t>
  </si>
  <si>
    <t>Свекла</t>
  </si>
  <si>
    <t>Кабачок летний</t>
  </si>
  <si>
    <t>Кабачок зимний</t>
  </si>
  <si>
    <t>Кабачок цуккини</t>
  </si>
  <si>
    <t>Тыква</t>
  </si>
  <si>
    <t>Баклажан</t>
  </si>
  <si>
    <t>Редис</t>
  </si>
  <si>
    <t>Редис ледяная сосулька</t>
  </si>
  <si>
    <t>Редька дайкон</t>
  </si>
  <si>
    <t>Спаржа</t>
  </si>
  <si>
    <t>Шпинат</t>
  </si>
  <si>
    <t>Салат-латук</t>
  </si>
  <si>
    <t>Щавель</t>
  </si>
  <si>
    <t>Сельдерей</t>
  </si>
  <si>
    <t>Лук</t>
  </si>
  <si>
    <t>Лук зелёный</t>
  </si>
  <si>
    <t>Лук-батун</t>
  </si>
  <si>
    <t>Лук-шалот</t>
  </si>
  <si>
    <t>Лук-порей</t>
  </si>
  <si>
    <t>Чеснок</t>
  </si>
  <si>
    <t>Пастернак</t>
  </si>
  <si>
    <t>Топинамбур</t>
  </si>
  <si>
    <t>Артишок</t>
  </si>
  <si>
    <t>Репа</t>
  </si>
  <si>
    <t>Листья репы</t>
  </si>
  <si>
    <t>Батат (сладкий картофель)</t>
  </si>
  <si>
    <t>Брюква</t>
  </si>
  <si>
    <t>Мангольд</t>
  </si>
  <si>
    <t>Агар</t>
  </si>
  <si>
    <t>Спирулина</t>
  </si>
  <si>
    <t>Ламинария (морская капуста)</t>
  </si>
  <si>
    <t>Нори (порфира)</t>
  </si>
  <si>
    <t>Вакамэ (ундария перистая)</t>
  </si>
  <si>
    <t>Ирландский мох (карраген)</t>
  </si>
  <si>
    <t>Физалис</t>
  </si>
  <si>
    <t>Эндивий</t>
  </si>
  <si>
    <t>Фенхель</t>
  </si>
  <si>
    <t>красный</t>
  </si>
  <si>
    <t>оранжевый</t>
  </si>
  <si>
    <t>жёлтый</t>
  </si>
  <si>
    <t>зелёный</t>
  </si>
  <si>
    <t>тушёный с солью</t>
  </si>
  <si>
    <t>сок конс. без соли</t>
  </si>
  <si>
    <t>суш. на солнце</t>
  </si>
  <si>
    <t>сырой с/к</t>
  </si>
  <si>
    <t>сырой без/к</t>
  </si>
  <si>
    <t>солёный, квашеный</t>
  </si>
  <si>
    <t>солёный, кошерный</t>
  </si>
  <si>
    <t xml:space="preserve">сотэ </t>
  </si>
  <si>
    <t xml:space="preserve">морож. </t>
  </si>
  <si>
    <t>варёный без соли</t>
  </si>
  <si>
    <t>печ. б/к</t>
  </si>
  <si>
    <t>печ. с/к</t>
  </si>
  <si>
    <t>варёный</t>
  </si>
  <si>
    <t>в мунд.</t>
  </si>
  <si>
    <t>варёная</t>
  </si>
  <si>
    <t>квашеная</t>
  </si>
  <si>
    <t>кв. малос.</t>
  </si>
  <si>
    <t>морож., пригот.</t>
  </si>
  <si>
    <t>солён./марин.</t>
  </si>
  <si>
    <t>печёный</t>
  </si>
  <si>
    <t>сырой с кож.</t>
  </si>
  <si>
    <t>варёный с кож.</t>
  </si>
  <si>
    <t>морож., приготов.</t>
  </si>
  <si>
    <t>сырые</t>
  </si>
  <si>
    <t>варёные</t>
  </si>
  <si>
    <t>варёный б/к</t>
  </si>
  <si>
    <t>печёный с/к</t>
  </si>
  <si>
    <t>Грецкий орех</t>
  </si>
  <si>
    <t>Лесной орех / фундук</t>
  </si>
  <si>
    <t>Миндаль</t>
  </si>
  <si>
    <t>Кешью</t>
  </si>
  <si>
    <t>Фисташка</t>
  </si>
  <si>
    <t>Арахис</t>
  </si>
  <si>
    <t>Бразильский орех</t>
  </si>
  <si>
    <t>Кедровый орех</t>
  </si>
  <si>
    <t>Кокос</t>
  </si>
  <si>
    <t>Подсолнечника семя</t>
  </si>
  <si>
    <t>Тыквы и кабачка семя</t>
  </si>
  <si>
    <t>Льна семя</t>
  </si>
  <si>
    <t>Кунжут (без кожуры)</t>
  </si>
  <si>
    <t>Кунжут (с кожурой)</t>
  </si>
  <si>
    <t>Мака семя</t>
  </si>
  <si>
    <t>бланшир.</t>
  </si>
  <si>
    <t>жареный</t>
  </si>
  <si>
    <t>сырой, сушён.</t>
  </si>
  <si>
    <t>мякоть сырая</t>
  </si>
  <si>
    <t>мякоть сушёная</t>
  </si>
  <si>
    <t>жидкость</t>
  </si>
  <si>
    <t>молоко</t>
  </si>
  <si>
    <r>
      <rPr>
        <rFont val="Calibri"/>
        <b/>
        <color theme="1"/>
        <sz val="11.0"/>
      </rPr>
      <t xml:space="preserve">Незамен. жирные к-ты </t>
    </r>
    <r>
      <rPr>
        <rFont val="Calibri"/>
        <b val="0"/>
        <i/>
        <color theme="1"/>
        <sz val="10.0"/>
      </rPr>
      <t>(средн. значение)</t>
    </r>
  </si>
  <si>
    <t>Омега-3 (линоленовая), г</t>
  </si>
  <si>
    <t>1,1 - 1,6</t>
  </si>
  <si>
    <t>Омега-6 (линолевая), г</t>
  </si>
  <si>
    <t>12 до 17</t>
  </si>
  <si>
    <t>Пшеница</t>
  </si>
  <si>
    <t>Пшеничная мука</t>
  </si>
  <si>
    <t>Пшеничные изделия</t>
  </si>
  <si>
    <t>Рожь</t>
  </si>
  <si>
    <t>Овёс</t>
  </si>
  <si>
    <t>Рис белый</t>
  </si>
  <si>
    <t>Рис коричневый</t>
  </si>
  <si>
    <t>Рис дикий (цицания)</t>
  </si>
  <si>
    <t>Рисовые изделия</t>
  </si>
  <si>
    <t>Гречиха</t>
  </si>
  <si>
    <t>Пшено</t>
  </si>
  <si>
    <t>Ячмень</t>
  </si>
  <si>
    <t>Кукуруза</t>
  </si>
  <si>
    <t>Попкорн</t>
  </si>
  <si>
    <t>Сорго</t>
  </si>
  <si>
    <t>зародыш, необр. - НЕ ПРОРОСТОК!</t>
  </si>
  <si>
    <t>отруби, необр.</t>
  </si>
  <si>
    <t>пророщенная</t>
  </si>
  <si>
    <t>дурум, твёрдая</t>
  </si>
  <si>
    <t>яровая тверд. красн. (HRS)</t>
  </si>
  <si>
    <t>озимая тверд. красн. (HRW)</t>
  </si>
  <si>
    <t>озимая мягк. красн. (SRW)</t>
  </si>
  <si>
    <t>тверд. бел. (HW)</t>
  </si>
  <si>
    <t>мягк. бел. (SW)</t>
  </si>
  <si>
    <t>цельнозерновая</t>
  </si>
  <si>
    <t>цельн., мягк.</t>
  </si>
  <si>
    <t>отбел., пром., бел.</t>
  </si>
  <si>
    <t>макаронные</t>
  </si>
  <si>
    <t>гот. макароны/спагетти</t>
  </si>
  <si>
    <t>хлеб</t>
  </si>
  <si>
    <t>хлебн. тосты</t>
  </si>
  <si>
    <t>хлеб ц/з по рецепту</t>
  </si>
  <si>
    <t>хлеб ц/з коммерч.</t>
  </si>
  <si>
    <t>хлеб с зарод.</t>
  </si>
  <si>
    <t>хлеб с отруб.</t>
  </si>
  <si>
    <t>зерно</t>
  </si>
  <si>
    <t>мука светлая</t>
  </si>
  <si>
    <t>мука средняя</t>
  </si>
  <si>
    <t>мука тёмная</t>
  </si>
  <si>
    <t>отруби сырые</t>
  </si>
  <si>
    <t>отруби проготовл.</t>
  </si>
  <si>
    <t>хлопья сухие, необогащ.</t>
  </si>
  <si>
    <t>хлопья приготовл., необогащ.</t>
  </si>
  <si>
    <t>мука очищ.</t>
  </si>
  <si>
    <t>хлеб из отрубей</t>
  </si>
  <si>
    <t>кругл. сырой</t>
  </si>
  <si>
    <t>кругл. варёный</t>
  </si>
  <si>
    <t>длин. сырой</t>
  </si>
  <si>
    <t>длин. варёный</t>
  </si>
  <si>
    <t>отруби сырые, груб.</t>
  </si>
  <si>
    <t>мука белая</t>
  </si>
  <si>
    <t>мука коричневая</t>
  </si>
  <si>
    <t>лапша сырая</t>
  </si>
  <si>
    <t>лапша варёная</t>
  </si>
  <si>
    <t>сырая (зелёная)</t>
  </si>
  <si>
    <t>жареная, сухая</t>
  </si>
  <si>
    <t>жареная, варёная</t>
  </si>
  <si>
    <t>мука цельн.</t>
  </si>
  <si>
    <t>варёное</t>
  </si>
  <si>
    <t>мука</t>
  </si>
  <si>
    <t>очищ., сырой</t>
  </si>
  <si>
    <t>очищ., варёный</t>
  </si>
  <si>
    <t>неочищ.</t>
  </si>
  <si>
    <t>солодовая мука</t>
  </si>
  <si>
    <t>вырёная</t>
  </si>
  <si>
    <t>морожен., приготов.</t>
  </si>
  <si>
    <t>отруби, груб.</t>
  </si>
  <si>
    <t>хлопья, сухие, необогащ.</t>
  </si>
  <si>
    <t>макароны, сырые</t>
  </si>
  <si>
    <t>макароны, варёные</t>
  </si>
  <si>
    <t>мука, цельн.</t>
  </si>
  <si>
    <t>мука, очищ.</t>
  </si>
  <si>
    <t>крахмал</t>
  </si>
  <si>
    <t>возд.</t>
  </si>
  <si>
    <t>масл.</t>
  </si>
  <si>
    <t>Горох зелёный</t>
  </si>
  <si>
    <t>Горох сушёный</t>
  </si>
  <si>
    <t>Соя</t>
  </si>
  <si>
    <t>Соевая мука</t>
  </si>
  <si>
    <t>Соевый сыр (тофу)</t>
  </si>
  <si>
    <t>Соевые изделия</t>
  </si>
  <si>
    <t>Фасоль</t>
  </si>
  <si>
    <t>Чечевица</t>
  </si>
  <si>
    <t>Боб садовый</t>
  </si>
  <si>
    <t>Маш (бобы мунг)</t>
  </si>
  <si>
    <t>Нут (турецкий горох)</t>
  </si>
  <si>
    <t>консерв. без соли</t>
  </si>
  <si>
    <t>зел., сырая</t>
  </si>
  <si>
    <t>зел., варёная</t>
  </si>
  <si>
    <t>суш., сырая</t>
  </si>
  <si>
    <t>суш., варёная</t>
  </si>
  <si>
    <t>низк. жирн.</t>
  </si>
  <si>
    <t>обезжиренная</t>
  </si>
  <si>
    <t>сырой (с сульфатом кальция)</t>
  </si>
  <si>
    <t>сырой твёрд. (с сульфатом кальция)</t>
  </si>
  <si>
    <t>солёный, ферментированный</t>
  </si>
  <si>
    <t>мягкий (с сульфатом кальция и хлоридом магния)</t>
  </si>
  <si>
    <t>твёрдый (с хлоридом магния)</t>
  </si>
  <si>
    <t>экстра-твёрдый (с хлоридом магния)</t>
  </si>
  <si>
    <t>окара</t>
  </si>
  <si>
    <t xml:space="preserve"> молоко</t>
  </si>
  <si>
    <t>темпе</t>
  </si>
  <si>
    <t>натто</t>
  </si>
  <si>
    <t>мисо</t>
  </si>
  <si>
    <t>"мясо"</t>
  </si>
  <si>
    <t>"сосиски"</t>
  </si>
  <si>
    <t>наполнитель</t>
  </si>
  <si>
    <t>протеин (SUPRO)</t>
  </si>
  <si>
    <t>чёрная, сырая</t>
  </si>
  <si>
    <t>чёрная, варёная</t>
  </si>
  <si>
    <t>клюквенная, сырая</t>
  </si>
  <si>
    <t>клюквенная, варёная</t>
  </si>
  <si>
    <t>красная, сырая</t>
  </si>
  <si>
    <t>красная, варёная</t>
  </si>
  <si>
    <t>красная, консерв.</t>
  </si>
  <si>
    <t>розовая, сырая</t>
  </si>
  <si>
    <t>розовая, варёная</t>
  </si>
  <si>
    <t>пятнистая, сырая</t>
  </si>
  <si>
    <t>пятнистая, варёная</t>
  </si>
  <si>
    <t>белая, сырая</t>
  </si>
  <si>
    <t>белая, варёная</t>
  </si>
  <si>
    <t>белая, консерв.</t>
  </si>
  <si>
    <t>жёлтая, сырая</t>
  </si>
  <si>
    <t>жёлтая, варёная</t>
  </si>
  <si>
    <t>адзуки, сырая</t>
  </si>
  <si>
    <t>адзуки, варёная</t>
  </si>
  <si>
    <t>стручковая, сырая</t>
  </si>
  <si>
    <t>стручковая, варёная</t>
  </si>
  <si>
    <t>пророщенный</t>
  </si>
  <si>
    <t>Шампиньон двуспоровый (белый)</t>
  </si>
  <si>
    <t>Шампиньон портобелло</t>
  </si>
  <si>
    <t>Шампиньон королевский (коричневый)</t>
  </si>
  <si>
    <t>Вешенка обыкновенная</t>
  </si>
  <si>
    <t>Опёнок зимний</t>
  </si>
  <si>
    <t>Лисичка обыкновенная</t>
  </si>
  <si>
    <t>Шиитаке</t>
  </si>
  <si>
    <t>Грифола курчавая</t>
  </si>
  <si>
    <t>Вольвариелла съедобная</t>
  </si>
  <si>
    <t>Сморчок</t>
  </si>
  <si>
    <t>жареный на воде</t>
  </si>
  <si>
    <t>микроволн.</t>
  </si>
  <si>
    <t>гриль</t>
  </si>
  <si>
    <t>сырой, УФ</t>
  </si>
  <si>
    <t>гриль, УФ</t>
  </si>
  <si>
    <t>приготвл.</t>
  </si>
  <si>
    <t>Подсолнечное масло</t>
  </si>
  <si>
    <t>Оливковое масло</t>
  </si>
  <si>
    <t>Кукурузное масло</t>
  </si>
  <si>
    <t>Арахисовое масло</t>
  </si>
  <si>
    <t>Горчичное масло</t>
  </si>
  <si>
    <t>Рисовых отрубей масло</t>
  </si>
  <si>
    <t>Пшеницы зародышей масло</t>
  </si>
  <si>
    <t>Соевое масло</t>
  </si>
  <si>
    <t>Кунжутное масло</t>
  </si>
  <si>
    <t>Льняное масло</t>
  </si>
  <si>
    <t>Рапсовое (канолы) масло</t>
  </si>
  <si>
    <t>Кокосовое масло</t>
  </si>
  <si>
    <t>Пальмовое масло</t>
  </si>
  <si>
    <t>Пальмоядровое масло</t>
  </si>
  <si>
    <t>Какао масло</t>
  </si>
  <si>
    <t>Авокадо масло</t>
  </si>
  <si>
    <t>Виноградных косточек масло</t>
  </si>
  <si>
    <t>Абрикосовых косточек масло</t>
  </si>
  <si>
    <t>Грецкого ореха масло</t>
  </si>
  <si>
    <t>Миндальное масло</t>
  </si>
  <si>
    <t>Хлопковое масло</t>
  </si>
  <si>
    <t>Маковое масло</t>
  </si>
  <si>
    <t>пром.</t>
  </si>
  <si>
    <t>холодный пресс</t>
  </si>
  <si>
    <r>
      <rPr>
        <rFont val="Calibri"/>
        <b/>
        <color theme="1"/>
        <sz val="11.0"/>
      </rPr>
      <t xml:space="preserve">Незамен. жирные к-ты </t>
    </r>
    <r>
      <rPr>
        <rFont val="Calibri"/>
        <b val="0"/>
        <i/>
        <color theme="1"/>
        <sz val="10.0"/>
      </rPr>
      <t>(средн. значение)</t>
    </r>
  </si>
  <si>
    <t>Перец молотый</t>
  </si>
  <si>
    <t>Петрушка</t>
  </si>
  <si>
    <t>Укроп</t>
  </si>
  <si>
    <t>Базилик</t>
  </si>
  <si>
    <t>Кориандр (кинза)</t>
  </si>
  <si>
    <t>Руккола</t>
  </si>
  <si>
    <t>Майоран</t>
  </si>
  <si>
    <t>Горчица</t>
  </si>
  <si>
    <t>Паприка</t>
  </si>
  <si>
    <t>Ваниль</t>
  </si>
  <si>
    <t>Гвоздика</t>
  </si>
  <si>
    <t>Лавр</t>
  </si>
  <si>
    <t>Корица</t>
  </si>
  <si>
    <t>Имбирь</t>
  </si>
  <si>
    <t>Куркума</t>
  </si>
  <si>
    <t>Мускатный орех</t>
  </si>
  <si>
    <t>Тмин</t>
  </si>
  <si>
    <t>Мята курчавая</t>
  </si>
  <si>
    <t>Мята перечная</t>
  </si>
  <si>
    <t>Шалфей</t>
  </si>
  <si>
    <t>Шафран</t>
  </si>
  <si>
    <t>Эстрагон (тархун)</t>
  </si>
  <si>
    <t>Душица (орегано)</t>
  </si>
  <si>
    <t>Тимьян (чабрец)</t>
  </si>
  <si>
    <t>Чабер</t>
  </si>
  <si>
    <t>Хрен</t>
  </si>
  <si>
    <t>Крапива</t>
  </si>
  <si>
    <t>чёрный</t>
  </si>
  <si>
    <t>белый</t>
  </si>
  <si>
    <t>свежая</t>
  </si>
  <si>
    <t>свежий</t>
  </si>
  <si>
    <t>семена</t>
  </si>
  <si>
    <t>семена, молот.</t>
  </si>
  <si>
    <t>приготовленная</t>
  </si>
  <si>
    <t>листья сырые</t>
  </si>
  <si>
    <t>листья варёные</t>
  </si>
  <si>
    <t>экстракт</t>
  </si>
  <si>
    <t>молотая</t>
  </si>
  <si>
    <t>лист</t>
  </si>
  <si>
    <t>корень, сырой</t>
  </si>
  <si>
    <t>молотый</t>
  </si>
  <si>
    <t>шелуха, молотая</t>
  </si>
  <si>
    <t>приготовл.</t>
  </si>
  <si>
    <t>листья</t>
  </si>
  <si>
    <t>Соль</t>
  </si>
  <si>
    <t>Сахар</t>
  </si>
  <si>
    <t>Уксус</t>
  </si>
  <si>
    <t>Дрожжи хлебные</t>
  </si>
  <si>
    <t>Дрожжевой экстракт</t>
  </si>
  <si>
    <t>столовая</t>
  </si>
  <si>
    <t>коричневый</t>
  </si>
  <si>
    <t>кленовый</t>
  </si>
  <si>
    <t>дистиллированный</t>
  </si>
  <si>
    <t>яблочный</t>
  </si>
  <si>
    <t>винный (красн.)</t>
  </si>
  <si>
    <t>бальзамический</t>
  </si>
  <si>
    <t>прессованные</t>
  </si>
  <si>
    <t>Чай</t>
  </si>
  <si>
    <t>Кофе</t>
  </si>
  <si>
    <t>Какао</t>
  </si>
  <si>
    <t>Шоколад</t>
  </si>
  <si>
    <t>Вино</t>
  </si>
  <si>
    <t>Пиво</t>
  </si>
  <si>
    <t>быстр.</t>
  </si>
  <si>
    <t>из зёрен</t>
  </si>
  <si>
    <t>эспрессо</t>
  </si>
  <si>
    <t>напиток</t>
  </si>
  <si>
    <t>пудра</t>
  </si>
  <si>
    <t>чёрный, 60-69%</t>
  </si>
  <si>
    <t>сладкий</t>
  </si>
  <si>
    <t>молочный</t>
  </si>
  <si>
    <t>красное</t>
  </si>
  <si>
    <t>белое</t>
  </si>
  <si>
    <t>сухое</t>
  </si>
  <si>
    <t>все вар.</t>
  </si>
  <si>
    <t>Наркотики</t>
  </si>
  <si>
    <t>Алкоголь, г</t>
  </si>
  <si>
    <t>0</t>
  </si>
  <si>
    <t>Кофеин, мг</t>
  </si>
  <si>
    <t>Теобромин, мг</t>
  </si>
  <si>
    <r>
      <rPr>
        <rFont val="Calibri"/>
        <b/>
        <i/>
        <color rgb="FFC00000"/>
        <sz val="11.0"/>
      </rPr>
      <t>Помните:</t>
    </r>
    <r>
      <rPr>
        <rFont val="Calibri"/>
        <b/>
        <i/>
        <color rgb="FF595959"/>
        <sz val="11.0"/>
      </rPr>
      <t xml:space="preserve"> продукты, содержащие кофеин, теобромин и другие психоактивные вещества, вызывают </t>
    </r>
    <r>
      <rPr>
        <rFont val="Calibri"/>
        <b/>
        <i/>
        <color rgb="FFC00000"/>
        <sz val="11.0"/>
      </rPr>
      <t>зависимость!</t>
    </r>
  </si>
  <si>
    <t>Их употребление сказывается на Вашем здоровье, самочуствии и восприятии!</t>
  </si>
  <si>
    <t>Мёд</t>
  </si>
  <si>
    <t>Молоко</t>
  </si>
  <si>
    <t>Молоко коровье</t>
  </si>
  <si>
    <t>Молочные продукты</t>
  </si>
  <si>
    <t>Сыр</t>
  </si>
  <si>
    <t>Яйцо</t>
  </si>
  <si>
    <t>Корова, плоть (тушёная)</t>
  </si>
  <si>
    <t>Корова, органы (варёные)</t>
  </si>
  <si>
    <t>Свинья</t>
  </si>
  <si>
    <t>Колбаса докторская</t>
  </si>
  <si>
    <t>Cалями</t>
  </si>
  <si>
    <t>Сосиска</t>
  </si>
  <si>
    <t>Курица</t>
  </si>
  <si>
    <t>Индюк</t>
  </si>
  <si>
    <t>Тунец</t>
  </si>
  <si>
    <t>Лосось</t>
  </si>
  <si>
    <t>Анчоус</t>
  </si>
  <si>
    <t>Форель</t>
  </si>
  <si>
    <t>Сардина</t>
  </si>
  <si>
    <t>Скумбрия</t>
  </si>
  <si>
    <t>Сельдь атлант.</t>
  </si>
  <si>
    <t>пчелиный</t>
  </si>
  <si>
    <t>человечье</t>
  </si>
  <si>
    <t>овечье</t>
  </si>
  <si>
    <t>цельное</t>
  </si>
  <si>
    <t>обезжиренное</t>
  </si>
  <si>
    <t>сгущённое</t>
  </si>
  <si>
    <t>сгущ. варёное</t>
  </si>
  <si>
    <t>масло</t>
  </si>
  <si>
    <t>творог</t>
  </si>
  <si>
    <t>сливки лайт</t>
  </si>
  <si>
    <t>сливки хэви</t>
  </si>
  <si>
    <t>сыворотка сладкая</t>
  </si>
  <si>
    <t>сыворотка кислая</t>
  </si>
  <si>
    <t>пахта</t>
  </si>
  <si>
    <t>йогурт цельн.</t>
  </si>
  <si>
    <t>швейцарский</t>
  </si>
  <si>
    <t>сливочный</t>
  </si>
  <si>
    <t>чеддер</t>
  </si>
  <si>
    <t>моцарелла</t>
  </si>
  <si>
    <t>голубой (с плесенью)</t>
  </si>
  <si>
    <t>фета (овечий или козий)</t>
  </si>
  <si>
    <t>варёное (в крутую)</t>
  </si>
  <si>
    <t>белок</t>
  </si>
  <si>
    <t>желток</t>
  </si>
  <si>
    <t>перепел, сырое</t>
  </si>
  <si>
    <t>лопатка</t>
  </si>
  <si>
    <t>грудь</t>
  </si>
  <si>
    <t>ребро</t>
  </si>
  <si>
    <t>поясница</t>
  </si>
  <si>
    <t>мозг</t>
  </si>
  <si>
    <t>сердце</t>
  </si>
  <si>
    <t>почки</t>
  </si>
  <si>
    <t>печень</t>
  </si>
  <si>
    <t>лёгкие</t>
  </si>
  <si>
    <t>язык</t>
  </si>
  <si>
    <t>лопатка, туш.</t>
  </si>
  <si>
    <t>поясница, туш.</t>
  </si>
  <si>
    <t>бекон, жар.</t>
  </si>
  <si>
    <t>окорок, сол.</t>
  </si>
  <si>
    <t>коров+свин</t>
  </si>
  <si>
    <t>кур+инд+свин</t>
  </si>
  <si>
    <t>свин+инд+коров</t>
  </si>
  <si>
    <t>свинья</t>
  </si>
  <si>
    <t>свинья, пригот.</t>
  </si>
  <si>
    <t>плоть+кожа, жар.</t>
  </si>
  <si>
    <t>голубой, гриль</t>
  </si>
  <si>
    <t>жёлтый, гриль</t>
  </si>
  <si>
    <t>полосатый, гриль</t>
  </si>
  <si>
    <t>белый, конс. в масле</t>
  </si>
  <si>
    <t>сёмга, гриль</t>
  </si>
  <si>
    <t>сёмга, конс. в масле</t>
  </si>
  <si>
    <t>кижуч, гриль</t>
  </si>
  <si>
    <t>кета, конс. в масле</t>
  </si>
  <si>
    <t>европ., конс. в масле</t>
  </si>
  <si>
    <t>микижа (радужная), гриль</t>
  </si>
  <si>
    <t>атлант., конс. в масле</t>
  </si>
  <si>
    <t>атлант., гриль</t>
  </si>
  <si>
    <t>марин.</t>
  </si>
  <si>
    <t>Данные раздела приведены исключительно в ознакомительных/сравнительных целях!</t>
  </si>
  <si>
    <t>Помните: животные - не еда!</t>
  </si>
  <si>
    <t>Производимые животными молоко, яйца, мёд - не могут быть получены без насилия!</t>
  </si>
  <si>
    <t>Фрукты</t>
  </si>
  <si>
    <t>Овощи</t>
  </si>
  <si>
    <t>Орехи и семена</t>
  </si>
  <si>
    <t>Зерновые</t>
  </si>
  <si>
    <t>Бобовые</t>
  </si>
  <si>
    <t>Масла</t>
  </si>
  <si>
    <t>Грибы</t>
  </si>
  <si>
    <t>Травы и специи</t>
  </si>
  <si>
    <t>Добавки</t>
  </si>
  <si>
    <t>Психактивы</t>
  </si>
  <si>
    <t>Животные</t>
  </si>
  <si>
    <t>ИТОГО</t>
  </si>
  <si>
    <t>Ваш вес, кг:</t>
  </si>
  <si>
    <t>Рацион, г (всего):</t>
  </si>
  <si>
    <t>Рацион, г (всего)</t>
  </si>
  <si>
    <t>Идеал, г</t>
  </si>
  <si>
    <t>Реал, %</t>
  </si>
  <si>
    <t>Незаменимые</t>
  </si>
  <si>
    <t>(сумма)</t>
  </si>
  <si>
    <t>Для детей</t>
  </si>
  <si>
    <r>
      <rPr>
        <rFont val="Calibri"/>
        <b/>
        <color theme="1"/>
        <sz val="11.0"/>
      </rPr>
      <t xml:space="preserve">Незамен. жирные к-ты </t>
    </r>
    <r>
      <rPr>
        <rFont val="Calibri"/>
        <b val="0"/>
        <i/>
        <color theme="1"/>
        <sz val="10.0"/>
      </rPr>
      <t>(средн. значение)</t>
    </r>
  </si>
  <si>
    <r>
      <rPr>
        <rFont val="Calibri"/>
        <b/>
        <color theme="1"/>
        <sz val="11.0"/>
      </rPr>
      <t xml:space="preserve">Незамен. жирные к-ты </t>
    </r>
    <r>
      <rPr>
        <rFont val="Calibri"/>
        <b val="0"/>
        <i/>
        <color theme="1"/>
        <sz val="10.0"/>
      </rPr>
      <t>(средн. значение)</t>
    </r>
  </si>
  <si>
    <t>Омега-6 (линолиевая), г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</si>
</sst>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54">
    <font>
      <sz val="11.0"/>
      <color theme="1"/>
      <name val="Calibri"/>
      <scheme val="minor"/>
    </font>
    <font>
      <b/>
      <i/>
      <sz val="11.0"/>
      <color theme="1"/>
      <name val="Calibri"/>
    </font>
    <font>
      <b/>
      <i/>
      <sz val="10.0"/>
      <color rgb="FF366092"/>
      <name val="Calibri"/>
    </font>
    <font>
      <b/>
      <sz val="11.0"/>
      <color theme="1"/>
      <name val="Calibri"/>
    </font>
    <font/>
    <font>
      <b/>
      <i/>
      <sz val="10.0"/>
      <color rgb="FF009627"/>
      <name val="Calibri"/>
    </font>
    <font>
      <sz val="11.0"/>
      <color theme="1"/>
      <name val="Calibri"/>
    </font>
    <font>
      <b/>
      <i/>
      <sz val="11.0"/>
      <color rgb="FF0070C0"/>
      <name val="Calibri"/>
    </font>
    <font>
      <i/>
      <sz val="11.0"/>
      <color rgb="FF0070C0"/>
      <name val="Calibri"/>
    </font>
    <font>
      <color theme="1"/>
      <name val="Calibri"/>
      <scheme val="minor"/>
    </font>
    <font>
      <sz val="11.0"/>
      <color rgb="FFF66F00"/>
      <name val="Calibri"/>
    </font>
    <font>
      <b/>
      <sz val="11.0"/>
      <color rgb="FFF66F00"/>
      <name val="Calibri"/>
    </font>
    <font>
      <b/>
      <sz val="11.0"/>
      <color rgb="FFFF0000"/>
      <name val="Calibri"/>
    </font>
    <font>
      <sz val="11.0"/>
      <color rgb="FFA5A5A5"/>
      <name val="Calibri"/>
    </font>
    <font>
      <i/>
      <sz val="11.0"/>
      <color rgb="FF00701D"/>
      <name val="Calibri"/>
    </font>
    <font>
      <sz val="11.0"/>
      <color rgb="FFC00000"/>
      <name val="Calibri"/>
    </font>
    <font>
      <sz val="11.0"/>
      <color rgb="FF0070C0"/>
      <name val="Calibri"/>
    </font>
    <font>
      <b/>
      <sz val="10.0"/>
      <color theme="1"/>
      <name val="Calibri"/>
    </font>
    <font>
      <i/>
      <sz val="11.0"/>
      <color rgb="FF7F7F7F"/>
      <name val="Calibri"/>
    </font>
    <font>
      <i/>
      <sz val="16.0"/>
      <color theme="1"/>
      <name val="Calibri"/>
    </font>
    <font>
      <sz val="11.0"/>
      <color rgb="FFE36C09"/>
      <name val="Calibri"/>
    </font>
    <font>
      <sz val="11.0"/>
      <color theme="4"/>
      <name val="Calibri"/>
    </font>
    <font>
      <sz val="11.0"/>
      <color rgb="FFFF0000"/>
      <name val="Calibri"/>
    </font>
    <font>
      <b/>
      <u/>
      <sz val="11.0"/>
      <color rgb="FFFF0000"/>
      <name val="Calibri"/>
    </font>
    <font>
      <sz val="11.0"/>
      <color rgb="FF009900"/>
      <name val="Calibri"/>
    </font>
    <font>
      <sz val="11.0"/>
      <color rgb="FF00B050"/>
      <name val="Calibri"/>
    </font>
    <font>
      <i/>
      <sz val="11.0"/>
      <color theme="1"/>
      <name val="Calibri"/>
    </font>
    <font>
      <b/>
      <sz val="11.0"/>
      <color rgb="FF0070C0"/>
      <name val="Calibri"/>
    </font>
    <font>
      <sz val="9.0"/>
      <color rgb="FF000000"/>
      <name val="Arial"/>
    </font>
    <font>
      <i/>
      <sz val="10.0"/>
      <color rgb="FFBFBFBF"/>
      <name val="Calibri"/>
    </font>
    <font>
      <sz val="11.0"/>
      <color rgb="FF006100"/>
      <name val="Calibri"/>
    </font>
    <font>
      <b/>
      <u/>
      <sz val="11.0"/>
      <color rgb="FF0070C0"/>
      <name val="Calibri"/>
    </font>
    <font>
      <b/>
      <sz val="11.0"/>
      <color rgb="FFE36C09"/>
      <name val="Calibri"/>
    </font>
    <font>
      <b/>
      <sz val="11.0"/>
      <color rgb="FF0C0C0C"/>
      <name val="Calibri"/>
    </font>
    <font>
      <b/>
      <sz val="11.0"/>
      <color rgb="FF953734"/>
      <name val="Calibri"/>
    </font>
    <font>
      <sz val="11.0"/>
      <color rgb="FF0C0C0C"/>
      <name val="Calibri"/>
    </font>
    <font>
      <sz val="11.0"/>
      <color rgb="FF953734"/>
      <name val="Calibri"/>
    </font>
    <font>
      <b/>
      <i/>
      <sz val="11.0"/>
      <color rgb="FFCC66FF"/>
      <name val="Calibri"/>
    </font>
    <font>
      <i/>
      <sz val="11.0"/>
      <color rgb="FFCC66FF"/>
      <name val="Calibri"/>
    </font>
    <font>
      <i/>
      <sz val="11.0"/>
      <color rgb="FF953734"/>
      <name val="Calibri"/>
    </font>
    <font>
      <sz val="11.0"/>
      <color rgb="FFCC66FF"/>
      <name val="Calibri"/>
    </font>
    <font>
      <b/>
      <i/>
      <sz val="11.0"/>
      <color rgb="FF595959"/>
      <name val="Calibri"/>
    </font>
    <font>
      <b/>
      <i/>
      <sz val="11.0"/>
      <color rgb="FFC00000"/>
      <name val="Calibri"/>
    </font>
    <font>
      <b/>
      <sz val="11.0"/>
      <color rgb="FF974806"/>
      <name val="Calibri"/>
    </font>
    <font>
      <b/>
      <sz val="11.0"/>
      <color rgb="FFC00000"/>
      <name val="Calibri"/>
    </font>
    <font>
      <sz val="11.0"/>
      <color rgb="FF974806"/>
      <name val="Calibri"/>
    </font>
    <font>
      <i/>
      <sz val="11.0"/>
      <color rgb="FFC00000"/>
      <name val="Calibri"/>
    </font>
    <font>
      <b/>
      <sz val="11.0"/>
      <color theme="0"/>
      <name val="Calibri"/>
    </font>
    <font>
      <sz val="11.0"/>
      <color theme="0"/>
      <name val="Calibri"/>
    </font>
    <font>
      <i/>
      <sz val="11.0"/>
      <color rgb="FFD8D8D8"/>
      <name val="Calibri"/>
    </font>
    <font>
      <b/>
      <sz val="14.0"/>
      <color rgb="FFFF0000"/>
      <name val="Calibri"/>
    </font>
    <font>
      <b/>
      <sz val="11.0"/>
      <color rgb="FFCC66FF"/>
      <name val="Calibri"/>
    </font>
    <font>
      <i/>
      <sz val="10.0"/>
      <color rgb="FFC00000"/>
      <name val="Calibri"/>
    </font>
    <font>
      <i/>
      <sz val="10.0"/>
      <color rgb="FF0070C0"/>
      <name val="Calibri"/>
    </font>
  </fonts>
  <fills count="25">
    <fill>
      <patternFill patternType="none"/>
    </fill>
    <fill>
      <patternFill patternType="lightGray"/>
    </fill>
    <fill>
      <patternFill patternType="solid">
        <fgColor rgb="FF72D08B"/>
        <bgColor rgb="FF72D08B"/>
      </patternFill>
    </fill>
    <fill>
      <patternFill patternType="solid">
        <fgColor rgb="FFFFB171"/>
        <bgColor rgb="FFFFB171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A8C9EE"/>
        <bgColor rgb="FFA8C9EE"/>
      </patternFill>
    </fill>
    <fill>
      <patternFill patternType="solid">
        <fgColor rgb="FFFDEF9B"/>
        <bgColor rgb="FFFDEF9B"/>
      </patternFill>
    </fill>
    <fill>
      <patternFill patternType="solid">
        <fgColor rgb="FFCCC0D9"/>
        <bgColor rgb="FFCCC0D9"/>
      </patternFill>
    </fill>
    <fill>
      <patternFill patternType="solid">
        <fgColor rgb="FF98E0A9"/>
        <bgColor rgb="FF98E0A9"/>
      </patternFill>
    </fill>
    <fill>
      <patternFill patternType="solid">
        <fgColor theme="6"/>
        <bgColor theme="6"/>
      </patternFill>
    </fill>
    <fill>
      <patternFill patternType="solid">
        <fgColor rgb="FF92D050"/>
        <bgColor rgb="FF92D050"/>
      </patternFill>
    </fill>
    <fill>
      <patternFill patternType="solid">
        <fgColor rgb="FFAFDC7E"/>
        <bgColor rgb="FFAFDC7E"/>
      </patternFill>
    </fill>
    <fill>
      <patternFill patternType="solid">
        <fgColor rgb="FFFF9F4F"/>
        <bgColor rgb="FFFF9F4F"/>
      </patternFill>
    </fill>
    <fill>
      <patternFill patternType="solid">
        <fgColor rgb="FFF7F7F7"/>
        <bgColor rgb="FFF7F7F7"/>
      </patternFill>
    </fill>
    <fill>
      <patternFill patternType="solid">
        <fgColor rgb="FFD6E3BC"/>
        <bgColor rgb="FFD6E3BC"/>
      </patternFill>
    </fill>
    <fill>
      <patternFill patternType="solid">
        <fgColor rgb="FFF2DBDB"/>
        <bgColor rgb="FFF2DBDB"/>
      </patternFill>
    </fill>
    <fill>
      <patternFill patternType="solid">
        <fgColor rgb="FFE5DFEC"/>
        <bgColor rgb="FFE5DFEC"/>
      </patternFill>
    </fill>
    <fill>
      <patternFill patternType="solid">
        <fgColor rgb="FFFFD8B7"/>
        <bgColor rgb="FFFFD8B7"/>
      </patternFill>
    </fill>
    <fill>
      <patternFill patternType="solid">
        <fgColor rgb="FFFF99CC"/>
        <bgColor rgb="FFFF99CC"/>
      </patternFill>
    </fill>
    <fill>
      <patternFill patternType="solid">
        <fgColor rgb="FFFF99FF"/>
        <bgColor rgb="FFFF99FF"/>
      </patternFill>
    </fill>
    <fill>
      <patternFill patternType="solid">
        <fgColor rgb="FFCC3300"/>
        <bgColor rgb="FFCC3300"/>
      </patternFill>
    </fill>
    <fill>
      <patternFill patternType="solid">
        <fgColor rgb="FFFFE7FF"/>
        <bgColor rgb="FFFFE7FF"/>
      </patternFill>
    </fill>
    <fill>
      <patternFill patternType="solid">
        <fgColor rgb="FFC4E59F"/>
        <bgColor rgb="FFC4E59F"/>
      </patternFill>
    </fill>
    <fill>
      <patternFill patternType="solid">
        <fgColor rgb="FFFFC1FF"/>
        <bgColor rgb="FFFFC1FF"/>
      </patternFill>
    </fill>
  </fills>
  <borders count="22">
    <border/>
    <border>
      <bottom style="thin">
        <color rgb="FF7F7F7F"/>
      </bottom>
    </border>
    <border>
      <left/>
      <right/>
      <top/>
      <bottom/>
    </border>
    <border>
      <left style="thin">
        <color rgb="FF7F7F7F"/>
      </left>
      <top style="thin">
        <color rgb="FF7F7F7F"/>
      </top>
      <bottom style="thin">
        <color rgb="FF7F7F7F"/>
      </bottom>
    </border>
    <border>
      <top style="thin">
        <color rgb="FF7F7F7F"/>
      </top>
      <bottom style="thin">
        <color rgb="FF7F7F7F"/>
      </bottom>
    </border>
    <border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CCCCCC"/>
      </left>
      <right style="medium">
        <color rgb="FFCCCCCC"/>
      </right>
      <top/>
      <bottom style="medium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/>
      <top style="thin">
        <color rgb="FF000000"/>
      </top>
      <bottom/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0" fontId="4" numFmtId="0" xfId="0" applyBorder="1" applyFont="1"/>
    <xf borderId="1" fillId="0" fontId="5" numFmtId="0" xfId="0" applyBorder="1" applyFont="1"/>
    <xf borderId="2" fillId="2" fontId="6" numFmtId="0" xfId="0" applyBorder="1" applyFill="1" applyFont="1"/>
    <xf borderId="2" fillId="3" fontId="6" numFmtId="0" xfId="0" applyBorder="1" applyFill="1" applyFont="1"/>
    <xf borderId="2" fillId="4" fontId="6" numFmtId="0" xfId="0" applyBorder="1" applyFill="1" applyFont="1"/>
    <xf borderId="2" fillId="5" fontId="6" numFmtId="0" xfId="0" applyBorder="1" applyFill="1" applyFont="1"/>
    <xf borderId="2" fillId="6" fontId="6" numFmtId="0" xfId="0" applyBorder="1" applyFill="1" applyFont="1"/>
    <xf borderId="2" fillId="7" fontId="6" numFmtId="0" xfId="0" applyBorder="1" applyFill="1" applyFont="1"/>
    <xf borderId="2" fillId="8" fontId="6" numFmtId="0" xfId="0" applyBorder="1" applyFill="1" applyFont="1"/>
    <xf borderId="2" fillId="9" fontId="6" numFmtId="0" xfId="0" applyBorder="1" applyFill="1" applyFont="1"/>
    <xf borderId="2" fillId="10" fontId="6" numFmtId="0" xfId="0" applyBorder="1" applyFill="1" applyFont="1"/>
    <xf borderId="3" fillId="0" fontId="7" numFmtId="0" xfId="0" applyAlignment="1" applyBorder="1" applyFont="1">
      <alignment horizontal="right"/>
    </xf>
    <xf borderId="4" fillId="0" fontId="4" numFmtId="0" xfId="0" applyBorder="1" applyFont="1"/>
    <xf borderId="5" fillId="0" fontId="4" numFmtId="0" xfId="0" applyBorder="1" applyFont="1"/>
    <xf borderId="6" fillId="0" fontId="8" numFmtId="0" xfId="0" applyBorder="1" applyFont="1"/>
    <xf borderId="2" fillId="11" fontId="3" numFmtId="0" xfId="0" applyBorder="1" applyFill="1" applyFont="1"/>
    <xf borderId="2" fillId="11" fontId="6" numFmtId="49" xfId="0" applyBorder="1" applyFont="1" applyNumberFormat="1"/>
    <xf borderId="0" fillId="0" fontId="6" numFmtId="0" xfId="0" applyFont="1"/>
    <xf borderId="0" fillId="0" fontId="6" numFmtId="49" xfId="0" applyFont="1" applyNumberFormat="1"/>
    <xf borderId="0" fillId="0" fontId="9" numFmtId="0" xfId="0" applyFont="1"/>
    <xf borderId="0" fillId="0" fontId="10" numFmtId="0" xfId="0" applyFont="1"/>
    <xf borderId="0" fillId="0" fontId="11" numFmtId="0" xfId="0" applyFont="1"/>
    <xf borderId="0" fillId="0" fontId="12" numFmtId="0" xfId="0" applyFont="1"/>
    <xf borderId="2" fillId="11" fontId="3" numFmtId="49" xfId="0" applyBorder="1" applyFont="1" applyNumberFormat="1"/>
    <xf borderId="0" fillId="0" fontId="13" numFmtId="0" xfId="0" applyFont="1"/>
    <xf borderId="0" fillId="0" fontId="13" numFmtId="49" xfId="0" applyFont="1" applyNumberFormat="1"/>
    <xf borderId="2" fillId="11" fontId="14" numFmtId="49" xfId="0" applyBorder="1" applyFont="1" applyNumberFormat="1"/>
    <xf borderId="0" fillId="0" fontId="15" numFmtId="0" xfId="0" applyFont="1"/>
    <xf borderId="0" fillId="0" fontId="15" numFmtId="49" xfId="0" applyFont="1" applyNumberFormat="1"/>
    <xf borderId="0" fillId="0" fontId="15" numFmtId="49" xfId="0" applyAlignment="1" applyFont="1" applyNumberFormat="1">
      <alignment vertical="center"/>
    </xf>
    <xf borderId="0" fillId="0" fontId="16" numFmtId="0" xfId="0" applyFont="1"/>
    <xf borderId="0" fillId="0" fontId="16" numFmtId="49" xfId="0" applyFont="1" applyNumberFormat="1"/>
    <xf borderId="7" fillId="12" fontId="17" numFmtId="0" xfId="0" applyAlignment="1" applyBorder="1" applyFill="1" applyFont="1">
      <alignment horizontal="center" shrinkToFit="0" vertical="center" wrapText="1"/>
    </xf>
    <xf borderId="8" fillId="0" fontId="4" numFmtId="0" xfId="0" applyBorder="1" applyFont="1"/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14" fillId="0" fontId="4" numFmtId="0" xfId="0" applyBorder="1" applyFont="1"/>
    <xf borderId="0" fillId="0" fontId="18" numFmtId="0" xfId="0" applyFont="1"/>
    <xf borderId="7" fillId="12" fontId="19" numFmtId="0" xfId="0" applyAlignment="1" applyBorder="1" applyFont="1">
      <alignment horizontal="center" shrinkToFit="0" vertical="center" wrapText="1"/>
    </xf>
    <xf borderId="2" fillId="11" fontId="6" numFmtId="0" xfId="0" applyBorder="1" applyFont="1"/>
    <xf borderId="0" fillId="0" fontId="20" numFmtId="0" xfId="0" applyFont="1"/>
    <xf borderId="0" fillId="0" fontId="21" numFmtId="0" xfId="0" applyFont="1"/>
    <xf borderId="6" fillId="0" fontId="6" numFmtId="0" xfId="0" applyBorder="1" applyFont="1"/>
    <xf borderId="0" fillId="0" fontId="22" numFmtId="0" xfId="0" applyFont="1"/>
    <xf borderId="0" fillId="0" fontId="23" numFmtId="0" xfId="0" applyFont="1"/>
    <xf borderId="15" fillId="11" fontId="3" numFmtId="0" xfId="0" applyBorder="1" applyFont="1"/>
    <xf borderId="16" fillId="0" fontId="4" numFmtId="0" xfId="0" applyBorder="1" applyFont="1"/>
    <xf borderId="17" fillId="0" fontId="4" numFmtId="0" xfId="0" applyBorder="1" applyFont="1"/>
    <xf borderId="2" fillId="11" fontId="16" numFmtId="0" xfId="0" applyBorder="1" applyFont="1"/>
    <xf borderId="0" fillId="0" fontId="24" numFmtId="0" xfId="0" applyFont="1"/>
    <xf borderId="0" fillId="0" fontId="25" numFmtId="0" xfId="0" applyFont="1"/>
    <xf borderId="0" fillId="0" fontId="24" numFmtId="17" xfId="0" applyFont="1" applyNumberFormat="1"/>
    <xf borderId="2" fillId="2" fontId="14" numFmtId="0" xfId="0" applyBorder="1" applyFont="1"/>
    <xf borderId="2" fillId="13" fontId="6" numFmtId="0" xfId="0" applyBorder="1" applyFill="1" applyFont="1"/>
    <xf borderId="2" fillId="3" fontId="26" numFmtId="0" xfId="0" applyBorder="1" applyFont="1"/>
    <xf borderId="0" fillId="0" fontId="27" numFmtId="0" xfId="0" applyFont="1"/>
    <xf borderId="18" fillId="14" fontId="28" numFmtId="0" xfId="0" applyAlignment="1" applyBorder="1" applyFill="1" applyFont="1">
      <alignment horizontal="right" shrinkToFit="0" vertical="top" wrapText="1"/>
    </xf>
    <xf borderId="0" fillId="0" fontId="29" numFmtId="0" xfId="0" applyFont="1"/>
    <xf borderId="2" fillId="15" fontId="6" numFmtId="0" xfId="0" applyBorder="1" applyFill="1" applyFont="1"/>
    <xf borderId="2" fillId="16" fontId="6" numFmtId="0" xfId="0" applyBorder="1" applyFill="1" applyFont="1"/>
    <xf borderId="2" fillId="17" fontId="6" numFmtId="0" xfId="0" applyBorder="1" applyFill="1" applyFont="1"/>
    <xf borderId="2" fillId="18" fontId="6" numFmtId="0" xfId="0" applyBorder="1" applyFill="1" applyFont="1"/>
    <xf borderId="2" fillId="11" fontId="30" numFmtId="0" xfId="0" applyBorder="1" applyFont="1"/>
    <xf borderId="0" fillId="0" fontId="26" numFmtId="0" xfId="0" applyFont="1"/>
    <xf borderId="0" fillId="0" fontId="31" numFmtId="0" xfId="0" applyFont="1"/>
    <xf borderId="0" fillId="0" fontId="32" numFmtId="0" xfId="0" applyFont="1"/>
    <xf borderId="0" fillId="0" fontId="21" numFmtId="49" xfId="0" applyFont="1" applyNumberFormat="1"/>
    <xf borderId="0" fillId="0" fontId="33" numFmtId="0" xfId="0" applyFont="1"/>
    <xf borderId="0" fillId="0" fontId="34" numFmtId="0" xfId="0" applyFont="1"/>
    <xf borderId="0" fillId="0" fontId="35" numFmtId="0" xfId="0" applyFont="1"/>
    <xf borderId="0" fillId="0" fontId="36" numFmtId="0" xfId="0" applyFont="1"/>
    <xf borderId="3" fillId="0" fontId="37" numFmtId="0" xfId="0" applyAlignment="1" applyBorder="1" applyFont="1">
      <alignment horizontal="right"/>
    </xf>
    <xf borderId="6" fillId="0" fontId="38" numFmtId="0" xfId="0" applyBorder="1" applyFont="1"/>
    <xf borderId="2" fillId="19" fontId="3" numFmtId="0" xfId="0" applyBorder="1" applyFill="1" applyFont="1"/>
    <xf borderId="2" fillId="19" fontId="6" numFmtId="49" xfId="0" applyBorder="1" applyFont="1" applyNumberFormat="1"/>
    <xf borderId="2" fillId="19" fontId="6" numFmtId="0" xfId="0" applyBorder="1" applyFont="1"/>
    <xf borderId="2" fillId="19" fontId="3" numFmtId="49" xfId="0" applyBorder="1" applyFont="1" applyNumberFormat="1"/>
    <xf borderId="2" fillId="19" fontId="39" numFmtId="49" xfId="0" applyBorder="1" applyFont="1" applyNumberFormat="1"/>
    <xf borderId="2" fillId="20" fontId="3" numFmtId="0" xfId="0" applyBorder="1" applyFill="1" applyFont="1"/>
    <xf borderId="2" fillId="20" fontId="3" numFmtId="49" xfId="0" applyBorder="1" applyFont="1" applyNumberFormat="1"/>
    <xf borderId="2" fillId="20" fontId="6" numFmtId="0" xfId="0" applyBorder="1" applyFont="1"/>
    <xf borderId="0" fillId="0" fontId="40" numFmtId="0" xfId="0" applyFont="1"/>
    <xf borderId="0" fillId="0" fontId="40" numFmtId="49" xfId="0" applyFont="1" applyNumberFormat="1"/>
    <xf borderId="0" fillId="0" fontId="41" numFmtId="0" xfId="0" applyAlignment="1" applyFont="1">
      <alignment horizontal="left" shrinkToFit="0" vertical="center" wrapText="1"/>
    </xf>
    <xf borderId="0" fillId="0" fontId="42" numFmtId="0" xfId="0" applyAlignment="1" applyFont="1">
      <alignment shrinkToFit="0" wrapText="1"/>
    </xf>
    <xf borderId="0" fillId="0" fontId="43" numFmtId="0" xfId="0" applyFont="1"/>
    <xf borderId="0" fillId="0" fontId="44" numFmtId="0" xfId="0" applyFont="1"/>
    <xf borderId="0" fillId="0" fontId="45" numFmtId="0" xfId="0" applyFont="1"/>
    <xf borderId="3" fillId="0" fontId="42" numFmtId="0" xfId="0" applyAlignment="1" applyBorder="1" applyFont="1">
      <alignment horizontal="right"/>
    </xf>
    <xf borderId="6" fillId="0" fontId="26" numFmtId="0" xfId="0" applyBorder="1" applyFont="1"/>
    <xf borderId="6" fillId="0" fontId="46" numFmtId="0" xfId="0" applyBorder="1" applyFont="1"/>
    <xf borderId="2" fillId="21" fontId="47" numFmtId="0" xfId="0" applyBorder="1" applyFill="1" applyFont="1"/>
    <xf borderId="2" fillId="21" fontId="48" numFmtId="49" xfId="0" applyBorder="1" applyFont="1" applyNumberFormat="1"/>
    <xf borderId="2" fillId="21" fontId="48" numFmtId="0" xfId="0" applyBorder="1" applyFont="1"/>
    <xf borderId="2" fillId="21" fontId="3" numFmtId="49" xfId="0" applyBorder="1" applyFont="1" applyNumberFormat="1"/>
    <xf borderId="2" fillId="21" fontId="47" numFmtId="49" xfId="0" applyBorder="1" applyFont="1" applyNumberFormat="1"/>
    <xf borderId="2" fillId="21" fontId="49" numFmtId="49" xfId="0" applyBorder="1" applyFont="1" applyNumberFormat="1"/>
    <xf borderId="0" fillId="0" fontId="42" numFmtId="49" xfId="0" applyAlignment="1" applyFont="1" applyNumberFormat="1">
      <alignment horizontal="center" shrinkToFit="0" vertical="center" wrapText="1"/>
    </xf>
    <xf borderId="7" fillId="16" fontId="50" numFmtId="0" xfId="0" applyAlignment="1" applyBorder="1" applyFont="1">
      <alignment horizontal="center" shrinkToFit="0" vertical="center" wrapText="1"/>
    </xf>
    <xf borderId="0" fillId="0" fontId="42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vertical="top"/>
    </xf>
    <xf borderId="2" fillId="22" fontId="51" numFmtId="0" xfId="0" applyBorder="1" applyFill="1" applyFont="1"/>
    <xf borderId="2" fillId="16" fontId="44" numFmtId="0" xfId="0" applyBorder="1" applyFont="1"/>
    <xf borderId="2" fillId="11" fontId="3" numFmtId="0" xfId="0" applyAlignment="1" applyBorder="1" applyFont="1">
      <alignment horizontal="center"/>
    </xf>
    <xf borderId="0" fillId="0" fontId="7" numFmtId="0" xfId="0" applyAlignment="1" applyFont="1">
      <alignment horizontal="left"/>
    </xf>
    <xf borderId="0" fillId="0" fontId="3" numFmtId="0" xfId="0" applyAlignment="1" applyFont="1">
      <alignment horizontal="left"/>
    </xf>
    <xf borderId="0" fillId="0" fontId="6" numFmtId="0" xfId="0" applyAlignment="1" applyFont="1">
      <alignment vertical="top"/>
    </xf>
    <xf borderId="2" fillId="23" fontId="3" numFmtId="0" xfId="0" applyBorder="1" applyFill="1" applyFont="1"/>
    <xf borderId="19" fillId="0" fontId="7" numFmtId="0" xfId="0" applyAlignment="1" applyBorder="1" applyFont="1">
      <alignment horizontal="left" vertical="center"/>
    </xf>
    <xf borderId="0" fillId="0" fontId="6" numFmtId="0" xfId="0" applyAlignment="1" applyFont="1">
      <alignment horizontal="left"/>
    </xf>
    <xf borderId="3" fillId="0" fontId="3" numFmtId="0" xfId="0" applyAlignment="1" applyBorder="1" applyFont="1">
      <alignment horizontal="right"/>
    </xf>
    <xf borderId="2" fillId="11" fontId="51" numFmtId="0" xfId="0" applyBorder="1" applyFont="1"/>
    <xf borderId="2" fillId="11" fontId="44" numFmtId="0" xfId="0" applyBorder="1" applyFont="1"/>
    <xf borderId="2" fillId="11" fontId="3" numFmtId="49" xfId="0" applyAlignment="1" applyBorder="1" applyFont="1" applyNumberFormat="1">
      <alignment horizontal="left"/>
    </xf>
    <xf borderId="2" fillId="11" fontId="3" numFmtId="0" xfId="0" applyAlignment="1" applyBorder="1" applyFont="1">
      <alignment horizontal="left"/>
    </xf>
    <xf borderId="20" fillId="23" fontId="3" numFmtId="0" xfId="0" applyBorder="1" applyFont="1"/>
    <xf borderId="0" fillId="0" fontId="6" numFmtId="49" xfId="0" applyAlignment="1" applyFont="1" applyNumberFormat="1">
      <alignment horizontal="left"/>
    </xf>
    <xf borderId="0" fillId="0" fontId="16" numFmtId="0" xfId="0" applyAlignment="1" applyFont="1">
      <alignment horizontal="left"/>
    </xf>
    <xf borderId="2" fillId="11" fontId="40" numFmtId="0" xfId="0" applyBorder="1" applyFont="1"/>
    <xf borderId="2" fillId="11" fontId="15" numFmtId="0" xfId="0" applyBorder="1" applyFont="1"/>
    <xf borderId="20" fillId="11" fontId="3" numFmtId="0" xfId="0" applyBorder="1" applyFont="1"/>
    <xf borderId="0" fillId="0" fontId="13" numFmtId="49" xfId="0" applyAlignment="1" applyFont="1" applyNumberFormat="1">
      <alignment horizontal="left"/>
    </xf>
    <xf borderId="0" fillId="0" fontId="13" numFmtId="0" xfId="0" applyAlignment="1" applyFont="1">
      <alignment horizontal="left"/>
    </xf>
    <xf borderId="0" fillId="0" fontId="36" numFmtId="49" xfId="0" applyFont="1" applyNumberFormat="1"/>
    <xf borderId="0" fillId="0" fontId="36" numFmtId="49" xfId="0" applyAlignment="1" applyFont="1" applyNumberFormat="1">
      <alignment horizontal="left"/>
    </xf>
    <xf borderId="2" fillId="11" fontId="26" numFmtId="49" xfId="0" applyAlignment="1" applyBorder="1" applyFont="1" applyNumberFormat="1">
      <alignment horizontal="right"/>
    </xf>
    <xf borderId="2" fillId="11" fontId="26" numFmtId="49" xfId="0" applyAlignment="1" applyBorder="1" applyFont="1" applyNumberFormat="1">
      <alignment horizontal="left"/>
    </xf>
    <xf borderId="0" fillId="0" fontId="15" numFmtId="164" xfId="0" applyAlignment="1" applyFont="1" applyNumberFormat="1">
      <alignment horizontal="left"/>
    </xf>
    <xf borderId="0" fillId="0" fontId="15" numFmtId="0" xfId="0" applyAlignment="1" applyFont="1">
      <alignment horizontal="left"/>
    </xf>
    <xf borderId="0" fillId="0" fontId="52" numFmtId="0" xfId="0" applyAlignment="1" applyFont="1">
      <alignment horizontal="left" shrinkToFit="0" textRotation="255" vertical="top" wrapText="1"/>
    </xf>
    <xf borderId="0" fillId="0" fontId="6" numFmtId="164" xfId="0" applyAlignment="1" applyFont="1" applyNumberFormat="1">
      <alignment horizontal="left"/>
    </xf>
    <xf borderId="0" fillId="0" fontId="52" numFmtId="49" xfId="0" applyAlignment="1" applyFont="1" applyNumberFormat="1">
      <alignment vertical="center"/>
    </xf>
    <xf borderId="0" fillId="0" fontId="15" numFmtId="0" xfId="0" applyAlignment="1" applyFont="1">
      <alignment vertical="center"/>
    </xf>
    <xf borderId="0" fillId="0" fontId="15" numFmtId="164" xfId="0" applyAlignment="1" applyFont="1" applyNumberFormat="1">
      <alignment horizontal="left" vertical="center"/>
    </xf>
    <xf borderId="0" fillId="0" fontId="16" numFmtId="49" xfId="0" applyAlignment="1" applyFont="1" applyNumberFormat="1">
      <alignment horizontal="left"/>
    </xf>
    <xf borderId="0" fillId="0" fontId="53" numFmtId="0" xfId="0" applyAlignment="1" applyFont="1">
      <alignment vertical="center"/>
    </xf>
    <xf borderId="0" fillId="0" fontId="16" numFmtId="164" xfId="0" applyAlignment="1" applyFont="1" applyNumberFormat="1">
      <alignment horizontal="left"/>
    </xf>
    <xf borderId="21" fillId="11" fontId="3" numFmtId="0" xfId="0" applyBorder="1" applyFont="1"/>
    <xf borderId="2" fillId="11" fontId="6" numFmtId="0" xfId="0" applyAlignment="1" applyBorder="1" applyFont="1">
      <alignment horizontal="left"/>
    </xf>
    <xf borderId="21" fillId="23" fontId="3" numFmtId="0" xfId="0" applyBorder="1" applyFont="1"/>
    <xf borderId="0" fillId="0" fontId="24" numFmtId="0" xfId="0" applyAlignment="1" applyFont="1">
      <alignment horizontal="left"/>
    </xf>
    <xf borderId="0" fillId="0" fontId="24" numFmtId="17" xfId="0" applyAlignment="1" applyFont="1" applyNumberFormat="1">
      <alignment horizontal="left"/>
    </xf>
    <xf borderId="2" fillId="20" fontId="6" numFmtId="49" xfId="0" applyBorder="1" applyFont="1" applyNumberFormat="1"/>
    <xf borderId="2" fillId="20" fontId="40" numFmtId="0" xfId="0" applyBorder="1" applyFont="1"/>
    <xf borderId="2" fillId="20" fontId="15" numFmtId="0" xfId="0" applyBorder="1" applyFont="1"/>
    <xf borderId="2" fillId="20" fontId="3" numFmtId="49" xfId="0" applyAlignment="1" applyBorder="1" applyFont="1" applyNumberFormat="1">
      <alignment horizontal="left"/>
    </xf>
    <xf borderId="2" fillId="20" fontId="6" numFmtId="49" xfId="0" applyAlignment="1" applyBorder="1" applyFont="1" applyNumberFormat="1">
      <alignment horizontal="left"/>
    </xf>
    <xf borderId="2" fillId="20" fontId="3" numFmtId="0" xfId="0" applyAlignment="1" applyBorder="1" applyFont="1">
      <alignment horizontal="left"/>
    </xf>
    <xf borderId="20" fillId="24" fontId="3" numFmtId="0" xfId="0" applyBorder="1" applyFill="1" applyFont="1"/>
    <xf borderId="0" fillId="0" fontId="40" numFmtId="49" xfId="0" applyAlignment="1" applyFont="1" applyNumberFormat="1">
      <alignment horizontal="left"/>
    </xf>
    <xf borderId="0" fillId="0" fontId="40" numFmtId="0" xfId="0" applyAlignment="1" applyFont="1">
      <alignment horizontal="left"/>
    </xf>
    <xf borderId="2" fillId="12" fontId="3" numFmtId="0" xfId="0" applyBorder="1" applyFon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724025" cy="381000"/>
    <xdr:pic>
      <xdr:nvPicPr>
        <xdr:cNvPr descr="VWt.png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724025" cy="381000"/>
    <xdr:pic>
      <xdr:nvPicPr>
        <xdr:cNvPr descr="VWt.png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724025" cy="381000"/>
    <xdr:pic>
      <xdr:nvPicPr>
        <xdr:cNvPr descr="VWt.png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724025" cy="381000"/>
    <xdr:pic>
      <xdr:nvPicPr>
        <xdr:cNvPr descr="VWt.png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724025" cy="381000"/>
    <xdr:pic>
      <xdr:nvPicPr>
        <xdr:cNvPr descr="VWt.png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724025" cy="381000"/>
    <xdr:pic>
      <xdr:nvPicPr>
        <xdr:cNvPr descr="VWt.png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724025" cy="381000"/>
    <xdr:pic>
      <xdr:nvPicPr>
        <xdr:cNvPr descr="VWt.png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724025" cy="381000"/>
    <xdr:pic>
      <xdr:nvPicPr>
        <xdr:cNvPr descr="VWt.png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724025" cy="381000"/>
    <xdr:pic>
      <xdr:nvPicPr>
        <xdr:cNvPr descr="VWt.png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724025" cy="381000"/>
    <xdr:pic>
      <xdr:nvPicPr>
        <xdr:cNvPr descr="VWt.png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724025" cy="381000"/>
    <xdr:pic>
      <xdr:nvPicPr>
        <xdr:cNvPr descr="VWt.png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724025" cy="381000"/>
    <xdr:pic>
      <xdr:nvPicPr>
        <xdr:cNvPr descr="VWt.png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5.86"/>
    <col customWidth="1" min="2" max="2" width="11.0"/>
    <col customWidth="1" min="3" max="3" width="9.14"/>
    <col customWidth="1" min="4" max="102" width="8.71"/>
  </cols>
  <sheetData>
    <row r="1" ht="14.25" customHeight="1">
      <c r="A1" s="1"/>
      <c r="B1" s="2" t="s">
        <v>0</v>
      </c>
      <c r="D1" s="3" t="s">
        <v>1</v>
      </c>
      <c r="K1" s="3" t="s">
        <v>2</v>
      </c>
      <c r="O1" s="3" t="s">
        <v>3</v>
      </c>
      <c r="Q1" s="3" t="s">
        <v>4</v>
      </c>
      <c r="U1" s="3" t="s">
        <v>5</v>
      </c>
      <c r="X1" s="3" t="s">
        <v>6</v>
      </c>
      <c r="AA1" s="3" t="s">
        <v>7</v>
      </c>
      <c r="AC1" s="3" t="s">
        <v>8</v>
      </c>
      <c r="AF1" s="3" t="s">
        <v>9</v>
      </c>
      <c r="AG1" s="3" t="s">
        <v>10</v>
      </c>
      <c r="AI1" s="3" t="s">
        <v>11</v>
      </c>
      <c r="AL1" s="3" t="s">
        <v>12</v>
      </c>
      <c r="AO1" s="3" t="s">
        <v>13</v>
      </c>
      <c r="AR1" s="3" t="s">
        <v>14</v>
      </c>
      <c r="AS1" s="3" t="s">
        <v>15</v>
      </c>
      <c r="AU1" s="3" t="s">
        <v>16</v>
      </c>
      <c r="AX1" s="3" t="s">
        <v>17</v>
      </c>
      <c r="BA1" s="3" t="s">
        <v>18</v>
      </c>
      <c r="BD1" s="3" t="s">
        <v>19</v>
      </c>
      <c r="BG1" s="3" t="s">
        <v>20</v>
      </c>
      <c r="BK1" s="3" t="s">
        <v>21</v>
      </c>
      <c r="BN1" s="3" t="s">
        <v>22</v>
      </c>
      <c r="BP1" s="3" t="s">
        <v>23</v>
      </c>
      <c r="BS1" s="3" t="s">
        <v>24</v>
      </c>
      <c r="BT1" s="3" t="s">
        <v>25</v>
      </c>
      <c r="BV1" s="3" t="s">
        <v>26</v>
      </c>
      <c r="BX1" s="3" t="s">
        <v>27</v>
      </c>
      <c r="CB1" s="3" t="s">
        <v>28</v>
      </c>
      <c r="CC1" s="3" t="s">
        <v>29</v>
      </c>
      <c r="CE1" s="3" t="s">
        <v>30</v>
      </c>
      <c r="CF1" s="3" t="s">
        <v>31</v>
      </c>
      <c r="CG1" s="3" t="s">
        <v>32</v>
      </c>
      <c r="CI1" s="3" t="s">
        <v>33</v>
      </c>
      <c r="CK1" s="3" t="s">
        <v>34</v>
      </c>
      <c r="CL1" s="3" t="s">
        <v>35</v>
      </c>
      <c r="CO1" s="3" t="s">
        <v>36</v>
      </c>
      <c r="CP1" s="3" t="s">
        <v>37</v>
      </c>
      <c r="CR1" s="3" t="s">
        <v>38</v>
      </c>
      <c r="CS1" s="3"/>
      <c r="CT1" s="3" t="s">
        <v>39</v>
      </c>
      <c r="CU1" s="3" t="s">
        <v>40</v>
      </c>
      <c r="CV1" s="3" t="s">
        <v>41</v>
      </c>
      <c r="CW1" s="3" t="s">
        <v>42</v>
      </c>
      <c r="CX1" s="3" t="s">
        <v>43</v>
      </c>
    </row>
    <row r="2" ht="14.25" customHeight="1">
      <c r="A2" s="4"/>
      <c r="B2" s="5" t="s">
        <v>44</v>
      </c>
      <c r="C2" s="4"/>
      <c r="D2" s="6" t="s">
        <v>45</v>
      </c>
      <c r="E2" s="6" t="s">
        <v>46</v>
      </c>
      <c r="F2" s="7" t="s">
        <v>47</v>
      </c>
      <c r="G2" s="8" t="s">
        <v>48</v>
      </c>
      <c r="H2" s="9" t="s">
        <v>49</v>
      </c>
      <c r="I2" s="10" t="s">
        <v>50</v>
      </c>
      <c r="J2" s="11" t="s">
        <v>51</v>
      </c>
      <c r="K2" s="6" t="s">
        <v>52</v>
      </c>
      <c r="L2" s="11" t="s">
        <v>51</v>
      </c>
      <c r="M2" s="9" t="s">
        <v>53</v>
      </c>
      <c r="N2" s="12" t="s">
        <v>54</v>
      </c>
      <c r="O2" s="6" t="s">
        <v>55</v>
      </c>
      <c r="P2" s="11" t="s">
        <v>51</v>
      </c>
      <c r="Q2" s="6" t="s">
        <v>55</v>
      </c>
      <c r="R2" s="13" t="s">
        <v>56</v>
      </c>
      <c r="S2" s="9" t="s">
        <v>57</v>
      </c>
      <c r="T2" s="13" t="s">
        <v>58</v>
      </c>
      <c r="U2" s="6" t="s">
        <v>55</v>
      </c>
      <c r="V2" s="13" t="s">
        <v>56</v>
      </c>
      <c r="W2" s="9" t="s">
        <v>57</v>
      </c>
      <c r="X2" s="6" t="s">
        <v>55</v>
      </c>
      <c r="Y2" s="13" t="s">
        <v>56</v>
      </c>
      <c r="Z2" s="13" t="s">
        <v>58</v>
      </c>
      <c r="AA2" s="6" t="s">
        <v>55</v>
      </c>
      <c r="AB2" s="13" t="s">
        <v>56</v>
      </c>
      <c r="AC2" s="6" t="s">
        <v>55</v>
      </c>
      <c r="AD2" s="11" t="s">
        <v>59</v>
      </c>
      <c r="AE2" s="9" t="s">
        <v>60</v>
      </c>
      <c r="AF2" s="6" t="s">
        <v>55</v>
      </c>
      <c r="AG2" s="6" t="s">
        <v>61</v>
      </c>
      <c r="AH2" s="6" t="s">
        <v>62</v>
      </c>
      <c r="AI2" s="6" t="s">
        <v>52</v>
      </c>
      <c r="AJ2" s="10" t="s">
        <v>50</v>
      </c>
      <c r="AK2" s="9" t="s">
        <v>60</v>
      </c>
      <c r="AL2" s="6" t="s">
        <v>52</v>
      </c>
      <c r="AM2" s="10" t="s">
        <v>63</v>
      </c>
      <c r="AN2" s="9" t="s">
        <v>60</v>
      </c>
      <c r="AO2" s="6" t="s">
        <v>52</v>
      </c>
      <c r="AP2" s="9" t="s">
        <v>60</v>
      </c>
      <c r="AQ2" s="11" t="s">
        <v>64</v>
      </c>
      <c r="AR2" s="6" t="s">
        <v>55</v>
      </c>
      <c r="AS2" s="6" t="s">
        <v>65</v>
      </c>
      <c r="AT2" s="6" t="s">
        <v>66</v>
      </c>
      <c r="AU2" s="6" t="s">
        <v>67</v>
      </c>
      <c r="AV2" s="6" t="s">
        <v>68</v>
      </c>
      <c r="AW2" s="12" t="s">
        <v>69</v>
      </c>
      <c r="AX2" s="11" t="s">
        <v>70</v>
      </c>
      <c r="AY2" s="11" t="s">
        <v>71</v>
      </c>
      <c r="AZ2" s="11" t="s">
        <v>72</v>
      </c>
      <c r="BA2" s="6" t="s">
        <v>52</v>
      </c>
      <c r="BB2" s="10" t="s">
        <v>50</v>
      </c>
      <c r="BC2" s="12" t="s">
        <v>54</v>
      </c>
      <c r="BD2" s="6" t="s">
        <v>52</v>
      </c>
      <c r="BE2" s="10" t="s">
        <v>73</v>
      </c>
      <c r="BF2" s="12" t="s">
        <v>54</v>
      </c>
      <c r="BG2" s="6" t="s">
        <v>52</v>
      </c>
      <c r="BH2" s="10" t="s">
        <v>50</v>
      </c>
      <c r="BI2" s="9" t="s">
        <v>74</v>
      </c>
      <c r="BJ2" s="12" t="s">
        <v>54</v>
      </c>
      <c r="BK2" s="6" t="s">
        <v>75</v>
      </c>
      <c r="BL2" s="6" t="s">
        <v>76</v>
      </c>
      <c r="BM2" s="11" t="s">
        <v>77</v>
      </c>
      <c r="BN2" s="6" t="s">
        <v>55</v>
      </c>
      <c r="BO2" s="12" t="s">
        <v>78</v>
      </c>
      <c r="BP2" s="6" t="s">
        <v>55</v>
      </c>
      <c r="BQ2" s="9" t="s">
        <v>60</v>
      </c>
      <c r="BR2" s="9" t="s">
        <v>74</v>
      </c>
      <c r="BS2" s="6" t="s">
        <v>55</v>
      </c>
      <c r="BT2" s="6" t="s">
        <v>55</v>
      </c>
      <c r="BU2" s="9" t="s">
        <v>79</v>
      </c>
      <c r="BV2" s="6" t="s">
        <v>80</v>
      </c>
      <c r="BW2" s="13" t="s">
        <v>81</v>
      </c>
      <c r="BX2" s="6" t="s">
        <v>55</v>
      </c>
      <c r="BY2" s="11" t="s">
        <v>82</v>
      </c>
      <c r="BZ2" s="11" t="s">
        <v>83</v>
      </c>
      <c r="CA2" s="9" t="s">
        <v>60</v>
      </c>
      <c r="CB2" s="6" t="s">
        <v>52</v>
      </c>
      <c r="CC2" s="9" t="s">
        <v>60</v>
      </c>
      <c r="CD2" s="14" t="s">
        <v>84</v>
      </c>
      <c r="CE2" s="6" t="s">
        <v>52</v>
      </c>
      <c r="CF2" s="6" t="s">
        <v>52</v>
      </c>
      <c r="CG2" s="6" t="s">
        <v>55</v>
      </c>
      <c r="CH2" s="10" t="s">
        <v>50</v>
      </c>
      <c r="CI2" s="6" t="s">
        <v>52</v>
      </c>
      <c r="CJ2" s="10" t="s">
        <v>50</v>
      </c>
      <c r="CK2" s="6" t="s">
        <v>55</v>
      </c>
      <c r="CL2" s="6" t="s">
        <v>52</v>
      </c>
      <c r="CM2" s="13" t="s">
        <v>85</v>
      </c>
      <c r="CN2" s="11" t="s">
        <v>86</v>
      </c>
      <c r="CO2" s="6" t="s">
        <v>52</v>
      </c>
      <c r="CP2" s="6" t="s">
        <v>52</v>
      </c>
      <c r="CQ2" s="12" t="s">
        <v>78</v>
      </c>
      <c r="CR2" s="6" t="s">
        <v>52</v>
      </c>
      <c r="CS2" s="13" t="s">
        <v>87</v>
      </c>
      <c r="CT2" s="6" t="s">
        <v>52</v>
      </c>
      <c r="CU2" s="6" t="s">
        <v>52</v>
      </c>
      <c r="CV2" s="6" t="s">
        <v>55</v>
      </c>
      <c r="CW2" s="6" t="s">
        <v>55</v>
      </c>
      <c r="CX2" s="6" t="s">
        <v>55</v>
      </c>
    </row>
    <row r="3" ht="14.25" customHeight="1">
      <c r="A3" s="15" t="s">
        <v>88</v>
      </c>
      <c r="B3" s="16"/>
      <c r="C3" s="17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  <c r="CE3" s="18"/>
      <c r="CF3" s="18"/>
      <c r="CG3" s="18"/>
      <c r="CH3" s="18"/>
      <c r="CI3" s="18"/>
      <c r="CJ3" s="18"/>
      <c r="CK3" s="18"/>
      <c r="CL3" s="18"/>
      <c r="CM3" s="18"/>
      <c r="CN3" s="18"/>
      <c r="CO3" s="18"/>
      <c r="CP3" s="18"/>
      <c r="CQ3" s="18"/>
      <c r="CR3" s="18"/>
      <c r="CS3" s="18"/>
      <c r="CT3" s="18"/>
      <c r="CU3" s="18"/>
      <c r="CV3" s="18"/>
      <c r="CW3" s="18"/>
      <c r="CX3" s="18"/>
    </row>
    <row r="4" ht="14.25" customHeight="1">
      <c r="A4" s="19" t="s">
        <v>89</v>
      </c>
      <c r="B4" s="20" t="s">
        <v>90</v>
      </c>
      <c r="C4" s="20" t="s">
        <v>91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</row>
    <row r="5" ht="14.25" customHeight="1">
      <c r="A5" s="21" t="s">
        <v>92</v>
      </c>
      <c r="B5" s="22" t="s">
        <v>93</v>
      </c>
      <c r="C5" s="22"/>
      <c r="D5" s="23">
        <v>85.56</v>
      </c>
      <c r="E5" s="23">
        <v>86.67</v>
      </c>
      <c r="F5" s="23">
        <v>85.47</v>
      </c>
      <c r="G5" s="23">
        <v>84.63</v>
      </c>
      <c r="H5" s="23">
        <v>82.28</v>
      </c>
      <c r="I5" s="23">
        <v>86.85</v>
      </c>
      <c r="J5" s="23">
        <v>31.76</v>
      </c>
      <c r="K5" s="23">
        <v>83.71</v>
      </c>
      <c r="L5" s="23">
        <v>26.69</v>
      </c>
      <c r="M5" s="23">
        <v>91.81</v>
      </c>
      <c r="N5" s="23">
        <v>84.46</v>
      </c>
      <c r="O5" s="23">
        <v>74.91</v>
      </c>
      <c r="P5" s="23">
        <v>3.0</v>
      </c>
      <c r="Q5" s="23">
        <v>86.75</v>
      </c>
      <c r="R5" s="23">
        <v>88.3</v>
      </c>
      <c r="S5" s="23">
        <v>87.72</v>
      </c>
      <c r="T5" s="23">
        <v>72.5</v>
      </c>
      <c r="U5" s="23">
        <v>85.17</v>
      </c>
      <c r="V5" s="23">
        <v>88.9</v>
      </c>
      <c r="W5" s="23">
        <v>89.51</v>
      </c>
      <c r="X5" s="23">
        <v>88.98</v>
      </c>
      <c r="Y5" s="23">
        <v>92.31</v>
      </c>
      <c r="Z5" s="23">
        <v>81.6</v>
      </c>
      <c r="AA5" s="23">
        <v>88.06</v>
      </c>
      <c r="AB5" s="23">
        <v>90.0</v>
      </c>
      <c r="AC5" s="23">
        <v>86.35</v>
      </c>
      <c r="AD5" s="23">
        <v>30.89</v>
      </c>
      <c r="AE5" s="23">
        <v>92.36</v>
      </c>
      <c r="AF5" s="23">
        <v>88.87</v>
      </c>
      <c r="AG5" s="23">
        <v>83.22</v>
      </c>
      <c r="AH5" s="23">
        <v>83.07</v>
      </c>
      <c r="AI5" s="23">
        <v>86.13</v>
      </c>
      <c r="AJ5" s="23">
        <v>87.2</v>
      </c>
      <c r="AK5" s="23">
        <v>89.93</v>
      </c>
      <c r="AL5" s="23">
        <v>82.25</v>
      </c>
      <c r="AM5" s="23">
        <v>75.53</v>
      </c>
      <c r="AN5" s="23">
        <v>87.05</v>
      </c>
      <c r="AO5" s="23">
        <v>87.23</v>
      </c>
      <c r="AP5" s="23">
        <v>88.35</v>
      </c>
      <c r="AQ5" s="23">
        <v>30.92</v>
      </c>
      <c r="AR5" s="23">
        <v>91.45</v>
      </c>
      <c r="AS5" s="23">
        <v>89.82</v>
      </c>
      <c r="AT5" s="23">
        <v>91.85</v>
      </c>
      <c r="AU5" s="23">
        <v>80.54</v>
      </c>
      <c r="AV5" s="23">
        <v>81.3</v>
      </c>
      <c r="AW5" s="23">
        <v>84.51</v>
      </c>
      <c r="AX5" s="23">
        <v>16.57</v>
      </c>
      <c r="AY5" s="23">
        <v>15.43</v>
      </c>
      <c r="AZ5" s="23">
        <v>14.97</v>
      </c>
      <c r="BA5" s="23">
        <v>90.95</v>
      </c>
      <c r="BB5" s="23">
        <v>89.97</v>
      </c>
      <c r="BC5" s="23">
        <v>75.35</v>
      </c>
      <c r="BD5" s="23">
        <v>85.75</v>
      </c>
      <c r="BE5" s="23">
        <v>72.75</v>
      </c>
      <c r="BF5" s="23">
        <v>75.33</v>
      </c>
      <c r="BG5" s="23">
        <v>88.15</v>
      </c>
      <c r="BH5" s="23">
        <v>82.21</v>
      </c>
      <c r="BI5" s="23">
        <v>90.9</v>
      </c>
      <c r="BJ5" s="23">
        <v>75.06</v>
      </c>
      <c r="BK5" s="23">
        <v>81.96</v>
      </c>
      <c r="BL5" s="23">
        <v>83.95</v>
      </c>
      <c r="BM5" s="23">
        <v>19.21</v>
      </c>
      <c r="BN5" s="23">
        <v>83.46</v>
      </c>
      <c r="BO5" s="23">
        <v>86.63</v>
      </c>
      <c r="BP5" s="23">
        <v>86.0</v>
      </c>
      <c r="BQ5" s="23">
        <v>83.51</v>
      </c>
      <c r="BR5" s="23">
        <v>86.37</v>
      </c>
      <c r="BS5" s="23">
        <v>73.23</v>
      </c>
      <c r="BT5" s="23">
        <v>77.93</v>
      </c>
      <c r="BU5" s="23">
        <v>85.95</v>
      </c>
      <c r="BV5" s="23">
        <v>21.32</v>
      </c>
      <c r="BW5" s="23">
        <v>20.53</v>
      </c>
      <c r="BX5" s="23">
        <v>79.11</v>
      </c>
      <c r="BY5" s="23">
        <v>30.05</v>
      </c>
      <c r="BZ5" s="23">
        <v>69.8</v>
      </c>
      <c r="CA5" s="23">
        <v>85.21</v>
      </c>
      <c r="CB5" s="23">
        <v>80.32</v>
      </c>
      <c r="CC5" s="23">
        <v>79.99</v>
      </c>
      <c r="CD5" s="23">
        <v>75.28</v>
      </c>
      <c r="CE5" s="23">
        <v>83.8</v>
      </c>
      <c r="CF5" s="23">
        <v>87.68</v>
      </c>
      <c r="CG5" s="23">
        <v>93.61</v>
      </c>
      <c r="CH5" s="23">
        <v>93.51</v>
      </c>
      <c r="CI5" s="23">
        <v>84.21</v>
      </c>
      <c r="CJ5" s="23">
        <v>86.59</v>
      </c>
      <c r="CK5" s="23">
        <v>87.87</v>
      </c>
      <c r="CL5" s="23">
        <v>87.13</v>
      </c>
      <c r="CM5" s="23">
        <v>87.13</v>
      </c>
      <c r="CN5" s="23">
        <v>16.0</v>
      </c>
      <c r="CO5" s="23">
        <v>79.8</v>
      </c>
      <c r="CP5" s="23">
        <v>88.06</v>
      </c>
      <c r="CQ5" s="23">
        <v>85.02</v>
      </c>
      <c r="CR5" s="23">
        <v>72.93</v>
      </c>
      <c r="CS5" s="23">
        <v>85.62</v>
      </c>
      <c r="CT5" s="23">
        <v>84.94</v>
      </c>
      <c r="CU5" s="23">
        <v>88.97</v>
      </c>
      <c r="CV5" s="23">
        <v>87.59</v>
      </c>
      <c r="CW5" s="23">
        <v>86.58</v>
      </c>
      <c r="CX5" s="23">
        <v>89.1</v>
      </c>
    </row>
    <row r="6" ht="14.25" customHeight="1">
      <c r="A6" s="21" t="s">
        <v>94</v>
      </c>
      <c r="B6" s="22" t="s">
        <v>95</v>
      </c>
      <c r="C6" s="22"/>
      <c r="D6" s="23">
        <v>52.0</v>
      </c>
      <c r="E6" s="23">
        <v>48.0</v>
      </c>
      <c r="F6" s="23">
        <v>53.0</v>
      </c>
      <c r="G6" s="23">
        <v>56.0</v>
      </c>
      <c r="H6" s="23">
        <v>67.0</v>
      </c>
      <c r="I6" s="23">
        <v>48.0</v>
      </c>
      <c r="J6" s="23">
        <v>243.0</v>
      </c>
      <c r="K6" s="23">
        <v>58.0</v>
      </c>
      <c r="L6" s="23">
        <v>262.0</v>
      </c>
      <c r="M6" s="23">
        <v>29.0</v>
      </c>
      <c r="N6" s="23">
        <v>57.0</v>
      </c>
      <c r="O6" s="23">
        <v>89.0</v>
      </c>
      <c r="P6" s="23">
        <v>346.0</v>
      </c>
      <c r="Q6" s="23">
        <v>47.0</v>
      </c>
      <c r="R6" s="23">
        <v>45.0</v>
      </c>
      <c r="S6" s="23">
        <v>47.0</v>
      </c>
      <c r="T6" s="23">
        <v>97.0</v>
      </c>
      <c r="U6" s="23">
        <v>53.0</v>
      </c>
      <c r="V6" s="23">
        <v>43.0</v>
      </c>
      <c r="W6" s="23">
        <v>37.0</v>
      </c>
      <c r="X6" s="23">
        <v>29.0</v>
      </c>
      <c r="Y6" s="23">
        <v>22.0</v>
      </c>
      <c r="Z6" s="23">
        <v>47.0</v>
      </c>
      <c r="AA6" s="23">
        <v>42.0</v>
      </c>
      <c r="AB6" s="23">
        <v>39.0</v>
      </c>
      <c r="AC6" s="23">
        <v>48.0</v>
      </c>
      <c r="AD6" s="23">
        <v>241.0</v>
      </c>
      <c r="AE6" s="23">
        <v>27.0</v>
      </c>
      <c r="AF6" s="23">
        <v>39.0</v>
      </c>
      <c r="AG6" s="23">
        <v>60.0</v>
      </c>
      <c r="AH6" s="23">
        <v>61.0</v>
      </c>
      <c r="AI6" s="23">
        <v>50.0</v>
      </c>
      <c r="AJ6" s="23">
        <v>46.0</v>
      </c>
      <c r="AK6" s="23">
        <v>36.0</v>
      </c>
      <c r="AL6" s="23">
        <v>63.0</v>
      </c>
      <c r="AM6" s="23">
        <v>89.0</v>
      </c>
      <c r="AN6" s="23">
        <v>46.0</v>
      </c>
      <c r="AO6" s="23">
        <v>46.0</v>
      </c>
      <c r="AP6" s="23">
        <v>41.0</v>
      </c>
      <c r="AQ6" s="23">
        <v>240.0</v>
      </c>
      <c r="AR6" s="23">
        <v>30.0</v>
      </c>
      <c r="AS6" s="23">
        <v>36.0</v>
      </c>
      <c r="AT6" s="23">
        <v>28.0</v>
      </c>
      <c r="AU6" s="23">
        <v>69.0</v>
      </c>
      <c r="AV6" s="23">
        <v>67.0</v>
      </c>
      <c r="AW6" s="23">
        <v>60.0</v>
      </c>
      <c r="AX6" s="23">
        <v>296.0</v>
      </c>
      <c r="AY6" s="23">
        <v>299.0</v>
      </c>
      <c r="AZ6" s="23">
        <v>302.0</v>
      </c>
      <c r="BA6" s="23">
        <v>32.0</v>
      </c>
      <c r="BB6" s="23">
        <v>35.0</v>
      </c>
      <c r="BC6" s="23">
        <v>92.0</v>
      </c>
      <c r="BD6" s="23">
        <v>52.0</v>
      </c>
      <c r="BE6" s="23">
        <v>103.0</v>
      </c>
      <c r="BF6" s="23">
        <v>91.0</v>
      </c>
      <c r="BG6" s="23">
        <v>43.0</v>
      </c>
      <c r="BH6" s="23">
        <v>64.0</v>
      </c>
      <c r="BI6" s="23">
        <v>38.0</v>
      </c>
      <c r="BJ6" s="23">
        <v>92.0</v>
      </c>
      <c r="BK6" s="23">
        <v>63.0</v>
      </c>
      <c r="BL6" s="23">
        <v>56.0</v>
      </c>
      <c r="BM6" s="23">
        <v>283.0</v>
      </c>
      <c r="BN6" s="23">
        <v>60.0</v>
      </c>
      <c r="BO6" s="23">
        <v>51.0</v>
      </c>
      <c r="BP6" s="23">
        <v>50.0</v>
      </c>
      <c r="BQ6" s="23">
        <v>60.0</v>
      </c>
      <c r="BR6" s="23">
        <v>53.0</v>
      </c>
      <c r="BS6" s="23">
        <v>160.0</v>
      </c>
      <c r="BT6" s="23">
        <v>83.0</v>
      </c>
      <c r="BU6" s="23">
        <v>54.0</v>
      </c>
      <c r="BV6" s="23">
        <v>277.0</v>
      </c>
      <c r="BW6" s="23">
        <v>282.0</v>
      </c>
      <c r="BX6" s="23">
        <v>74.0</v>
      </c>
      <c r="BY6" s="23">
        <v>249.0</v>
      </c>
      <c r="BZ6" s="23">
        <v>107.0</v>
      </c>
      <c r="CA6" s="23">
        <v>53.0</v>
      </c>
      <c r="CB6" s="23">
        <v>70.0</v>
      </c>
      <c r="CC6" s="23">
        <v>115.0</v>
      </c>
      <c r="CD6" s="23">
        <v>145.0</v>
      </c>
      <c r="CE6" s="23">
        <v>57.0</v>
      </c>
      <c r="CF6" s="23">
        <v>43.0</v>
      </c>
      <c r="CG6" s="23">
        <v>21.0</v>
      </c>
      <c r="CH6" s="23">
        <v>21.0</v>
      </c>
      <c r="CI6" s="23">
        <v>57.0</v>
      </c>
      <c r="CJ6" s="23">
        <v>51.0</v>
      </c>
      <c r="CK6" s="23">
        <v>44.0</v>
      </c>
      <c r="CL6" s="23">
        <v>46.0</v>
      </c>
      <c r="CM6" s="23">
        <v>46.0</v>
      </c>
      <c r="CN6" s="23">
        <v>308.0</v>
      </c>
      <c r="CO6" s="23">
        <v>73.0</v>
      </c>
      <c r="CP6" s="23">
        <v>43.0</v>
      </c>
      <c r="CQ6" s="23">
        <v>57.0</v>
      </c>
      <c r="CR6" s="23">
        <v>97.0</v>
      </c>
      <c r="CS6" s="23">
        <v>51.0</v>
      </c>
      <c r="CT6" s="23">
        <v>55.0</v>
      </c>
      <c r="CU6" s="23">
        <v>44.0</v>
      </c>
      <c r="CV6" s="23">
        <v>44.0</v>
      </c>
      <c r="CW6" s="23">
        <v>47.0</v>
      </c>
      <c r="CX6" s="23">
        <v>38.0</v>
      </c>
    </row>
    <row r="7" ht="14.25" customHeight="1">
      <c r="A7" s="21" t="s">
        <v>96</v>
      </c>
      <c r="B7" s="22" t="s">
        <v>97</v>
      </c>
      <c r="C7" s="22" t="s">
        <v>98</v>
      </c>
      <c r="D7" s="23">
        <v>0.26</v>
      </c>
      <c r="E7" s="23">
        <v>0.27</v>
      </c>
      <c r="F7" s="23">
        <v>0.26</v>
      </c>
      <c r="G7" s="23">
        <v>0.28</v>
      </c>
      <c r="H7" s="23">
        <v>0.18</v>
      </c>
      <c r="I7" s="23">
        <v>0.28</v>
      </c>
      <c r="J7" s="23">
        <v>0.93</v>
      </c>
      <c r="K7" s="23">
        <v>0.38</v>
      </c>
      <c r="L7" s="23">
        <v>1.87</v>
      </c>
      <c r="M7" s="23">
        <v>0.19</v>
      </c>
      <c r="N7" s="23">
        <v>0.19</v>
      </c>
      <c r="O7" s="23">
        <v>1.09</v>
      </c>
      <c r="P7" s="24">
        <v>3.89</v>
      </c>
      <c r="Q7" s="23">
        <v>0.94</v>
      </c>
      <c r="R7" s="23">
        <v>0.7</v>
      </c>
      <c r="S7" s="23">
        <v>0.68</v>
      </c>
      <c r="T7" s="23">
        <v>1.5</v>
      </c>
      <c r="U7" s="23">
        <v>0.81</v>
      </c>
      <c r="V7" s="23">
        <v>0.5</v>
      </c>
      <c r="W7" s="23">
        <v>0.62</v>
      </c>
      <c r="X7" s="23">
        <v>1.1</v>
      </c>
      <c r="Y7" s="23">
        <v>0.35</v>
      </c>
      <c r="Z7" s="23">
        <v>1.5</v>
      </c>
      <c r="AA7" s="23">
        <v>0.77</v>
      </c>
      <c r="AB7" s="23">
        <v>0.5</v>
      </c>
      <c r="AC7" s="23">
        <v>1.4</v>
      </c>
      <c r="AD7" s="24">
        <v>3.39</v>
      </c>
      <c r="AE7" s="23">
        <v>0.71</v>
      </c>
      <c r="AF7" s="23">
        <v>0.91</v>
      </c>
      <c r="AG7" s="23">
        <v>1.23</v>
      </c>
      <c r="AH7" s="23">
        <v>1.14</v>
      </c>
      <c r="AI7" s="23">
        <v>1.0</v>
      </c>
      <c r="AJ7" s="23">
        <v>0.92</v>
      </c>
      <c r="AK7" s="23">
        <v>0.77</v>
      </c>
      <c r="AL7" s="23">
        <v>1.06</v>
      </c>
      <c r="AM7" s="23">
        <v>1.15</v>
      </c>
      <c r="AN7" s="23">
        <v>0.77</v>
      </c>
      <c r="AO7" s="23">
        <v>0.7</v>
      </c>
      <c r="AP7" s="23">
        <v>0.39</v>
      </c>
      <c r="AQ7" s="23">
        <v>2.18</v>
      </c>
      <c r="AR7" s="23">
        <v>0.61</v>
      </c>
      <c r="AS7" s="23">
        <v>0.54</v>
      </c>
      <c r="AT7" s="23">
        <v>1.11</v>
      </c>
      <c r="AU7" s="23">
        <v>0.72</v>
      </c>
      <c r="AV7" s="23">
        <v>0.63</v>
      </c>
      <c r="AW7" s="23">
        <v>0.37</v>
      </c>
      <c r="AX7" s="21">
        <v>2.52</v>
      </c>
      <c r="AY7" s="24">
        <v>3.07</v>
      </c>
      <c r="AZ7" s="24">
        <v>3.39</v>
      </c>
      <c r="BA7" s="23">
        <v>0.67</v>
      </c>
      <c r="BB7" s="23">
        <v>0.43</v>
      </c>
      <c r="BC7" s="23">
        <v>0.56</v>
      </c>
      <c r="BD7" s="23">
        <v>1.2</v>
      </c>
      <c r="BE7" s="23">
        <v>0.7</v>
      </c>
      <c r="BF7" s="23">
        <v>0.83</v>
      </c>
      <c r="BG7" s="23">
        <v>1.39</v>
      </c>
      <c r="BH7" s="23">
        <v>1.18</v>
      </c>
      <c r="BI7" s="23">
        <v>0.3</v>
      </c>
      <c r="BJ7" s="23">
        <v>1.31</v>
      </c>
      <c r="BK7" s="23">
        <v>1.4</v>
      </c>
      <c r="BL7" s="23">
        <v>1.4</v>
      </c>
      <c r="BM7" s="24">
        <v>4.08</v>
      </c>
      <c r="BN7" s="23">
        <v>0.82</v>
      </c>
      <c r="BO7" s="23">
        <v>0.11</v>
      </c>
      <c r="BP7" s="23">
        <v>0.54</v>
      </c>
      <c r="BQ7" s="23">
        <v>0.51</v>
      </c>
      <c r="BR7" s="23">
        <v>0.36</v>
      </c>
      <c r="BS7" s="23">
        <v>2.0</v>
      </c>
      <c r="BT7" s="23">
        <v>1.67</v>
      </c>
      <c r="BU7" s="23">
        <v>0.15</v>
      </c>
      <c r="BV7" s="23">
        <v>1.81</v>
      </c>
      <c r="BW7" s="23">
        <v>2.45</v>
      </c>
      <c r="BX7" s="23">
        <v>0.75</v>
      </c>
      <c r="BY7" s="24">
        <v>3.3</v>
      </c>
      <c r="BZ7" s="23">
        <v>1.42</v>
      </c>
      <c r="CA7" s="23">
        <v>0.4</v>
      </c>
      <c r="CB7" s="23">
        <v>0.58</v>
      </c>
      <c r="CC7" s="23">
        <v>0.84</v>
      </c>
      <c r="CD7" s="23">
        <v>1.03</v>
      </c>
      <c r="CE7" s="23">
        <v>0.4</v>
      </c>
      <c r="CF7" s="23">
        <v>1.44</v>
      </c>
      <c r="CG7" s="23">
        <v>0.9</v>
      </c>
      <c r="CH7" s="23">
        <v>0.55</v>
      </c>
      <c r="CI7" s="23">
        <v>0.74</v>
      </c>
      <c r="CJ7" s="23">
        <v>0.42</v>
      </c>
      <c r="CK7" s="23">
        <v>0.88</v>
      </c>
      <c r="CL7" s="23">
        <v>0.39</v>
      </c>
      <c r="CM7" s="23">
        <v>0.39</v>
      </c>
      <c r="CN7" s="23">
        <v>0.07</v>
      </c>
      <c r="CO7" s="23">
        <v>0.66</v>
      </c>
      <c r="CP7" s="23">
        <v>0.47</v>
      </c>
      <c r="CQ7" s="23">
        <v>0.17</v>
      </c>
      <c r="CR7" s="23">
        <v>2.2</v>
      </c>
      <c r="CS7" s="23">
        <v>0.39</v>
      </c>
      <c r="CT7" s="23">
        <v>0.98</v>
      </c>
      <c r="CU7" s="23">
        <v>1.78</v>
      </c>
      <c r="CV7" s="23">
        <v>1.06</v>
      </c>
      <c r="CW7" s="23">
        <v>0.85</v>
      </c>
      <c r="CX7" s="23">
        <v>0.76</v>
      </c>
    </row>
    <row r="8" ht="14.25" customHeight="1">
      <c r="A8" s="21" t="s">
        <v>99</v>
      </c>
      <c r="B8" s="22" t="s">
        <v>100</v>
      </c>
      <c r="C8" s="22"/>
      <c r="D8" s="23">
        <v>0.17</v>
      </c>
      <c r="E8" s="23">
        <v>0.13</v>
      </c>
      <c r="F8" s="23">
        <v>0.36</v>
      </c>
      <c r="G8" s="23">
        <v>0.42</v>
      </c>
      <c r="H8" s="23">
        <v>0.43</v>
      </c>
      <c r="I8" s="23">
        <v>0.32</v>
      </c>
      <c r="J8" s="23">
        <v>0.32</v>
      </c>
      <c r="K8" s="23">
        <v>0.12</v>
      </c>
      <c r="L8" s="23">
        <v>0.63</v>
      </c>
      <c r="M8" s="23">
        <v>0.03</v>
      </c>
      <c r="N8" s="23">
        <v>0.03</v>
      </c>
      <c r="O8" s="23">
        <v>0.33</v>
      </c>
      <c r="P8" s="23">
        <v>1.81</v>
      </c>
      <c r="Q8" s="23">
        <v>0.12</v>
      </c>
      <c r="R8" s="23">
        <v>0.2</v>
      </c>
      <c r="S8" s="23">
        <v>0.15</v>
      </c>
      <c r="T8" s="23">
        <v>0.2</v>
      </c>
      <c r="U8" s="23">
        <v>0.31</v>
      </c>
      <c r="V8" s="23">
        <v>0.2</v>
      </c>
      <c r="W8" s="23">
        <v>0.03</v>
      </c>
      <c r="X8" s="23">
        <v>0.3</v>
      </c>
      <c r="Y8" s="23">
        <v>0.24</v>
      </c>
      <c r="Z8" s="23">
        <v>0.3</v>
      </c>
      <c r="AA8" s="23">
        <v>0.14</v>
      </c>
      <c r="AB8" s="23">
        <v>0.1</v>
      </c>
      <c r="AC8" s="23">
        <v>0.39</v>
      </c>
      <c r="AD8" s="23">
        <v>0.51</v>
      </c>
      <c r="AE8" s="23">
        <v>0.16</v>
      </c>
      <c r="AF8" s="23">
        <v>0.25</v>
      </c>
      <c r="AG8" s="23">
        <v>0.56</v>
      </c>
      <c r="AH8" s="23">
        <v>0.52</v>
      </c>
      <c r="AI8" s="23">
        <v>0.3</v>
      </c>
      <c r="AJ8" s="23">
        <v>0.44</v>
      </c>
      <c r="AK8" s="23">
        <v>0.1</v>
      </c>
      <c r="AL8" s="23">
        <v>0.2</v>
      </c>
      <c r="AM8" s="23">
        <v>0.13</v>
      </c>
      <c r="AN8" s="23">
        <v>0.13</v>
      </c>
      <c r="AO8" s="23">
        <v>0.28</v>
      </c>
      <c r="AP8" s="23">
        <v>0.01</v>
      </c>
      <c r="AQ8" s="23">
        <v>0.38</v>
      </c>
      <c r="AR8" s="23">
        <v>0.15</v>
      </c>
      <c r="AS8" s="23">
        <v>0.14</v>
      </c>
      <c r="AT8" s="23">
        <v>0.1</v>
      </c>
      <c r="AU8" s="23">
        <v>0.16</v>
      </c>
      <c r="AV8" s="23">
        <v>0.35</v>
      </c>
      <c r="AW8" s="23">
        <v>0.13</v>
      </c>
      <c r="AX8" s="23">
        <v>0.54</v>
      </c>
      <c r="AY8" s="23">
        <v>0.46</v>
      </c>
      <c r="AZ8" s="23">
        <v>0.46</v>
      </c>
      <c r="BA8" s="23">
        <v>0.3</v>
      </c>
      <c r="BB8" s="23">
        <v>0.11</v>
      </c>
      <c r="BC8" s="23">
        <v>0.26</v>
      </c>
      <c r="BD8" s="23">
        <v>0.65</v>
      </c>
      <c r="BE8" s="23">
        <v>0.16</v>
      </c>
      <c r="BF8" s="23">
        <v>0.12</v>
      </c>
      <c r="BG8" s="23">
        <v>0.49</v>
      </c>
      <c r="BH8" s="23">
        <v>0.43</v>
      </c>
      <c r="BI8" s="23">
        <v>0.6</v>
      </c>
      <c r="BJ8" s="23">
        <v>0.14</v>
      </c>
      <c r="BK8" s="23">
        <v>0.41</v>
      </c>
      <c r="BL8" s="23">
        <v>0.2</v>
      </c>
      <c r="BM8" s="23">
        <v>0.27</v>
      </c>
      <c r="BN8" s="23">
        <v>0.38</v>
      </c>
      <c r="BO8" s="23">
        <v>0.06</v>
      </c>
      <c r="BP8" s="23">
        <v>0.12</v>
      </c>
      <c r="BQ8" s="23">
        <v>0.11</v>
      </c>
      <c r="BR8" s="23">
        <v>0.12</v>
      </c>
      <c r="BS8" s="25">
        <v>14.66</v>
      </c>
      <c r="BT8" s="23">
        <v>1.17</v>
      </c>
      <c r="BU8" s="23">
        <v>0.29</v>
      </c>
      <c r="BV8" s="23">
        <v>0.15</v>
      </c>
      <c r="BW8" s="23">
        <v>0.39</v>
      </c>
      <c r="BX8" s="23">
        <v>0.3</v>
      </c>
      <c r="BY8" s="23">
        <v>0.93</v>
      </c>
      <c r="BZ8" s="23">
        <v>0.4</v>
      </c>
      <c r="CA8" s="23">
        <v>0.1</v>
      </c>
      <c r="CB8" s="23">
        <v>0.19</v>
      </c>
      <c r="CC8" s="24">
        <v>10.68</v>
      </c>
      <c r="CD8" s="25">
        <v>15.32</v>
      </c>
      <c r="CE8" s="23">
        <v>0.1</v>
      </c>
      <c r="CF8" s="23">
        <v>0.39</v>
      </c>
      <c r="CG8" s="23">
        <v>0.2</v>
      </c>
      <c r="CH8" s="23">
        <v>0.11</v>
      </c>
      <c r="CI8" s="23">
        <v>0.33</v>
      </c>
      <c r="CJ8" s="23">
        <v>0.64</v>
      </c>
      <c r="CK8" s="23">
        <v>0.58</v>
      </c>
      <c r="CL8" s="23">
        <v>0.13</v>
      </c>
      <c r="CM8" s="23">
        <v>0.13</v>
      </c>
      <c r="CN8" s="23">
        <v>1.37</v>
      </c>
      <c r="CO8" s="23">
        <v>0.5</v>
      </c>
      <c r="CP8" s="23">
        <v>0.26</v>
      </c>
      <c r="CQ8" s="23">
        <v>0.15</v>
      </c>
      <c r="CR8" s="23">
        <v>0.7</v>
      </c>
      <c r="CS8" s="23">
        <v>0.05</v>
      </c>
      <c r="CT8" s="23">
        <v>0.6</v>
      </c>
      <c r="CU8" s="23">
        <v>1.26</v>
      </c>
      <c r="CV8" s="23">
        <v>0.32</v>
      </c>
      <c r="CW8" s="23">
        <v>0.15</v>
      </c>
      <c r="CX8" s="23">
        <v>0.04</v>
      </c>
    </row>
    <row r="9" ht="14.25" customHeight="1">
      <c r="A9" s="21" t="s">
        <v>101</v>
      </c>
      <c r="B9" s="22" t="s">
        <v>102</v>
      </c>
      <c r="C9" s="22"/>
      <c r="D9" s="23">
        <v>13.81</v>
      </c>
      <c r="E9" s="23">
        <v>12.76</v>
      </c>
      <c r="F9" s="23">
        <v>13.64</v>
      </c>
      <c r="G9" s="23">
        <v>14.41</v>
      </c>
      <c r="H9" s="23">
        <v>16.84</v>
      </c>
      <c r="I9" s="23">
        <v>12.31</v>
      </c>
      <c r="J9" s="23">
        <v>65.89</v>
      </c>
      <c r="K9" s="23">
        <v>15.46</v>
      </c>
      <c r="L9" s="23">
        <v>69.7</v>
      </c>
      <c r="M9" s="23">
        <v>7.81</v>
      </c>
      <c r="N9" s="23">
        <v>15.17</v>
      </c>
      <c r="O9" s="23">
        <v>22.84</v>
      </c>
      <c r="P9" s="23">
        <v>88.28</v>
      </c>
      <c r="Q9" s="23">
        <v>11.75</v>
      </c>
      <c r="R9" s="23">
        <v>10.4</v>
      </c>
      <c r="S9" s="23">
        <v>11.01</v>
      </c>
      <c r="T9" s="23">
        <v>25.0</v>
      </c>
      <c r="U9" s="23">
        <v>13.34</v>
      </c>
      <c r="V9" s="23">
        <v>10.1</v>
      </c>
      <c r="W9" s="23">
        <v>9.57</v>
      </c>
      <c r="X9" s="23">
        <v>9.32</v>
      </c>
      <c r="Y9" s="23">
        <v>6.9</v>
      </c>
      <c r="Z9" s="23">
        <v>16.0</v>
      </c>
      <c r="AA9" s="23">
        <v>10.66</v>
      </c>
      <c r="AB9" s="23">
        <v>9.2</v>
      </c>
      <c r="AC9" s="23">
        <v>11.12</v>
      </c>
      <c r="AD9" s="23">
        <v>62.64</v>
      </c>
      <c r="AE9" s="23">
        <v>6.39</v>
      </c>
      <c r="AF9" s="23">
        <v>9.54</v>
      </c>
      <c r="AG9" s="23">
        <v>14.23</v>
      </c>
      <c r="AH9" s="23">
        <v>14.66</v>
      </c>
      <c r="AI9" s="23">
        <v>12.18</v>
      </c>
      <c r="AJ9" s="23">
        <v>11.02</v>
      </c>
      <c r="AK9" s="23">
        <v>8.94</v>
      </c>
      <c r="AL9" s="23">
        <v>16.01</v>
      </c>
      <c r="AM9" s="23">
        <v>22.36</v>
      </c>
      <c r="AN9" s="23">
        <v>11.76</v>
      </c>
      <c r="AO9" s="23">
        <v>11.42</v>
      </c>
      <c r="AP9" s="23">
        <v>11.03</v>
      </c>
      <c r="AQ9" s="23">
        <v>63.88</v>
      </c>
      <c r="AR9" s="23">
        <v>7.55</v>
      </c>
      <c r="AS9" s="23">
        <v>9.09</v>
      </c>
      <c r="AT9" s="23">
        <v>6.58</v>
      </c>
      <c r="AU9" s="23">
        <v>18.1</v>
      </c>
      <c r="AV9" s="23">
        <v>17.15</v>
      </c>
      <c r="AW9" s="23">
        <v>14.77</v>
      </c>
      <c r="AX9" s="23">
        <v>78.47</v>
      </c>
      <c r="AY9" s="23">
        <v>79.18</v>
      </c>
      <c r="AZ9" s="23">
        <v>79.52</v>
      </c>
      <c r="BA9" s="23">
        <v>7.68</v>
      </c>
      <c r="BB9" s="23">
        <v>9.13</v>
      </c>
      <c r="BC9" s="23">
        <v>23.53</v>
      </c>
      <c r="BD9" s="23">
        <v>11.94</v>
      </c>
      <c r="BE9" s="23">
        <v>26.16</v>
      </c>
      <c r="BF9" s="23">
        <v>23.36</v>
      </c>
      <c r="BG9" s="23">
        <v>9.61</v>
      </c>
      <c r="BH9" s="23">
        <v>15.67</v>
      </c>
      <c r="BI9" s="23">
        <v>7.8</v>
      </c>
      <c r="BJ9" s="23">
        <v>23.1</v>
      </c>
      <c r="BK9" s="23">
        <v>15.38</v>
      </c>
      <c r="BL9" s="23">
        <v>13.8</v>
      </c>
      <c r="BM9" s="23">
        <v>74.08</v>
      </c>
      <c r="BN9" s="23">
        <v>14.98</v>
      </c>
      <c r="BO9" s="23">
        <v>13.12</v>
      </c>
      <c r="BP9" s="23">
        <v>13.12</v>
      </c>
      <c r="BQ9" s="23">
        <v>15.56</v>
      </c>
      <c r="BR9" s="23">
        <v>12.87</v>
      </c>
      <c r="BS9" s="23">
        <v>8.53</v>
      </c>
      <c r="BT9" s="23">
        <v>18.7</v>
      </c>
      <c r="BU9" s="23">
        <v>13.13</v>
      </c>
      <c r="BV9" s="23">
        <v>74.97</v>
      </c>
      <c r="BW9" s="23">
        <v>75.03</v>
      </c>
      <c r="BX9" s="23">
        <v>19.18</v>
      </c>
      <c r="BY9" s="23">
        <v>63.87</v>
      </c>
      <c r="BZ9" s="23">
        <v>27.57</v>
      </c>
      <c r="CA9" s="23">
        <v>13.99</v>
      </c>
      <c r="CB9" s="23">
        <v>18.59</v>
      </c>
      <c r="CC9" s="23">
        <v>6.26</v>
      </c>
      <c r="CD9" s="23">
        <v>3.84</v>
      </c>
      <c r="CE9" s="23">
        <v>15.3</v>
      </c>
      <c r="CF9" s="23">
        <v>9.8</v>
      </c>
      <c r="CG9" s="23">
        <v>4.54</v>
      </c>
      <c r="CH9" s="23">
        <v>5.1</v>
      </c>
      <c r="CI9" s="23">
        <v>14.49</v>
      </c>
      <c r="CJ9" s="23">
        <v>12.17</v>
      </c>
      <c r="CK9" s="23">
        <v>10.18</v>
      </c>
      <c r="CL9" s="23">
        <v>12.2</v>
      </c>
      <c r="CM9" s="23">
        <v>12.2</v>
      </c>
      <c r="CN9" s="23">
        <v>82.36</v>
      </c>
      <c r="CO9" s="23">
        <v>18.4</v>
      </c>
      <c r="CP9" s="23">
        <v>10.82</v>
      </c>
      <c r="CQ9" s="23">
        <v>14.51</v>
      </c>
      <c r="CR9" s="23">
        <v>23.38</v>
      </c>
      <c r="CS9" s="23">
        <v>13.6</v>
      </c>
      <c r="CT9" s="23">
        <v>12.92</v>
      </c>
      <c r="CU9" s="23">
        <v>7.56</v>
      </c>
      <c r="CV9" s="23">
        <v>10.55</v>
      </c>
      <c r="CW9" s="23">
        <v>12.02</v>
      </c>
      <c r="CX9" s="23">
        <v>9.62</v>
      </c>
    </row>
    <row r="10" ht="14.25" customHeight="1">
      <c r="A10" s="21" t="s">
        <v>103</v>
      </c>
      <c r="B10" s="22" t="s">
        <v>104</v>
      </c>
      <c r="C10" s="22"/>
      <c r="D10" s="23">
        <v>2.4</v>
      </c>
      <c r="E10" s="23">
        <v>1.3</v>
      </c>
      <c r="F10" s="23">
        <v>2.4</v>
      </c>
      <c r="G10" s="23">
        <v>2.8</v>
      </c>
      <c r="H10" s="23">
        <v>2.0</v>
      </c>
      <c r="I10" s="23">
        <v>1.3</v>
      </c>
      <c r="J10" s="25">
        <v>8.7</v>
      </c>
      <c r="K10" s="23">
        <v>3.1</v>
      </c>
      <c r="L10" s="25">
        <v>7.5</v>
      </c>
      <c r="M10" s="23">
        <v>1.6</v>
      </c>
      <c r="N10" s="23">
        <v>1.6</v>
      </c>
      <c r="O10" s="23">
        <v>2.6</v>
      </c>
      <c r="P10" s="26">
        <v>9.9</v>
      </c>
      <c r="Q10" s="23">
        <v>2.4</v>
      </c>
      <c r="R10" s="23">
        <v>0.2</v>
      </c>
      <c r="S10" s="23">
        <v>0.3</v>
      </c>
      <c r="T10" s="26">
        <v>10.6</v>
      </c>
      <c r="U10" s="23">
        <v>1.8</v>
      </c>
      <c r="V10" s="23">
        <v>0.2</v>
      </c>
      <c r="W10" s="23">
        <v>0.7</v>
      </c>
      <c r="X10" s="23">
        <v>2.8</v>
      </c>
      <c r="Y10" s="23">
        <v>0.3</v>
      </c>
      <c r="Z10" s="26">
        <v>10.6</v>
      </c>
      <c r="AA10" s="23">
        <v>1.6</v>
      </c>
      <c r="AC10" s="23">
        <v>2.0</v>
      </c>
      <c r="AD10" s="25">
        <v>7.3</v>
      </c>
      <c r="AE10" s="23">
        <v>1.6</v>
      </c>
      <c r="AF10" s="23">
        <v>1.5</v>
      </c>
      <c r="AG10" s="23">
        <v>2.0</v>
      </c>
      <c r="AH10" s="23">
        <v>3.0</v>
      </c>
      <c r="AI10" s="23">
        <v>1.6</v>
      </c>
      <c r="AJ10" s="23">
        <v>1.6</v>
      </c>
      <c r="AK10" s="23">
        <v>1.1</v>
      </c>
      <c r="AL10" s="23">
        <v>2.1</v>
      </c>
      <c r="AM10" s="23">
        <v>2.1</v>
      </c>
      <c r="AN10" s="23">
        <v>1.5</v>
      </c>
      <c r="AO10" s="23">
        <v>1.4</v>
      </c>
      <c r="AP10" s="23">
        <v>0.9</v>
      </c>
      <c r="AQ10" s="25">
        <v>7.1</v>
      </c>
      <c r="AR10" s="23">
        <v>0.4</v>
      </c>
      <c r="AS10" s="23">
        <v>0.8</v>
      </c>
      <c r="AT10" s="23">
        <v>0.9</v>
      </c>
      <c r="AU10" s="23">
        <v>0.9</v>
      </c>
      <c r="AV10" s="23">
        <v>0.9</v>
      </c>
      <c r="AW10" s="23">
        <v>0.2</v>
      </c>
      <c r="AX10" s="25">
        <v>6.8</v>
      </c>
      <c r="AY10" s="23">
        <v>3.7</v>
      </c>
      <c r="AZ10" s="23">
        <v>4.0</v>
      </c>
      <c r="BA10" s="23">
        <v>2.0</v>
      </c>
      <c r="BB10" s="23">
        <v>2.1</v>
      </c>
      <c r="BC10" s="23">
        <v>1.7</v>
      </c>
      <c r="BD10" s="25">
        <v>6.5</v>
      </c>
      <c r="BE10" s="23">
        <v>4.4</v>
      </c>
      <c r="BF10" s="23">
        <v>3.3</v>
      </c>
      <c r="BG10" s="24">
        <v>5.3</v>
      </c>
      <c r="BH10" s="24">
        <v>5.0</v>
      </c>
      <c r="BI10" s="23">
        <v>0.1</v>
      </c>
      <c r="BJ10" s="23">
        <v>3.4</v>
      </c>
      <c r="BL10" s="23">
        <v>4.3</v>
      </c>
      <c r="BM10" s="25">
        <v>6.8</v>
      </c>
      <c r="BN10" s="23">
        <v>1.6</v>
      </c>
      <c r="BO10" s="23">
        <v>0.3</v>
      </c>
      <c r="BP10" s="23">
        <v>1.4</v>
      </c>
      <c r="BQ10" s="23">
        <v>1.3</v>
      </c>
      <c r="BR10" s="23">
        <v>0.2</v>
      </c>
      <c r="BS10" s="25">
        <v>6.7</v>
      </c>
      <c r="BT10" s="21">
        <v>4.0</v>
      </c>
      <c r="BU10" s="23">
        <v>0.1</v>
      </c>
      <c r="BV10" s="25">
        <v>6.7</v>
      </c>
      <c r="BW10" s="25">
        <v>8.0</v>
      </c>
      <c r="BX10" s="23">
        <v>2.9</v>
      </c>
      <c r="BY10" s="26">
        <v>9.8</v>
      </c>
      <c r="BZ10" s="21">
        <v>4.2</v>
      </c>
      <c r="CA10" s="23">
        <v>2.2</v>
      </c>
      <c r="CB10" s="23">
        <v>3.6</v>
      </c>
      <c r="CC10" s="23">
        <v>3.2</v>
      </c>
      <c r="CD10" s="23">
        <v>3.3</v>
      </c>
      <c r="CE10" s="23">
        <v>1.9</v>
      </c>
      <c r="CF10" s="23">
        <v>1.7</v>
      </c>
      <c r="CG10" s="23">
        <v>1.8</v>
      </c>
      <c r="CH10" s="23">
        <v>1.8</v>
      </c>
      <c r="CI10" s="23">
        <v>2.4</v>
      </c>
      <c r="CJ10" s="23">
        <v>2.7</v>
      </c>
      <c r="CK10" s="21">
        <v>4.3</v>
      </c>
      <c r="CL10" s="21">
        <v>4.6</v>
      </c>
      <c r="CM10" s="23">
        <v>0.1</v>
      </c>
      <c r="CN10" s="24">
        <v>5.7</v>
      </c>
      <c r="CO10" s="23">
        <v>7.0</v>
      </c>
      <c r="CP10" s="23">
        <v>1.7</v>
      </c>
      <c r="CQ10" s="23">
        <v>0.6</v>
      </c>
      <c r="CR10" s="26">
        <v>10.4</v>
      </c>
      <c r="CS10" s="23">
        <v>0.2</v>
      </c>
      <c r="CT10" s="25">
        <v>6.4</v>
      </c>
      <c r="CV10" s="23">
        <v>1.7</v>
      </c>
      <c r="CW10" s="23">
        <v>1.7</v>
      </c>
      <c r="CX10" s="23">
        <v>1.0</v>
      </c>
    </row>
    <row r="11" ht="14.25" customHeight="1">
      <c r="A11" s="21" t="s">
        <v>105</v>
      </c>
      <c r="B11" s="22"/>
      <c r="C11" s="22"/>
      <c r="D11" s="23">
        <v>10.39</v>
      </c>
      <c r="E11" s="23">
        <v>10.1</v>
      </c>
      <c r="F11" s="23">
        <v>11.01</v>
      </c>
      <c r="G11" s="23">
        <v>11.61</v>
      </c>
      <c r="H11" s="23">
        <v>14.84</v>
      </c>
      <c r="J11" s="23">
        <v>57.19</v>
      </c>
      <c r="K11" s="23">
        <v>9.8</v>
      </c>
      <c r="L11" s="23">
        <v>62.2</v>
      </c>
      <c r="M11" s="23">
        <v>6.1</v>
      </c>
      <c r="N11" s="23">
        <v>12.1</v>
      </c>
      <c r="O11" s="23">
        <v>12.23</v>
      </c>
      <c r="P11" s="23">
        <v>47.3</v>
      </c>
      <c r="Q11" s="23">
        <v>9.35</v>
      </c>
      <c r="R11" s="23">
        <v>8.4</v>
      </c>
      <c r="S11" s="23">
        <v>8.76</v>
      </c>
      <c r="U11" s="23">
        <v>10.58</v>
      </c>
      <c r="V11" s="23">
        <v>9.9</v>
      </c>
      <c r="W11" s="23">
        <v>8.87</v>
      </c>
      <c r="X11" s="23">
        <v>2.5</v>
      </c>
      <c r="Y11" s="23">
        <v>2.52</v>
      </c>
      <c r="Z11" s="23">
        <v>4.17</v>
      </c>
      <c r="AA11" s="23">
        <v>6.89</v>
      </c>
      <c r="AC11" s="23">
        <v>9.24</v>
      </c>
      <c r="AD11" s="23">
        <v>53.44</v>
      </c>
      <c r="AE11" s="23">
        <v>4.79</v>
      </c>
      <c r="AF11" s="23">
        <v>8.39</v>
      </c>
      <c r="AG11" s="23">
        <v>10.98</v>
      </c>
      <c r="AH11" s="23">
        <v>8.99</v>
      </c>
      <c r="AI11" s="23">
        <v>8.49</v>
      </c>
      <c r="AJ11" s="23">
        <v>9.02</v>
      </c>
      <c r="AK11" s="23">
        <v>7.6</v>
      </c>
      <c r="AL11" s="23">
        <v>12.82</v>
      </c>
      <c r="AM11" s="23">
        <v>20.26</v>
      </c>
      <c r="AN11" s="23">
        <v>10.26</v>
      </c>
      <c r="AO11" s="23">
        <v>9.92</v>
      </c>
      <c r="AP11" s="23">
        <v>10.1</v>
      </c>
      <c r="AQ11" s="23">
        <v>38.13</v>
      </c>
      <c r="AR11" s="23">
        <v>6.2</v>
      </c>
      <c r="AS11" s="23">
        <v>8.12</v>
      </c>
      <c r="AT11" s="23">
        <v>5.69</v>
      </c>
      <c r="AU11" s="23">
        <v>15.48</v>
      </c>
      <c r="AV11" s="23">
        <v>16.25</v>
      </c>
      <c r="AW11" s="23">
        <v>14.2</v>
      </c>
      <c r="AY11" s="23">
        <v>59.19</v>
      </c>
      <c r="AZ11" s="23">
        <v>59.19</v>
      </c>
      <c r="BA11" s="23">
        <v>4.89</v>
      </c>
      <c r="BB11" s="23">
        <v>4.56</v>
      </c>
      <c r="BC11" s="23">
        <v>21.83</v>
      </c>
      <c r="BD11" s="23">
        <v>4.42</v>
      </c>
      <c r="BE11" s="23">
        <v>21.76</v>
      </c>
      <c r="BF11" s="23">
        <v>20.06</v>
      </c>
      <c r="BG11" s="23">
        <v>4.88</v>
      </c>
      <c r="BH11" s="23">
        <v>10.67</v>
      </c>
      <c r="BI11" s="23">
        <v>7.7</v>
      </c>
      <c r="BJ11" s="23">
        <v>19.7</v>
      </c>
      <c r="BL11" s="23">
        <v>7.37</v>
      </c>
      <c r="BM11" s="23">
        <v>67.28</v>
      </c>
      <c r="BN11" s="23">
        <v>13.66</v>
      </c>
      <c r="BO11" s="23">
        <v>12.45</v>
      </c>
      <c r="BP11" s="23">
        <v>9.85</v>
      </c>
      <c r="BQ11" s="23">
        <v>14.26</v>
      </c>
      <c r="BR11" s="23">
        <v>9.98</v>
      </c>
      <c r="BS11" s="23">
        <v>0.66</v>
      </c>
      <c r="BT11" s="23">
        <v>13.67</v>
      </c>
      <c r="BU11" s="23">
        <v>12.65</v>
      </c>
      <c r="BV11" s="23">
        <v>66.47</v>
      </c>
      <c r="BW11" s="23">
        <v>63.35</v>
      </c>
      <c r="BX11" s="23">
        <v>16.26</v>
      </c>
      <c r="BY11" s="23">
        <v>47.92</v>
      </c>
      <c r="BZ11" s="23">
        <v>23.35</v>
      </c>
      <c r="CA11" s="23">
        <v>11.79</v>
      </c>
      <c r="CB11" s="23">
        <v>12.53</v>
      </c>
      <c r="CC11" s="23">
        <v>0.0</v>
      </c>
      <c r="CD11" s="23">
        <v>0.54</v>
      </c>
      <c r="CF11" s="23">
        <v>8.1</v>
      </c>
      <c r="CG11" s="23">
        <v>1.1</v>
      </c>
      <c r="CH11" s="23">
        <v>1.1</v>
      </c>
      <c r="CI11" s="23">
        <v>9.96</v>
      </c>
      <c r="CJ11" s="23">
        <v>8.45</v>
      </c>
      <c r="CL11" s="23">
        <v>4.04</v>
      </c>
      <c r="CM11" s="23">
        <v>12.1</v>
      </c>
      <c r="CN11" s="23">
        <v>65.0</v>
      </c>
      <c r="CP11" s="23">
        <v>7.82</v>
      </c>
      <c r="CQ11" s="23">
        <v>13.91</v>
      </c>
      <c r="CR11" s="23">
        <v>11.2</v>
      </c>
      <c r="CS11" s="23">
        <v>13.4</v>
      </c>
      <c r="CT11" s="23">
        <v>8.2</v>
      </c>
      <c r="CV11" s="23">
        <v>7.89</v>
      </c>
      <c r="CW11" s="23">
        <v>9.18</v>
      </c>
    </row>
    <row r="12" ht="14.25" customHeight="1">
      <c r="A12" s="19" t="s">
        <v>106</v>
      </c>
      <c r="B12" s="27"/>
      <c r="C12" s="27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</row>
    <row r="13" ht="14.25" customHeight="1">
      <c r="A13" s="21" t="s">
        <v>107</v>
      </c>
      <c r="B13" s="22">
        <v>1000.0</v>
      </c>
      <c r="C13" s="22">
        <v>2500.0</v>
      </c>
      <c r="D13" s="23">
        <v>6.0</v>
      </c>
      <c r="E13" s="23">
        <v>5.0</v>
      </c>
      <c r="F13" s="23">
        <v>5.0</v>
      </c>
      <c r="G13" s="23">
        <v>5.0</v>
      </c>
      <c r="H13" s="23">
        <v>4.0</v>
      </c>
      <c r="I13" s="23">
        <v>4.0</v>
      </c>
      <c r="J13" s="23">
        <v>14.0</v>
      </c>
      <c r="K13" s="23">
        <v>9.0</v>
      </c>
      <c r="L13" s="24">
        <v>34.0</v>
      </c>
      <c r="M13" s="23">
        <v>4.0</v>
      </c>
      <c r="N13" s="23">
        <v>5.0</v>
      </c>
      <c r="O13" s="23">
        <v>5.0</v>
      </c>
      <c r="P13" s="23">
        <v>22.0</v>
      </c>
      <c r="Q13" s="24">
        <v>40.0</v>
      </c>
      <c r="R13" s="23">
        <v>11.0</v>
      </c>
      <c r="S13" s="23">
        <v>10.0</v>
      </c>
      <c r="T13" s="24">
        <v>161.0</v>
      </c>
      <c r="U13" s="24">
        <v>37.0</v>
      </c>
      <c r="V13" s="23">
        <v>18.0</v>
      </c>
      <c r="W13" s="23">
        <v>11.0</v>
      </c>
      <c r="X13" s="23">
        <v>26.0</v>
      </c>
      <c r="Y13" s="23">
        <v>6.0</v>
      </c>
      <c r="Z13" s="24">
        <v>134.0</v>
      </c>
      <c r="AA13" s="23">
        <v>22.0</v>
      </c>
      <c r="AB13" s="23">
        <v>9.0</v>
      </c>
      <c r="AC13" s="23">
        <v>13.0</v>
      </c>
      <c r="AD13" s="24">
        <v>55.0</v>
      </c>
      <c r="AE13" s="23">
        <v>8.0</v>
      </c>
      <c r="AF13" s="23">
        <v>6.0</v>
      </c>
      <c r="AG13" s="23">
        <v>20.0</v>
      </c>
      <c r="AH13" s="24">
        <v>34.0</v>
      </c>
      <c r="AI13" s="23">
        <v>16.0</v>
      </c>
      <c r="AJ13" s="23">
        <v>13.0</v>
      </c>
      <c r="AK13" s="23">
        <v>11.0</v>
      </c>
      <c r="AL13" s="23">
        <v>13.0</v>
      </c>
      <c r="AM13" s="23">
        <v>12.0</v>
      </c>
      <c r="AN13" s="23">
        <v>11.0</v>
      </c>
      <c r="AO13" s="23">
        <v>6.0</v>
      </c>
      <c r="AP13" s="23">
        <v>7.0</v>
      </c>
      <c r="AQ13" s="24">
        <v>43.0</v>
      </c>
      <c r="AR13" s="23">
        <v>7.0</v>
      </c>
      <c r="AS13" s="23">
        <v>6.0</v>
      </c>
      <c r="AT13" s="23">
        <v>11.0</v>
      </c>
      <c r="AU13" s="23">
        <v>10.0</v>
      </c>
      <c r="AV13" s="23">
        <v>14.0</v>
      </c>
      <c r="AW13" s="23">
        <v>11.0</v>
      </c>
      <c r="AX13" s="23">
        <v>28.0</v>
      </c>
      <c r="AY13" s="24">
        <v>50.0</v>
      </c>
      <c r="AZ13" s="24">
        <v>53.0</v>
      </c>
      <c r="BA13" s="23">
        <v>16.0</v>
      </c>
      <c r="BB13" s="23">
        <v>16.0</v>
      </c>
      <c r="BC13" s="23">
        <v>13.0</v>
      </c>
      <c r="BD13" s="23">
        <v>25.0</v>
      </c>
      <c r="BE13" s="23">
        <v>15.0</v>
      </c>
      <c r="BF13" s="23">
        <v>11.0</v>
      </c>
      <c r="BG13" s="23">
        <v>29.0</v>
      </c>
      <c r="BH13" s="23">
        <v>29.0</v>
      </c>
      <c r="BI13" s="23">
        <v>12.0</v>
      </c>
      <c r="BJ13" s="23">
        <v>21.0</v>
      </c>
      <c r="BK13" s="24">
        <v>55.0</v>
      </c>
      <c r="BL13" s="24">
        <v>33.0</v>
      </c>
      <c r="BM13" s="25">
        <v>86.0</v>
      </c>
      <c r="BN13" s="23">
        <v>11.0</v>
      </c>
      <c r="BO13" s="23">
        <v>17.0</v>
      </c>
      <c r="BP13" s="23">
        <v>13.0</v>
      </c>
      <c r="BQ13" s="23">
        <v>16.0</v>
      </c>
      <c r="BR13" s="23">
        <v>13.0</v>
      </c>
      <c r="BS13" s="23">
        <v>12.0</v>
      </c>
      <c r="BT13" s="23">
        <v>10.0</v>
      </c>
      <c r="BU13" s="23">
        <v>11.0</v>
      </c>
      <c r="BV13" s="24">
        <v>64.0</v>
      </c>
      <c r="BW13" s="24">
        <v>39.0</v>
      </c>
      <c r="BX13" s="24">
        <v>35.0</v>
      </c>
      <c r="BY13" s="24">
        <v>162.0</v>
      </c>
      <c r="BZ13" s="24">
        <v>70.0</v>
      </c>
      <c r="CA13" s="23">
        <v>28.0</v>
      </c>
      <c r="CB13" s="23">
        <v>8.0</v>
      </c>
      <c r="CC13" s="25">
        <v>88.0</v>
      </c>
      <c r="CD13" s="24">
        <v>52.0</v>
      </c>
      <c r="CE13" s="23">
        <v>11.0</v>
      </c>
      <c r="CF13" s="24">
        <v>39.0</v>
      </c>
      <c r="CG13" s="25">
        <v>86.0</v>
      </c>
      <c r="CH13" s="25">
        <v>194.0</v>
      </c>
      <c r="CI13" s="23">
        <v>6.0</v>
      </c>
      <c r="CJ13" s="23">
        <v>8.0</v>
      </c>
      <c r="CK13" s="23">
        <v>25.0</v>
      </c>
      <c r="CL13" s="23">
        <v>8.0</v>
      </c>
      <c r="CM13" s="23">
        <v>8.0</v>
      </c>
      <c r="CN13" s="23">
        <v>10.0</v>
      </c>
      <c r="CO13" s="24">
        <v>38.0</v>
      </c>
      <c r="CP13" s="23">
        <v>20.0</v>
      </c>
      <c r="CQ13" s="23">
        <v>10.0</v>
      </c>
      <c r="CR13" s="23">
        <v>12.0</v>
      </c>
      <c r="CS13" s="23">
        <v>4.0</v>
      </c>
      <c r="CT13" s="23">
        <v>17.0</v>
      </c>
      <c r="CU13" s="23">
        <v>13.0</v>
      </c>
      <c r="CV13" s="23">
        <v>6.0</v>
      </c>
      <c r="CW13" s="24">
        <v>30.0</v>
      </c>
      <c r="CX13" s="23">
        <v>4.0</v>
      </c>
    </row>
    <row r="14" ht="14.25" customHeight="1">
      <c r="A14" s="21" t="s">
        <v>108</v>
      </c>
      <c r="B14" s="22" t="s">
        <v>109</v>
      </c>
      <c r="C14" s="22" t="s">
        <v>110</v>
      </c>
      <c r="D14" s="23">
        <v>0.12</v>
      </c>
      <c r="E14" s="23">
        <v>0.07</v>
      </c>
      <c r="F14" s="23">
        <v>0.19</v>
      </c>
      <c r="G14" s="23">
        <v>0.17</v>
      </c>
      <c r="H14" s="23">
        <v>0.24</v>
      </c>
      <c r="I14" s="23">
        <v>0.18</v>
      </c>
      <c r="J14" s="24">
        <v>1.4</v>
      </c>
      <c r="K14" s="23">
        <v>0.17</v>
      </c>
      <c r="L14" s="24">
        <v>2.1</v>
      </c>
      <c r="M14" s="23">
        <v>0.21</v>
      </c>
      <c r="N14" s="23">
        <v>0.28</v>
      </c>
      <c r="O14" s="23">
        <v>0.26</v>
      </c>
      <c r="P14" s="24">
        <v>1.15</v>
      </c>
      <c r="Q14" s="23">
        <v>0.1</v>
      </c>
      <c r="R14" s="23">
        <v>0.2</v>
      </c>
      <c r="S14" s="23">
        <v>0.1</v>
      </c>
      <c r="T14" s="23">
        <v>0.8</v>
      </c>
      <c r="U14" s="23">
        <v>0.15</v>
      </c>
      <c r="V14" s="23">
        <v>0.2</v>
      </c>
      <c r="W14" s="23">
        <v>0.27</v>
      </c>
      <c r="X14" s="23">
        <v>0.6</v>
      </c>
      <c r="Y14" s="23">
        <v>0.08</v>
      </c>
      <c r="Z14" s="23">
        <v>0.8</v>
      </c>
      <c r="AA14" s="23">
        <v>0.08</v>
      </c>
      <c r="AB14" s="23">
        <v>0.2</v>
      </c>
      <c r="AC14" s="23">
        <v>0.39</v>
      </c>
      <c r="AD14" s="24">
        <v>2.66</v>
      </c>
      <c r="AE14" s="23">
        <v>0.32</v>
      </c>
      <c r="AF14" s="23">
        <v>0.25</v>
      </c>
      <c r="AG14" s="23">
        <v>0.29</v>
      </c>
      <c r="AH14" s="23">
        <v>0.31</v>
      </c>
      <c r="AI14" s="23">
        <v>0.32</v>
      </c>
      <c r="AJ14" s="23">
        <v>0.53</v>
      </c>
      <c r="AK14" s="24">
        <v>1.37</v>
      </c>
      <c r="AL14" s="23">
        <v>0.36</v>
      </c>
      <c r="AM14" s="23">
        <v>0.35</v>
      </c>
      <c r="AN14" s="23">
        <v>0.36</v>
      </c>
      <c r="AO14" s="23">
        <v>0.17</v>
      </c>
      <c r="AP14" s="23">
        <v>0.16</v>
      </c>
      <c r="AQ14" s="23">
        <v>0.93</v>
      </c>
      <c r="AR14" s="23">
        <v>0.24</v>
      </c>
      <c r="AS14" s="23">
        <v>0.17</v>
      </c>
      <c r="AT14" s="23">
        <v>0.34</v>
      </c>
      <c r="AU14" s="23">
        <v>0.36</v>
      </c>
      <c r="AV14" s="23">
        <v>0.29</v>
      </c>
      <c r="AW14" s="23">
        <v>0.25</v>
      </c>
      <c r="AX14" s="24">
        <v>2.59</v>
      </c>
      <c r="AY14" s="24">
        <v>1.88</v>
      </c>
      <c r="AZ14" s="24">
        <v>1.79</v>
      </c>
      <c r="BA14" s="23">
        <v>0.41</v>
      </c>
      <c r="BB14" s="23">
        <v>0.75</v>
      </c>
      <c r="BC14" s="23">
        <v>0.49</v>
      </c>
      <c r="BD14" s="23">
        <v>0.69</v>
      </c>
      <c r="BE14" s="23">
        <v>0.65</v>
      </c>
      <c r="BF14" s="23">
        <v>0.42</v>
      </c>
      <c r="BG14" s="23">
        <v>0.62</v>
      </c>
      <c r="BH14" s="23">
        <v>0.8</v>
      </c>
      <c r="BI14" s="23">
        <v>0.48</v>
      </c>
      <c r="BJ14" s="23">
        <v>0.65</v>
      </c>
      <c r="BK14" s="24">
        <v>1.54</v>
      </c>
      <c r="BL14" s="24">
        <v>1.0</v>
      </c>
      <c r="BM14" s="24">
        <v>3.26</v>
      </c>
      <c r="BN14" s="23">
        <v>0.16</v>
      </c>
      <c r="BO14" s="23">
        <v>0.36</v>
      </c>
      <c r="BP14" s="23">
        <v>0.29</v>
      </c>
      <c r="BQ14" s="23">
        <v>0.28</v>
      </c>
      <c r="BR14" s="23">
        <v>0.31</v>
      </c>
      <c r="BS14" s="23">
        <v>0.55</v>
      </c>
      <c r="BT14" s="23">
        <v>0.3</v>
      </c>
      <c r="BU14" s="23">
        <v>0.1</v>
      </c>
      <c r="BV14" s="24">
        <v>0.9</v>
      </c>
      <c r="BW14" s="24">
        <v>1.02</v>
      </c>
      <c r="BX14" s="23">
        <v>0.37</v>
      </c>
      <c r="BY14" s="24">
        <v>2.03</v>
      </c>
      <c r="BZ14" s="23">
        <v>0.88</v>
      </c>
      <c r="CA14" s="23">
        <v>0.29</v>
      </c>
      <c r="CB14" s="23">
        <v>0.15</v>
      </c>
      <c r="CC14" s="24">
        <v>3.3</v>
      </c>
      <c r="CD14" s="23">
        <v>0.49</v>
      </c>
      <c r="CE14" s="23">
        <v>0.7</v>
      </c>
      <c r="CF14" s="24">
        <v>1.85</v>
      </c>
      <c r="CG14" s="23">
        <v>0.22</v>
      </c>
      <c r="CH14" s="23">
        <v>0.29</v>
      </c>
      <c r="CI14" s="23">
        <v>0.28</v>
      </c>
      <c r="CJ14" s="23">
        <v>0.18</v>
      </c>
      <c r="CK14" s="23">
        <v>0.31</v>
      </c>
      <c r="CL14" s="23">
        <v>0.25</v>
      </c>
      <c r="CM14" s="23">
        <v>0.25</v>
      </c>
      <c r="CN14" s="23">
        <v>0.53</v>
      </c>
      <c r="CO14" s="24">
        <v>1.6</v>
      </c>
      <c r="CP14" s="23">
        <v>0.25</v>
      </c>
      <c r="CQ14" s="23">
        <v>0.34</v>
      </c>
      <c r="CR14" s="24">
        <v>1.6</v>
      </c>
      <c r="CS14" s="23">
        <v>0.24</v>
      </c>
      <c r="CT14" s="23">
        <v>0.14</v>
      </c>
      <c r="CU14" s="24">
        <v>1.13</v>
      </c>
      <c r="CV14" s="23">
        <v>0.28</v>
      </c>
      <c r="CW14" s="23">
        <v>0.14</v>
      </c>
      <c r="CX14" s="23">
        <v>0.11</v>
      </c>
    </row>
    <row r="15" ht="14.25" customHeight="1">
      <c r="A15" s="21" t="s">
        <v>111</v>
      </c>
      <c r="B15" s="22" t="s">
        <v>112</v>
      </c>
      <c r="C15" s="22">
        <v>350.0</v>
      </c>
      <c r="D15" s="23">
        <v>5.0</v>
      </c>
      <c r="E15" s="23">
        <v>4.0</v>
      </c>
      <c r="F15" s="23">
        <v>3.0</v>
      </c>
      <c r="G15" s="23">
        <v>3.0</v>
      </c>
      <c r="H15" s="23">
        <v>3.0</v>
      </c>
      <c r="I15" s="23">
        <v>3.0</v>
      </c>
      <c r="J15" s="23">
        <v>16.0</v>
      </c>
      <c r="K15" s="23">
        <v>7.0</v>
      </c>
      <c r="L15" s="23">
        <v>33.0</v>
      </c>
      <c r="M15" s="23">
        <v>4.0</v>
      </c>
      <c r="N15" s="23">
        <v>4.0</v>
      </c>
      <c r="O15" s="23">
        <v>27.0</v>
      </c>
      <c r="P15" s="25">
        <v>108.0</v>
      </c>
      <c r="Q15" s="23">
        <v>10.0</v>
      </c>
      <c r="R15" s="23">
        <v>11.0</v>
      </c>
      <c r="S15" s="23">
        <v>10.0</v>
      </c>
      <c r="T15" s="23">
        <v>22.0</v>
      </c>
      <c r="U15" s="23">
        <v>12.0</v>
      </c>
      <c r="V15" s="23">
        <v>8.0</v>
      </c>
      <c r="W15" s="23">
        <v>11.0</v>
      </c>
      <c r="X15" s="23">
        <v>8.0</v>
      </c>
      <c r="Y15" s="23">
        <v>6.0</v>
      </c>
      <c r="Z15" s="23">
        <v>15.0</v>
      </c>
      <c r="AA15" s="23">
        <v>9.0</v>
      </c>
      <c r="AB15" s="23">
        <v>12.0</v>
      </c>
      <c r="AC15" s="23">
        <v>10.0</v>
      </c>
      <c r="AD15" s="23">
        <v>32.0</v>
      </c>
      <c r="AE15" s="23">
        <v>7.0</v>
      </c>
      <c r="AF15" s="23">
        <v>9.0</v>
      </c>
      <c r="AG15" s="23">
        <v>14.0</v>
      </c>
      <c r="AH15" s="23">
        <v>17.0</v>
      </c>
      <c r="AI15" s="23">
        <v>9.0</v>
      </c>
      <c r="AJ15" s="23">
        <v>9.0</v>
      </c>
      <c r="AK15" s="23">
        <v>6.0</v>
      </c>
      <c r="AL15" s="23">
        <v>11.0</v>
      </c>
      <c r="AM15" s="23">
        <v>10.0</v>
      </c>
      <c r="AN15" s="23">
        <v>9.0</v>
      </c>
      <c r="AO15" s="23">
        <v>7.0</v>
      </c>
      <c r="AP15" s="23">
        <v>5.0</v>
      </c>
      <c r="AQ15" s="24">
        <v>41.0</v>
      </c>
      <c r="AR15" s="23">
        <v>10.0</v>
      </c>
      <c r="AS15" s="23">
        <v>10.0</v>
      </c>
      <c r="AT15" s="23">
        <v>11.0</v>
      </c>
      <c r="AU15" s="23">
        <v>7.0</v>
      </c>
      <c r="AV15" s="23">
        <v>5.0</v>
      </c>
      <c r="AW15" s="23">
        <v>10.0</v>
      </c>
      <c r="AX15" s="23">
        <v>30.0</v>
      </c>
      <c r="AY15" s="23">
        <v>32.0</v>
      </c>
      <c r="AZ15" s="23">
        <v>35.0</v>
      </c>
      <c r="BA15" s="23">
        <v>13.0</v>
      </c>
      <c r="BB15" s="23">
        <v>11.0</v>
      </c>
      <c r="BC15" s="23">
        <v>8.0</v>
      </c>
      <c r="BD15" s="23">
        <v>22.0</v>
      </c>
      <c r="BE15" s="23">
        <v>13.0</v>
      </c>
      <c r="BF15" s="23">
        <v>12.0</v>
      </c>
      <c r="BG15" s="23">
        <v>20.0</v>
      </c>
      <c r="BH15" s="23">
        <v>22.0</v>
      </c>
      <c r="BI15" s="23">
        <v>21.0</v>
      </c>
      <c r="BJ15" s="23">
        <v>17.0</v>
      </c>
      <c r="BK15" s="23">
        <v>24.0</v>
      </c>
      <c r="BL15" s="23">
        <v>13.0</v>
      </c>
      <c r="BM15" s="24">
        <v>41.0</v>
      </c>
      <c r="BN15" s="23">
        <v>10.0</v>
      </c>
      <c r="BO15" s="23">
        <v>3.0</v>
      </c>
      <c r="BP15" s="23">
        <v>12.0</v>
      </c>
      <c r="BQ15" s="23">
        <v>15.0</v>
      </c>
      <c r="BR15" s="23">
        <v>12.0</v>
      </c>
      <c r="BS15" s="23">
        <v>29.0</v>
      </c>
      <c r="BT15" s="23">
        <v>12.0</v>
      </c>
      <c r="BU15" s="23">
        <v>7.0</v>
      </c>
      <c r="BV15" s="24">
        <v>54.0</v>
      </c>
      <c r="BW15" s="24">
        <v>43.0</v>
      </c>
      <c r="BX15" s="23">
        <v>17.0</v>
      </c>
      <c r="BY15" s="24">
        <v>68.0</v>
      </c>
      <c r="BZ15" s="23">
        <v>29.0</v>
      </c>
      <c r="CA15" s="23">
        <v>10.0</v>
      </c>
      <c r="CB15" s="23">
        <v>9.0</v>
      </c>
      <c r="CC15" s="23">
        <v>4.0</v>
      </c>
      <c r="CD15" s="23">
        <v>11.0</v>
      </c>
      <c r="CE15" s="23">
        <v>8.0</v>
      </c>
      <c r="CF15" s="23">
        <v>18.0</v>
      </c>
      <c r="CG15" s="23">
        <v>12.0</v>
      </c>
      <c r="CH15" s="23">
        <v>18.0</v>
      </c>
      <c r="CI15" s="23">
        <v>6.0</v>
      </c>
      <c r="CJ15" s="23">
        <v>5.0</v>
      </c>
      <c r="CK15" s="23">
        <v>10.0</v>
      </c>
      <c r="CL15" s="23">
        <v>6.0</v>
      </c>
      <c r="CM15" s="23">
        <v>6.0</v>
      </c>
      <c r="CN15" s="23">
        <v>5.0</v>
      </c>
      <c r="CO15" s="23">
        <v>5.0</v>
      </c>
      <c r="CP15" s="23">
        <v>21.0</v>
      </c>
      <c r="CQ15" s="23">
        <v>3.0</v>
      </c>
      <c r="CR15" s="23">
        <v>29.0</v>
      </c>
      <c r="CS15" s="23">
        <v>17.0</v>
      </c>
      <c r="CT15" s="23">
        <v>9.0</v>
      </c>
      <c r="CU15" s="24">
        <v>40.0</v>
      </c>
      <c r="CV15" s="23">
        <v>9.0</v>
      </c>
      <c r="CW15" s="23">
        <v>10.0</v>
      </c>
      <c r="CX15" s="23">
        <v>6.0</v>
      </c>
    </row>
    <row r="16" ht="14.25" customHeight="1">
      <c r="A16" s="21" t="s">
        <v>113</v>
      </c>
      <c r="B16" s="22" t="s">
        <v>114</v>
      </c>
      <c r="C16" s="22">
        <v>4000.0</v>
      </c>
      <c r="D16" s="23">
        <v>11.0</v>
      </c>
      <c r="E16" s="23">
        <v>11.0</v>
      </c>
      <c r="F16" s="23">
        <v>8.0</v>
      </c>
      <c r="G16" s="23">
        <v>8.0</v>
      </c>
      <c r="H16" s="23">
        <v>6.0</v>
      </c>
      <c r="I16" s="23">
        <v>8.0</v>
      </c>
      <c r="J16" s="23">
        <v>38.0</v>
      </c>
      <c r="K16" s="23">
        <v>11.0</v>
      </c>
      <c r="L16" s="23">
        <v>59.0</v>
      </c>
      <c r="M16" s="23">
        <v>7.0</v>
      </c>
      <c r="N16" s="23">
        <v>7.0</v>
      </c>
      <c r="O16" s="23">
        <v>22.0</v>
      </c>
      <c r="P16" s="24">
        <v>74.0</v>
      </c>
      <c r="Q16" s="23">
        <v>14.0</v>
      </c>
      <c r="R16" s="23">
        <v>17.0</v>
      </c>
      <c r="S16" s="23">
        <v>17.0</v>
      </c>
      <c r="T16" s="23">
        <v>21.0</v>
      </c>
      <c r="U16" s="23">
        <v>20.0</v>
      </c>
      <c r="V16" s="23">
        <v>14.0</v>
      </c>
      <c r="W16" s="23">
        <v>10.0</v>
      </c>
      <c r="X16" s="23">
        <v>16.0</v>
      </c>
      <c r="Y16" s="23">
        <v>8.0</v>
      </c>
      <c r="Z16" s="23">
        <v>12.0</v>
      </c>
      <c r="AA16" s="23">
        <v>18.0</v>
      </c>
      <c r="AB16" s="23">
        <v>15.0</v>
      </c>
      <c r="AC16" s="23">
        <v>23.0</v>
      </c>
      <c r="AD16" s="24">
        <v>71.0</v>
      </c>
      <c r="AE16" s="23">
        <v>13.0</v>
      </c>
      <c r="AF16" s="23">
        <v>20.0</v>
      </c>
      <c r="AG16" s="23">
        <v>29.0</v>
      </c>
      <c r="AH16" s="23">
        <v>34.0</v>
      </c>
      <c r="AI16" s="23">
        <v>15.0</v>
      </c>
      <c r="AJ16" s="23">
        <v>16.0</v>
      </c>
      <c r="AK16" s="23">
        <v>10.0</v>
      </c>
      <c r="AL16" s="23">
        <v>21.0</v>
      </c>
      <c r="AM16" s="23">
        <v>16.0</v>
      </c>
      <c r="AN16" s="23">
        <v>15.0</v>
      </c>
      <c r="AO16" s="23">
        <v>16.0</v>
      </c>
      <c r="AP16" s="23">
        <v>13.0</v>
      </c>
      <c r="AQ16" s="24">
        <v>69.0</v>
      </c>
      <c r="AR16" s="23">
        <v>11.0</v>
      </c>
      <c r="AS16" s="23">
        <v>11.0</v>
      </c>
      <c r="AT16" s="23">
        <v>5.0</v>
      </c>
      <c r="AU16" s="23">
        <v>20.0</v>
      </c>
      <c r="AV16" s="23">
        <v>10.0</v>
      </c>
      <c r="AW16" s="23">
        <v>14.0</v>
      </c>
      <c r="AX16" s="24">
        <v>75.0</v>
      </c>
      <c r="AY16" s="25">
        <v>101.0</v>
      </c>
      <c r="AZ16" s="25">
        <v>115.0</v>
      </c>
      <c r="BA16" s="23">
        <v>24.0</v>
      </c>
      <c r="BB16" s="23">
        <v>13.0</v>
      </c>
      <c r="BC16" s="23">
        <v>12.0</v>
      </c>
      <c r="BD16" s="23">
        <v>29.0</v>
      </c>
      <c r="BE16" s="23">
        <v>17.0</v>
      </c>
      <c r="BF16" s="23">
        <v>9.0</v>
      </c>
      <c r="BG16" s="23">
        <v>22.0</v>
      </c>
      <c r="BH16" s="23">
        <v>30.0</v>
      </c>
      <c r="BI16" s="23">
        <v>12.0</v>
      </c>
      <c r="BJ16" s="23">
        <v>14.0</v>
      </c>
      <c r="BK16" s="23">
        <v>59.0</v>
      </c>
      <c r="BL16" s="23">
        <v>44.0</v>
      </c>
      <c r="BM16" s="24">
        <v>125.0</v>
      </c>
      <c r="BN16" s="23">
        <v>14.0</v>
      </c>
      <c r="BO16" s="23">
        <v>2.0</v>
      </c>
      <c r="BP16" s="23">
        <v>8.0</v>
      </c>
      <c r="BQ16" s="23">
        <v>7.0</v>
      </c>
      <c r="BR16" s="23">
        <v>8.0</v>
      </c>
      <c r="BS16" s="23">
        <v>52.0</v>
      </c>
      <c r="BT16" s="23">
        <v>36.0</v>
      </c>
      <c r="BU16" s="23">
        <v>11.0</v>
      </c>
      <c r="BV16" s="23">
        <v>62.0</v>
      </c>
      <c r="BW16" s="23">
        <v>62.0</v>
      </c>
      <c r="BX16" s="23">
        <v>14.0</v>
      </c>
      <c r="BY16" s="24">
        <v>67.0</v>
      </c>
      <c r="BZ16" s="23">
        <v>29.0</v>
      </c>
      <c r="CA16" s="23">
        <v>10.0</v>
      </c>
      <c r="CB16" s="23">
        <v>17.0</v>
      </c>
      <c r="CC16" s="23">
        <v>3.0</v>
      </c>
      <c r="CD16" s="23">
        <v>4.0</v>
      </c>
      <c r="CE16" s="23">
        <v>17.0</v>
      </c>
      <c r="CF16" s="23">
        <v>38.0</v>
      </c>
      <c r="CG16" s="23">
        <v>14.0</v>
      </c>
      <c r="CH16" s="23">
        <v>12.0</v>
      </c>
      <c r="CI16" s="23">
        <v>12.0</v>
      </c>
      <c r="CJ16" s="23">
        <v>11.0</v>
      </c>
      <c r="CK16" s="23">
        <v>27.0</v>
      </c>
      <c r="CL16" s="23">
        <v>13.0</v>
      </c>
      <c r="CM16" s="23">
        <v>13.0</v>
      </c>
      <c r="CN16" s="23">
        <v>8.0</v>
      </c>
      <c r="CO16" s="23">
        <v>39.0</v>
      </c>
      <c r="CP16" s="23">
        <v>10.0</v>
      </c>
      <c r="CQ16" s="23">
        <v>0.0</v>
      </c>
      <c r="CR16" s="24">
        <v>68.0</v>
      </c>
      <c r="CS16" s="23">
        <v>13.0</v>
      </c>
      <c r="CT16" s="23">
        <v>19.0</v>
      </c>
      <c r="CU16" s="23">
        <v>37.0</v>
      </c>
      <c r="CV16" s="23">
        <v>26.0</v>
      </c>
      <c r="CW16" s="23">
        <v>21.0</v>
      </c>
      <c r="CX16" s="23">
        <v>17.0</v>
      </c>
    </row>
    <row r="17" ht="14.25" customHeight="1">
      <c r="A17" s="21" t="s">
        <v>115</v>
      </c>
      <c r="B17" s="22" t="s">
        <v>116</v>
      </c>
      <c r="C17" s="22" t="s">
        <v>100</v>
      </c>
      <c r="D17" s="23">
        <v>107.0</v>
      </c>
      <c r="E17" s="23">
        <v>90.0</v>
      </c>
      <c r="F17" s="23">
        <v>88.0</v>
      </c>
      <c r="G17" s="23">
        <v>93.0</v>
      </c>
      <c r="H17" s="23">
        <v>70.0</v>
      </c>
      <c r="I17" s="23">
        <v>77.0</v>
      </c>
      <c r="J17" s="24">
        <v>450.0</v>
      </c>
      <c r="K17" s="23">
        <v>119.0</v>
      </c>
      <c r="L17" s="24">
        <v>533.0</v>
      </c>
      <c r="M17" s="23">
        <v>53.0</v>
      </c>
      <c r="N17" s="23">
        <v>66.0</v>
      </c>
      <c r="O17" s="23">
        <v>358.0</v>
      </c>
      <c r="P17" s="25">
        <v>1491.0</v>
      </c>
      <c r="Q17" s="23">
        <v>181.0</v>
      </c>
      <c r="R17" s="23">
        <v>200.0</v>
      </c>
      <c r="S17" s="23">
        <v>184.0</v>
      </c>
      <c r="T17" s="23">
        <v>212.0</v>
      </c>
      <c r="U17" s="23">
        <v>166.0</v>
      </c>
      <c r="V17" s="23">
        <v>178.0</v>
      </c>
      <c r="W17" s="23">
        <v>133.0</v>
      </c>
      <c r="X17" s="23">
        <v>138.0</v>
      </c>
      <c r="Y17" s="23">
        <v>103.0</v>
      </c>
      <c r="Z17" s="23">
        <v>160.0</v>
      </c>
      <c r="AA17" s="23">
        <v>135.0</v>
      </c>
      <c r="AB17" s="23">
        <v>162.0</v>
      </c>
      <c r="AC17" s="23">
        <v>259.0</v>
      </c>
      <c r="AD17" s="25">
        <v>1162.0</v>
      </c>
      <c r="AE17" s="23">
        <v>192.0</v>
      </c>
      <c r="AF17" s="23">
        <v>190.0</v>
      </c>
      <c r="AG17" s="23">
        <v>316.0</v>
      </c>
      <c r="AH17" s="23">
        <v>312.0</v>
      </c>
      <c r="AI17" s="23">
        <v>173.0</v>
      </c>
      <c r="AJ17" s="23">
        <v>124.0</v>
      </c>
      <c r="AK17" s="23">
        <v>98.0</v>
      </c>
      <c r="AL17" s="23">
        <v>222.0</v>
      </c>
      <c r="AM17" s="23">
        <v>199.0</v>
      </c>
      <c r="AN17" s="23">
        <v>131.0</v>
      </c>
      <c r="AO17" s="23">
        <v>157.0</v>
      </c>
      <c r="AP17" s="23">
        <v>126.0</v>
      </c>
      <c r="AQ17" s="24">
        <v>732.0</v>
      </c>
      <c r="AR17" s="23">
        <v>112.0</v>
      </c>
      <c r="AS17" s="23">
        <v>228.0</v>
      </c>
      <c r="AT17" s="23">
        <v>182.0</v>
      </c>
      <c r="AU17" s="23">
        <v>191.0</v>
      </c>
      <c r="AV17" s="23">
        <v>191.0</v>
      </c>
      <c r="AW17" s="23">
        <v>104.0</v>
      </c>
      <c r="AX17" s="24">
        <v>825.0</v>
      </c>
      <c r="AY17" s="24">
        <v>749.0</v>
      </c>
      <c r="AZ17" s="24">
        <v>746.0</v>
      </c>
      <c r="BA17" s="23">
        <v>153.0</v>
      </c>
      <c r="BB17" s="23">
        <v>148.0</v>
      </c>
      <c r="BC17" s="23">
        <v>86.0</v>
      </c>
      <c r="BD17" s="23">
        <v>151.0</v>
      </c>
      <c r="BE17" s="23">
        <v>114.0</v>
      </c>
      <c r="BF17" s="23">
        <v>94.0</v>
      </c>
      <c r="BG17" s="23">
        <v>162.0</v>
      </c>
      <c r="BH17" s="23">
        <v>140.0</v>
      </c>
      <c r="BI17" s="23">
        <v>135.0</v>
      </c>
      <c r="BJ17" s="23">
        <v>99.0</v>
      </c>
      <c r="BK17" s="23">
        <v>322.0</v>
      </c>
      <c r="BL17" s="23">
        <v>275.0</v>
      </c>
      <c r="BM17" s="24">
        <v>892.0</v>
      </c>
      <c r="BN17" s="23">
        <v>168.0</v>
      </c>
      <c r="BO17" s="23">
        <v>24.0</v>
      </c>
      <c r="BP17" s="23">
        <v>109.0</v>
      </c>
      <c r="BQ17" s="23">
        <v>124.0</v>
      </c>
      <c r="BR17" s="23">
        <v>130.0</v>
      </c>
      <c r="BS17" s="24">
        <v>485.0</v>
      </c>
      <c r="BT17" s="23">
        <v>236.0</v>
      </c>
      <c r="BU17" s="23">
        <v>214.0</v>
      </c>
      <c r="BV17" s="24">
        <v>696.0</v>
      </c>
      <c r="BW17" s="24">
        <v>656.0</v>
      </c>
      <c r="BX17" s="23">
        <v>232.0</v>
      </c>
      <c r="BY17" s="24">
        <v>680.0</v>
      </c>
      <c r="BZ17" s="23">
        <v>294.0</v>
      </c>
      <c r="CA17" s="23">
        <v>103.0</v>
      </c>
      <c r="CB17" s="23">
        <v>161.0</v>
      </c>
      <c r="CC17" s="23">
        <v>8.0</v>
      </c>
      <c r="CD17" s="23">
        <v>42.0</v>
      </c>
      <c r="CE17" s="23">
        <v>197.0</v>
      </c>
      <c r="CF17" s="23">
        <v>194.0</v>
      </c>
      <c r="CG17" s="23">
        <v>288.0</v>
      </c>
      <c r="CH17" s="23">
        <v>108.0</v>
      </c>
      <c r="CI17" s="23">
        <v>77.0</v>
      </c>
      <c r="CJ17" s="23">
        <v>54.0</v>
      </c>
      <c r="CK17" s="23">
        <v>198.0</v>
      </c>
      <c r="CL17" s="23">
        <v>85.0</v>
      </c>
      <c r="CM17" s="23">
        <v>77.0</v>
      </c>
      <c r="CN17" s="23">
        <v>40.0</v>
      </c>
      <c r="CO17" s="23">
        <v>280.0</v>
      </c>
      <c r="CP17" s="23">
        <v>182.0</v>
      </c>
      <c r="CQ17" s="23">
        <v>31.0</v>
      </c>
      <c r="CR17" s="23">
        <v>348.0</v>
      </c>
      <c r="CS17" s="23">
        <v>278.0</v>
      </c>
      <c r="CT17" s="23">
        <v>172.0</v>
      </c>
      <c r="CU17" s="23">
        <v>123.0</v>
      </c>
      <c r="CV17" s="23">
        <v>201.0</v>
      </c>
      <c r="CW17" s="23">
        <v>177.0</v>
      </c>
      <c r="CX17" s="23">
        <v>216.0</v>
      </c>
    </row>
    <row r="18" ht="14.25" customHeight="1">
      <c r="A18" s="21" t="s">
        <v>117</v>
      </c>
      <c r="B18" s="22" t="s">
        <v>118</v>
      </c>
      <c r="C18" s="22">
        <v>2300.0</v>
      </c>
      <c r="D18" s="23">
        <v>1.0</v>
      </c>
      <c r="E18" s="23">
        <v>0.0</v>
      </c>
      <c r="F18" s="23">
        <v>1.0</v>
      </c>
      <c r="G18" s="23">
        <v>1.0</v>
      </c>
      <c r="H18" s="23">
        <v>3.0</v>
      </c>
      <c r="I18" s="23">
        <v>3.0</v>
      </c>
      <c r="J18" s="21">
        <v>87.0</v>
      </c>
      <c r="K18" s="23">
        <v>1.0</v>
      </c>
      <c r="L18" s="23">
        <v>6.0</v>
      </c>
      <c r="M18" s="23">
        <v>2.0</v>
      </c>
      <c r="N18" s="23">
        <v>5.0</v>
      </c>
      <c r="O18" s="23">
        <v>1.0</v>
      </c>
      <c r="P18" s="23">
        <v>3.0</v>
      </c>
      <c r="Q18" s="23">
        <v>0.0</v>
      </c>
      <c r="R18" s="23">
        <v>1.0</v>
      </c>
      <c r="S18" s="23">
        <v>4.0</v>
      </c>
      <c r="T18" s="23">
        <v>3.0</v>
      </c>
      <c r="U18" s="23">
        <v>2.0</v>
      </c>
      <c r="V18" s="23">
        <v>1.0</v>
      </c>
      <c r="W18" s="23">
        <v>5.0</v>
      </c>
      <c r="X18" s="23">
        <v>2.0</v>
      </c>
      <c r="Y18" s="23">
        <v>1.0</v>
      </c>
      <c r="Z18" s="23">
        <v>6.0</v>
      </c>
      <c r="AA18" s="23">
        <v>0.0</v>
      </c>
      <c r="AB18" s="23">
        <v>1.0</v>
      </c>
      <c r="AC18" s="23">
        <v>1.0</v>
      </c>
      <c r="AD18" s="23">
        <v>10.0</v>
      </c>
      <c r="AE18" s="23">
        <v>3.0</v>
      </c>
      <c r="AF18" s="23">
        <v>0.0</v>
      </c>
      <c r="AG18" s="23">
        <v>3.0</v>
      </c>
      <c r="AH18" s="23">
        <v>3.0</v>
      </c>
      <c r="AI18" s="23">
        <v>3.0</v>
      </c>
      <c r="AJ18" s="23">
        <v>1.0</v>
      </c>
      <c r="AK18" s="23">
        <v>7.0</v>
      </c>
      <c r="AL18" s="23">
        <v>0.0</v>
      </c>
      <c r="AM18" s="23">
        <v>1.0</v>
      </c>
      <c r="AN18" s="23">
        <v>1.0</v>
      </c>
      <c r="AO18" s="23">
        <v>0.0</v>
      </c>
      <c r="AP18" s="23">
        <v>1.0</v>
      </c>
      <c r="AQ18" s="23">
        <v>2.0</v>
      </c>
      <c r="AR18" s="23">
        <v>1.0</v>
      </c>
      <c r="AS18" s="23">
        <v>18.0</v>
      </c>
      <c r="AT18" s="23">
        <v>9.0</v>
      </c>
      <c r="AU18" s="23">
        <v>2.0</v>
      </c>
      <c r="AV18" s="23">
        <v>2.0</v>
      </c>
      <c r="AW18" s="23">
        <v>5.0</v>
      </c>
      <c r="AX18" s="23">
        <v>28.0</v>
      </c>
      <c r="AY18" s="23">
        <v>11.0</v>
      </c>
      <c r="AZ18" s="23">
        <v>12.0</v>
      </c>
      <c r="BA18" s="23">
        <v>1.0</v>
      </c>
      <c r="BB18" s="23">
        <v>2.0</v>
      </c>
      <c r="BC18" s="23">
        <v>4.0</v>
      </c>
      <c r="BD18" s="23">
        <v>1.0</v>
      </c>
      <c r="BE18" s="23">
        <v>1.0</v>
      </c>
      <c r="BF18" s="23">
        <v>3.0</v>
      </c>
      <c r="BG18" s="23">
        <v>1.0</v>
      </c>
      <c r="BH18" s="23">
        <v>1.0</v>
      </c>
      <c r="BI18" s="23">
        <v>1.0</v>
      </c>
      <c r="BJ18" s="23">
        <v>3.0</v>
      </c>
      <c r="BK18" s="23">
        <v>2.0</v>
      </c>
      <c r="BL18" s="23">
        <v>1.0</v>
      </c>
      <c r="BM18" s="23">
        <v>8.0</v>
      </c>
      <c r="BN18" s="23">
        <v>1.0</v>
      </c>
      <c r="BO18" s="23">
        <v>5.0</v>
      </c>
      <c r="BP18" s="23">
        <v>1.0</v>
      </c>
      <c r="BQ18" s="23">
        <v>1.0</v>
      </c>
      <c r="BR18" s="23">
        <v>2.0</v>
      </c>
      <c r="BS18" s="23">
        <v>7.0</v>
      </c>
      <c r="BT18" s="23">
        <v>3.0</v>
      </c>
      <c r="BU18" s="23">
        <v>9.0</v>
      </c>
      <c r="BV18" s="23">
        <v>1.0</v>
      </c>
      <c r="BW18" s="23">
        <v>2.0</v>
      </c>
      <c r="BX18" s="23">
        <v>1.0</v>
      </c>
      <c r="BY18" s="23">
        <v>10.0</v>
      </c>
      <c r="BZ18" s="23">
        <v>4.0</v>
      </c>
      <c r="CA18" s="23">
        <v>1.0</v>
      </c>
      <c r="CB18" s="23">
        <v>1.0</v>
      </c>
      <c r="CC18" s="25">
        <v>735.0</v>
      </c>
      <c r="CD18" s="25">
        <v>1556.0</v>
      </c>
      <c r="CE18" s="23">
        <v>4.0</v>
      </c>
      <c r="CF18" s="23">
        <v>10.0</v>
      </c>
      <c r="CG18" s="23">
        <v>4.0</v>
      </c>
      <c r="CH18" s="23">
        <v>2.0</v>
      </c>
      <c r="CI18" s="23">
        <v>1.0</v>
      </c>
      <c r="CJ18" s="23">
        <v>1.0</v>
      </c>
      <c r="CK18" s="23">
        <v>1.0</v>
      </c>
      <c r="CL18" s="23">
        <v>2.0</v>
      </c>
      <c r="CM18" s="23">
        <v>2.0</v>
      </c>
      <c r="CN18" s="23">
        <v>3.0</v>
      </c>
      <c r="CO18" s="23">
        <v>6.0</v>
      </c>
      <c r="CP18" s="23">
        <v>8.0</v>
      </c>
      <c r="CQ18" s="23">
        <v>5.0</v>
      </c>
      <c r="CR18" s="23">
        <v>28.0</v>
      </c>
      <c r="CS18" s="23">
        <v>6.0</v>
      </c>
      <c r="CT18" s="23">
        <v>3.0</v>
      </c>
      <c r="CU18" s="23">
        <v>2.0</v>
      </c>
      <c r="CV18" s="23">
        <v>0.0</v>
      </c>
      <c r="CW18" s="23">
        <v>1.0</v>
      </c>
      <c r="CX18" s="23">
        <v>1.0</v>
      </c>
    </row>
    <row r="19" ht="14.25" customHeight="1">
      <c r="A19" s="21" t="s">
        <v>119</v>
      </c>
      <c r="B19" s="22" t="s">
        <v>120</v>
      </c>
      <c r="C19" s="22">
        <v>40.0</v>
      </c>
      <c r="D19" s="23">
        <v>0.04</v>
      </c>
      <c r="E19" s="23">
        <v>0.05</v>
      </c>
      <c r="F19" s="23">
        <v>0.04</v>
      </c>
      <c r="G19" s="23">
        <v>0.04</v>
      </c>
      <c r="H19" s="23">
        <v>0.05</v>
      </c>
      <c r="I19" s="23">
        <v>0.05</v>
      </c>
      <c r="J19" s="23">
        <v>0.2</v>
      </c>
      <c r="K19" s="23">
        <v>0.1</v>
      </c>
      <c r="L19" s="24">
        <v>0.39</v>
      </c>
      <c r="M19" s="23">
        <v>0.09</v>
      </c>
      <c r="N19" s="23">
        <v>0.08</v>
      </c>
      <c r="O19" s="23">
        <v>0.15</v>
      </c>
      <c r="P19" s="23">
        <v>0.61</v>
      </c>
      <c r="Q19" s="23">
        <v>0.07</v>
      </c>
      <c r="R19" s="23">
        <v>0.05</v>
      </c>
      <c r="S19" s="23">
        <v>0.04</v>
      </c>
      <c r="T19" s="23">
        <v>0.25</v>
      </c>
      <c r="U19" s="23">
        <v>0.07</v>
      </c>
      <c r="V19" s="23">
        <v>0.03</v>
      </c>
      <c r="W19" s="24">
        <v>0.51</v>
      </c>
      <c r="X19" s="23">
        <v>0.06</v>
      </c>
      <c r="Y19" s="23">
        <v>0.05</v>
      </c>
      <c r="Z19" s="23">
        <v>0.25</v>
      </c>
      <c r="AA19" s="23">
        <v>0.07</v>
      </c>
      <c r="AB19" s="23">
        <v>0.05</v>
      </c>
      <c r="AC19" s="23">
        <v>0.2</v>
      </c>
      <c r="AD19" s="23">
        <v>0.39</v>
      </c>
      <c r="AE19" s="23">
        <v>0.11</v>
      </c>
      <c r="AF19" s="23">
        <v>0.17</v>
      </c>
      <c r="AG19" s="23">
        <v>0.1</v>
      </c>
      <c r="AH19" s="23">
        <v>0.14</v>
      </c>
      <c r="AI19" s="23">
        <v>0.1</v>
      </c>
      <c r="AJ19" s="23">
        <v>0.1</v>
      </c>
      <c r="AK19" s="23">
        <v>0.07</v>
      </c>
      <c r="AL19" s="23">
        <v>0.07</v>
      </c>
      <c r="AM19" s="23">
        <v>0.04</v>
      </c>
      <c r="AN19" s="23">
        <v>0.08</v>
      </c>
      <c r="AO19" s="23">
        <v>0.1</v>
      </c>
      <c r="AP19" s="23">
        <v>0.08</v>
      </c>
      <c r="AQ19" s="23">
        <v>0.44</v>
      </c>
      <c r="AR19" s="23">
        <v>0.1</v>
      </c>
      <c r="AS19" s="23">
        <v>0.09</v>
      </c>
      <c r="AT19" s="23">
        <v>0.07</v>
      </c>
      <c r="AU19" s="23">
        <v>0.07</v>
      </c>
      <c r="AV19" s="23">
        <v>0.04</v>
      </c>
      <c r="AW19" s="23">
        <v>0.07</v>
      </c>
      <c r="AX19" s="23">
        <v>0.18</v>
      </c>
      <c r="AY19" s="23">
        <v>0.22</v>
      </c>
      <c r="AZ19" s="23">
        <v>0.32</v>
      </c>
      <c r="BA19" s="23">
        <v>0.14</v>
      </c>
      <c r="BB19" s="23">
        <v>0.13</v>
      </c>
      <c r="BC19" s="23">
        <v>0.09</v>
      </c>
      <c r="BD19" s="24">
        <v>0.42</v>
      </c>
      <c r="BE19" s="23">
        <v>0.18</v>
      </c>
      <c r="BF19" s="23">
        <v>0.16</v>
      </c>
      <c r="BG19" s="24">
        <v>0.53</v>
      </c>
      <c r="BH19" s="23">
        <v>0.25</v>
      </c>
      <c r="BI19" s="24">
        <v>0.41</v>
      </c>
      <c r="BJ19" s="23">
        <v>0.18</v>
      </c>
      <c r="BK19" s="23">
        <v>0.27</v>
      </c>
      <c r="BL19" s="23">
        <v>0.23</v>
      </c>
      <c r="BM19" s="25">
        <v>0.66</v>
      </c>
      <c r="BN19" s="23">
        <v>0.09</v>
      </c>
      <c r="BO19" s="23">
        <v>0.02</v>
      </c>
      <c r="BP19" s="23">
        <v>0.12</v>
      </c>
      <c r="BQ19" s="23">
        <v>0.1</v>
      </c>
      <c r="BR19" s="23">
        <v>0.11</v>
      </c>
      <c r="BS19" s="25">
        <v>0.64</v>
      </c>
      <c r="BT19" s="23">
        <v>0.35</v>
      </c>
      <c r="BU19" s="23">
        <v>0.09</v>
      </c>
      <c r="BV19" s="24">
        <v>0.44</v>
      </c>
      <c r="BW19" s="23">
        <v>0.29</v>
      </c>
      <c r="BX19" s="23">
        <v>0.15</v>
      </c>
      <c r="BY19" s="23">
        <v>0.55</v>
      </c>
      <c r="BZ19" s="23">
        <v>0.24</v>
      </c>
      <c r="CA19" s="23">
        <v>0.12</v>
      </c>
      <c r="CB19" s="23">
        <v>0.11</v>
      </c>
      <c r="CC19" s="23">
        <v>0.22</v>
      </c>
      <c r="CD19" s="23">
        <v>0.04</v>
      </c>
      <c r="CE19" s="23">
        <v>0.04</v>
      </c>
      <c r="CF19" s="23">
        <v>0.12</v>
      </c>
      <c r="CG19" s="23">
        <v>0.1</v>
      </c>
      <c r="CH19" s="23">
        <v>0.1</v>
      </c>
      <c r="CI19" s="23">
        <v>0.16</v>
      </c>
      <c r="CJ19" s="23">
        <v>0.07</v>
      </c>
      <c r="CK19" s="23">
        <v>0.12</v>
      </c>
      <c r="CL19" s="23">
        <v>0.1</v>
      </c>
      <c r="CM19" s="23">
        <v>0.1</v>
      </c>
      <c r="CN19" s="23">
        <v>0.11</v>
      </c>
      <c r="CO19" s="23">
        <v>0.11</v>
      </c>
      <c r="CP19" s="23">
        <v>0.08</v>
      </c>
      <c r="CQ19" s="23">
        <v>0.15</v>
      </c>
      <c r="CR19" s="23">
        <v>0.1</v>
      </c>
      <c r="CS19" s="23">
        <v>0.05</v>
      </c>
      <c r="CT19" s="23">
        <v>0.06</v>
      </c>
      <c r="CU19" s="24">
        <v>0.48</v>
      </c>
      <c r="CV19" s="23">
        <v>0.17</v>
      </c>
      <c r="CW19" s="23">
        <v>0.06</v>
      </c>
      <c r="CX19" s="23">
        <v>0.08</v>
      </c>
    </row>
    <row r="20" ht="14.25" customHeight="1">
      <c r="A20" s="21" t="s">
        <v>121</v>
      </c>
      <c r="B20" s="22" t="s">
        <v>122</v>
      </c>
      <c r="C20" s="22">
        <v>10.0</v>
      </c>
      <c r="D20" s="23">
        <v>0.027</v>
      </c>
      <c r="E20" s="23">
        <v>0.031</v>
      </c>
      <c r="F20" s="23">
        <v>0.035</v>
      </c>
      <c r="G20" s="23">
        <v>0.046</v>
      </c>
      <c r="H20" s="23">
        <v>0.051</v>
      </c>
      <c r="I20" s="23">
        <v>0.058</v>
      </c>
      <c r="J20" s="24">
        <v>0.191</v>
      </c>
      <c r="K20" s="23">
        <v>0.082</v>
      </c>
      <c r="L20" s="25">
        <v>0.371</v>
      </c>
      <c r="M20" s="23">
        <v>0.051</v>
      </c>
      <c r="N20" s="23">
        <v>0.049</v>
      </c>
      <c r="O20" s="23">
        <v>0.078</v>
      </c>
      <c r="P20" s="25">
        <v>0.391</v>
      </c>
      <c r="Q20" s="23">
        <v>0.045</v>
      </c>
      <c r="R20" s="23">
        <v>0.044</v>
      </c>
      <c r="S20" s="23">
        <v>0.022</v>
      </c>
      <c r="T20" s="21">
        <v>0.092</v>
      </c>
      <c r="U20" s="23">
        <v>0.042</v>
      </c>
      <c r="V20" s="23">
        <v>0.025</v>
      </c>
      <c r="W20" s="23">
        <v>0.033</v>
      </c>
      <c r="X20" s="23">
        <v>0.037</v>
      </c>
      <c r="Y20" s="23">
        <v>0.016</v>
      </c>
      <c r="Z20" s="23">
        <v>0.092</v>
      </c>
      <c r="AA20" s="23">
        <v>0.032</v>
      </c>
      <c r="AB20" s="23">
        <v>0.033</v>
      </c>
      <c r="AC20" s="23">
        <v>0.078</v>
      </c>
      <c r="AD20" s="25">
        <v>0.343</v>
      </c>
      <c r="AE20" s="23">
        <v>0.082</v>
      </c>
      <c r="AF20" s="23">
        <v>0.068</v>
      </c>
      <c r="AG20" s="24">
        <v>0.147</v>
      </c>
      <c r="AH20" s="24">
        <v>0.13</v>
      </c>
      <c r="AI20" s="24">
        <v>0.104</v>
      </c>
      <c r="AJ20" s="21">
        <v>0.09</v>
      </c>
      <c r="AK20" s="23">
        <v>0.07</v>
      </c>
      <c r="AL20" s="23">
        <v>0.06</v>
      </c>
      <c r="AM20" s="23">
        <v>0.024</v>
      </c>
      <c r="AN20" s="23">
        <v>0.075</v>
      </c>
      <c r="AO20" s="23">
        <v>0.057</v>
      </c>
      <c r="AP20" s="23">
        <v>0.039</v>
      </c>
      <c r="AQ20" s="24">
        <v>0.281</v>
      </c>
      <c r="AR20" s="23">
        <v>0.042</v>
      </c>
      <c r="AS20" s="23">
        <v>0.024</v>
      </c>
      <c r="AT20" s="23">
        <v>0.06</v>
      </c>
      <c r="AU20" s="24">
        <v>0.127</v>
      </c>
      <c r="AV20" s="23">
        <v>0.04</v>
      </c>
      <c r="AW20" s="23">
        <v>0.018</v>
      </c>
      <c r="AX20" s="24">
        <v>0.302</v>
      </c>
      <c r="AY20" s="25">
        <v>0.318</v>
      </c>
      <c r="AZ20" s="25">
        <v>0.363</v>
      </c>
      <c r="BA20" s="23">
        <v>0.048</v>
      </c>
      <c r="BB20" s="23">
        <v>0.049</v>
      </c>
      <c r="BC20" s="23">
        <v>0.063</v>
      </c>
      <c r="BD20" s="23">
        <v>0.09</v>
      </c>
      <c r="BE20" s="24">
        <v>0.105</v>
      </c>
      <c r="BF20" s="23">
        <v>0.057</v>
      </c>
      <c r="BG20" s="24">
        <v>0.165</v>
      </c>
      <c r="BH20" s="24">
        <v>0.12</v>
      </c>
      <c r="BI20" s="24">
        <v>0.114</v>
      </c>
      <c r="BJ20" s="24">
        <v>0.133</v>
      </c>
      <c r="BK20" s="23">
        <v>0.086</v>
      </c>
      <c r="BL20" s="24">
        <v>0.107</v>
      </c>
      <c r="BM20" s="25">
        <v>0.468</v>
      </c>
      <c r="BN20" s="24">
        <v>0.111</v>
      </c>
      <c r="BO20" s="23">
        <v>0.015</v>
      </c>
      <c r="BP20" s="24">
        <v>0.11</v>
      </c>
      <c r="BQ20" s="24">
        <v>0.107</v>
      </c>
      <c r="BR20" s="23">
        <v>0.069</v>
      </c>
      <c r="BS20" s="24">
        <v>0.19</v>
      </c>
      <c r="BT20" s="24">
        <v>0.158</v>
      </c>
      <c r="BU20" s="23">
        <v>0.021</v>
      </c>
      <c r="BV20" s="25">
        <v>0.362</v>
      </c>
      <c r="BW20" s="24">
        <v>0.206</v>
      </c>
      <c r="BX20" s="23">
        <v>0.07</v>
      </c>
      <c r="BY20" s="24">
        <v>0.287</v>
      </c>
      <c r="BZ20" s="24">
        <v>0.124</v>
      </c>
      <c r="CA20" s="24">
        <v>0.11</v>
      </c>
      <c r="CB20" s="24">
        <v>0.113</v>
      </c>
      <c r="CC20" s="24">
        <v>0.251</v>
      </c>
      <c r="CD20" s="24">
        <v>0.12</v>
      </c>
      <c r="CE20" s="24">
        <v>0.13</v>
      </c>
      <c r="CF20" s="23">
        <v>0.06</v>
      </c>
      <c r="CG20" s="23">
        <v>0.021</v>
      </c>
      <c r="CH20" s="23">
        <v>0.023</v>
      </c>
      <c r="CI20" s="23">
        <v>0.057</v>
      </c>
      <c r="CJ20" s="23">
        <v>0.033</v>
      </c>
      <c r="CK20" s="23">
        <v>0.07</v>
      </c>
      <c r="CL20" s="23">
        <v>0.061</v>
      </c>
      <c r="CM20" s="23">
        <v>0.055</v>
      </c>
      <c r="CN20" s="23">
        <v>0.08</v>
      </c>
      <c r="CO20" s="23">
        <v>0.061</v>
      </c>
      <c r="CP20" s="23">
        <v>0.045</v>
      </c>
      <c r="CQ20" s="23">
        <v>0.013</v>
      </c>
      <c r="CR20" s="23">
        <v>0.086</v>
      </c>
      <c r="CS20" s="23">
        <v>0.053</v>
      </c>
      <c r="CT20" s="23">
        <v>0.036</v>
      </c>
      <c r="CU20" s="23">
        <v>0.02</v>
      </c>
      <c r="CV20" s="23">
        <v>0.086</v>
      </c>
      <c r="CW20" s="23">
        <v>0.043</v>
      </c>
      <c r="CX20" s="23">
        <v>0.048</v>
      </c>
    </row>
    <row r="21" ht="14.25" customHeight="1">
      <c r="A21" s="21" t="s">
        <v>123</v>
      </c>
      <c r="B21" s="22" t="s">
        <v>124</v>
      </c>
      <c r="C21" s="22">
        <v>11.0</v>
      </c>
      <c r="D21" s="23">
        <v>0.035</v>
      </c>
      <c r="E21" s="23">
        <v>0.038</v>
      </c>
      <c r="F21" s="23">
        <v>0.118</v>
      </c>
      <c r="G21" s="23">
        <v>0.142</v>
      </c>
      <c r="H21" s="23">
        <v>0.165</v>
      </c>
      <c r="I21" s="23">
        <v>0.169</v>
      </c>
      <c r="J21" s="23">
        <v>0.09</v>
      </c>
      <c r="K21" s="23">
        <v>0.049</v>
      </c>
      <c r="L21" s="24">
        <v>0.327</v>
      </c>
      <c r="M21" s="23">
        <v>0.034</v>
      </c>
      <c r="N21" s="23">
        <v>0.033</v>
      </c>
      <c r="O21" s="24">
        <v>0.27</v>
      </c>
      <c r="P21" s="24">
        <v>0.574</v>
      </c>
      <c r="Q21" s="23">
        <v>0.025</v>
      </c>
      <c r="R21" s="23">
        <v>0.014</v>
      </c>
      <c r="S21" s="23">
        <v>0.021</v>
      </c>
      <c r="U21" s="23">
        <v>0.039</v>
      </c>
      <c r="V21" s="23">
        <v>0.037</v>
      </c>
      <c r="W21" s="23">
        <v>0.032</v>
      </c>
      <c r="X21" s="23">
        <v>0.03</v>
      </c>
      <c r="Y21" s="23">
        <v>0.012</v>
      </c>
      <c r="AA21" s="23">
        <v>0.022</v>
      </c>
      <c r="AB21" s="23">
        <v>0.02</v>
      </c>
      <c r="AC21" s="23">
        <v>0.077</v>
      </c>
      <c r="AD21" s="24">
        <v>0.235</v>
      </c>
      <c r="AE21" s="23">
        <v>0.053</v>
      </c>
      <c r="AF21" s="23">
        <v>0.061</v>
      </c>
      <c r="AG21" s="23">
        <v>0.058</v>
      </c>
      <c r="AH21" s="23">
        <v>0.098</v>
      </c>
      <c r="AI21" s="23">
        <v>0.112</v>
      </c>
      <c r="AJ21" s="23">
        <v>0.057</v>
      </c>
      <c r="AK21" s="23">
        <v>0.076</v>
      </c>
      <c r="AL21" s="23">
        <v>0.07</v>
      </c>
      <c r="AM21" s="23">
        <v>0.109</v>
      </c>
      <c r="AN21" s="23">
        <v>0.062</v>
      </c>
      <c r="AO21" s="23">
        <v>0.052</v>
      </c>
      <c r="AP21" s="23">
        <v>0.033</v>
      </c>
      <c r="AQ21" s="24">
        <v>0.299</v>
      </c>
      <c r="AR21" s="23">
        <v>0.038</v>
      </c>
      <c r="AS21" s="23">
        <v>0.027</v>
      </c>
      <c r="AT21" s="23">
        <v>0.035</v>
      </c>
      <c r="AU21" s="23">
        <v>0.071</v>
      </c>
      <c r="AV21" s="24">
        <v>0.718</v>
      </c>
      <c r="AW21" s="23">
        <v>0.239</v>
      </c>
      <c r="AX21" s="24">
        <v>0.267</v>
      </c>
      <c r="AY21" s="24">
        <v>0.299</v>
      </c>
      <c r="AZ21" s="24">
        <v>0.308</v>
      </c>
      <c r="BA21" s="24">
        <v>0.386</v>
      </c>
      <c r="BB21" s="24">
        <v>0.29</v>
      </c>
      <c r="BC21" s="23">
        <v>0.2</v>
      </c>
      <c r="BD21" s="24">
        <v>0.67</v>
      </c>
      <c r="BE21" s="24">
        <v>0.65</v>
      </c>
      <c r="BF21" s="24">
        <v>0.233</v>
      </c>
      <c r="BG21" s="24">
        <v>0.646</v>
      </c>
      <c r="BH21" s="25">
        <v>1.223</v>
      </c>
      <c r="BJ21" s="24">
        <v>0.697</v>
      </c>
      <c r="BK21" s="24">
        <v>0.256</v>
      </c>
      <c r="BL21" s="23">
        <v>0.186</v>
      </c>
      <c r="BM21" s="24">
        <v>0.469</v>
      </c>
      <c r="BN21" s="23">
        <v>0.063</v>
      </c>
      <c r="BO21" s="23">
        <v>0.028</v>
      </c>
      <c r="BP21" s="24">
        <v>0.927</v>
      </c>
      <c r="BR21" s="24">
        <v>0.504</v>
      </c>
      <c r="BS21" s="23">
        <v>0.142</v>
      </c>
      <c r="BT21" s="23">
        <v>0.119</v>
      </c>
      <c r="BU21" s="23">
        <v>0.095</v>
      </c>
      <c r="BV21" s="24">
        <v>0.296</v>
      </c>
      <c r="BW21" s="24">
        <v>0.262</v>
      </c>
      <c r="BX21" s="23">
        <v>0.128</v>
      </c>
      <c r="BY21" s="23">
        <v>0.51</v>
      </c>
      <c r="BZ21" s="24">
        <v>0.22</v>
      </c>
      <c r="CA21" s="23">
        <v>0.088</v>
      </c>
      <c r="CB21" s="24">
        <v>0.355</v>
      </c>
      <c r="CC21" s="23">
        <v>0.02</v>
      </c>
      <c r="CG21" s="23">
        <v>0.196</v>
      </c>
      <c r="CH21" s="23">
        <v>0.097</v>
      </c>
      <c r="CI21" s="24">
        <v>0.336</v>
      </c>
      <c r="CJ21" s="23">
        <v>0.147</v>
      </c>
      <c r="CK21" s="23">
        <v>0.144</v>
      </c>
      <c r="CL21" s="24">
        <v>0.36</v>
      </c>
      <c r="CN21" s="24">
        <v>0.265</v>
      </c>
      <c r="CP21" s="23">
        <v>0.04</v>
      </c>
      <c r="CQ21" s="23">
        <v>0.013</v>
      </c>
      <c r="CT21" s="23">
        <v>0.084</v>
      </c>
      <c r="CU21" s="23">
        <v>0.039</v>
      </c>
      <c r="CV21" s="23">
        <v>0.054</v>
      </c>
      <c r="CW21" s="23">
        <v>0.023</v>
      </c>
      <c r="CX21" s="23">
        <v>0.017</v>
      </c>
    </row>
    <row r="22" ht="14.25" customHeight="1">
      <c r="A22" s="21" t="s">
        <v>125</v>
      </c>
      <c r="B22" s="22" t="s">
        <v>126</v>
      </c>
      <c r="C22" s="22">
        <v>400.0</v>
      </c>
      <c r="D22" s="23">
        <v>0.0</v>
      </c>
      <c r="E22" s="23">
        <v>0.0</v>
      </c>
      <c r="F22" s="23">
        <v>0.3</v>
      </c>
      <c r="G22" s="23">
        <v>0.3</v>
      </c>
      <c r="H22" s="23">
        <v>0.3</v>
      </c>
      <c r="I22" s="23">
        <v>0.2</v>
      </c>
      <c r="J22" s="23">
        <v>1.3</v>
      </c>
      <c r="K22" s="23">
        <v>0.1</v>
      </c>
      <c r="L22" s="23">
        <v>0.2</v>
      </c>
      <c r="M22" s="23">
        <v>0.0</v>
      </c>
      <c r="N22" s="23">
        <v>0.0</v>
      </c>
      <c r="O22" s="23">
        <v>1.0</v>
      </c>
      <c r="P22" s="25">
        <v>3.9</v>
      </c>
      <c r="Q22" s="23">
        <v>0.5</v>
      </c>
      <c r="R22" s="23">
        <v>0.1</v>
      </c>
      <c r="S22" s="23">
        <v>0.1</v>
      </c>
      <c r="T22" s="23">
        <v>1.0</v>
      </c>
      <c r="U22" s="23">
        <v>0.1</v>
      </c>
      <c r="V22" s="23">
        <v>0.1</v>
      </c>
      <c r="W22" s="23">
        <v>0.4</v>
      </c>
      <c r="X22" s="23">
        <v>0.4</v>
      </c>
      <c r="Y22" s="23">
        <v>0.1</v>
      </c>
      <c r="Z22" s="23">
        <v>0.7</v>
      </c>
      <c r="AA22" s="23">
        <v>0.1</v>
      </c>
      <c r="AC22" s="23">
        <v>0.1</v>
      </c>
      <c r="AD22" s="24">
        <v>2.2</v>
      </c>
      <c r="AE22" s="23">
        <v>0.1</v>
      </c>
      <c r="AF22" s="23">
        <v>0.1</v>
      </c>
      <c r="AG22" s="24">
        <v>3.1</v>
      </c>
      <c r="AH22" s="23">
        <v>0.2</v>
      </c>
      <c r="AI22" s="23">
        <v>0.0</v>
      </c>
      <c r="AJ22" s="23">
        <v>0.0</v>
      </c>
      <c r="AK22" s="23">
        <v>0.0</v>
      </c>
      <c r="AL22" s="23">
        <v>0.0</v>
      </c>
      <c r="AM22" s="23">
        <v>0.0</v>
      </c>
      <c r="AN22" s="23">
        <v>0.0</v>
      </c>
      <c r="AO22" s="23">
        <v>0.0</v>
      </c>
      <c r="AP22" s="23">
        <v>0.0</v>
      </c>
      <c r="AQ22" s="23">
        <v>0.3</v>
      </c>
      <c r="AR22" s="23">
        <v>0.4</v>
      </c>
      <c r="AS22" s="23">
        <v>0.7</v>
      </c>
      <c r="AT22" s="23">
        <v>0.4</v>
      </c>
      <c r="AU22" s="23">
        <v>0.1</v>
      </c>
      <c r="AV22" s="23">
        <v>0.1</v>
      </c>
      <c r="AW22" s="23">
        <v>0.0</v>
      </c>
      <c r="AX22" s="23">
        <v>0.6</v>
      </c>
      <c r="AY22" s="23">
        <v>0.6</v>
      </c>
      <c r="AZ22" s="23">
        <v>0.7</v>
      </c>
      <c r="BA22" s="23">
        <v>0.4</v>
      </c>
      <c r="BB22" s="23">
        <v>0.7</v>
      </c>
      <c r="BC22" s="23">
        <v>0.3</v>
      </c>
      <c r="BD22" s="23">
        <v>0.2</v>
      </c>
      <c r="BE22" s="23">
        <v>0.3</v>
      </c>
      <c r="BF22" s="23">
        <v>0.1</v>
      </c>
      <c r="BG22" s="23">
        <v>0.4</v>
      </c>
      <c r="BH22" s="23">
        <v>0.4</v>
      </c>
      <c r="BI22" s="23">
        <v>0.3</v>
      </c>
      <c r="BJ22" s="23">
        <v>0.3</v>
      </c>
      <c r="BL22" s="23">
        <v>0.6</v>
      </c>
      <c r="BM22" s="23">
        <v>0.7</v>
      </c>
      <c r="BN22" s="23">
        <v>0.6</v>
      </c>
      <c r="BO22" s="23">
        <v>0.4</v>
      </c>
      <c r="BP22" s="23">
        <v>0.1</v>
      </c>
      <c r="BQ22" s="23">
        <v>0.4</v>
      </c>
      <c r="BR22" s="23">
        <v>0.1</v>
      </c>
      <c r="BS22" s="23">
        <v>0.4</v>
      </c>
      <c r="BT22" s="23">
        <v>0.5</v>
      </c>
      <c r="BU22" s="23">
        <v>0.3</v>
      </c>
      <c r="BW22" s="23">
        <v>3.0</v>
      </c>
      <c r="BX22" s="23">
        <v>0.2</v>
      </c>
      <c r="BY22" s="23">
        <v>0.6</v>
      </c>
      <c r="BZ22" s="23">
        <v>0.2</v>
      </c>
      <c r="CA22" s="23">
        <v>0.1</v>
      </c>
      <c r="CB22" s="23">
        <v>0.6</v>
      </c>
      <c r="CC22" s="23">
        <v>0.9</v>
      </c>
      <c r="CD22" s="23">
        <v>0.9</v>
      </c>
      <c r="CE22" s="23">
        <v>0.6</v>
      </c>
      <c r="CF22" s="23">
        <v>0.6</v>
      </c>
      <c r="CG22" s="23">
        <v>1.1</v>
      </c>
      <c r="CH22" s="23">
        <v>1.1</v>
      </c>
      <c r="CI22" s="23">
        <v>0.1</v>
      </c>
      <c r="CJ22" s="23">
        <v>0.1</v>
      </c>
      <c r="CK22" s="23">
        <v>0.6</v>
      </c>
      <c r="CL22" s="23">
        <v>0.1</v>
      </c>
      <c r="CM22" s="23">
        <v>0.1</v>
      </c>
      <c r="CN22" s="23">
        <v>0.5</v>
      </c>
      <c r="CO22" s="23">
        <v>0.6</v>
      </c>
      <c r="CP22" s="23">
        <v>0.6</v>
      </c>
      <c r="CQ22" s="23">
        <v>0.3</v>
      </c>
      <c r="CR22" s="23">
        <v>0.6</v>
      </c>
      <c r="CS22" s="23">
        <v>0.1</v>
      </c>
      <c r="CV22" s="23">
        <v>0.0</v>
      </c>
      <c r="CW22" s="23">
        <v>0.1</v>
      </c>
    </row>
    <row r="23" ht="14.25" customHeight="1">
      <c r="A23" s="21" t="s">
        <v>127</v>
      </c>
      <c r="B23" s="22" t="s">
        <v>128</v>
      </c>
      <c r="C23" s="22" t="s">
        <v>129</v>
      </c>
      <c r="D23" s="23">
        <v>3.3</v>
      </c>
      <c r="K23" s="23">
        <v>2.2</v>
      </c>
      <c r="O23" s="23">
        <v>2.2</v>
      </c>
      <c r="S23" s="24">
        <v>31.3</v>
      </c>
      <c r="AF23" s="23">
        <v>4.0</v>
      </c>
      <c r="AL23" s="23">
        <v>2.0</v>
      </c>
      <c r="AO23" s="23">
        <v>2.0</v>
      </c>
      <c r="AQ23" s="23">
        <v>4.0</v>
      </c>
      <c r="AR23" s="23">
        <v>1.5</v>
      </c>
      <c r="AU23" s="23">
        <v>7.8</v>
      </c>
      <c r="AW23" s="25">
        <v>138.0</v>
      </c>
      <c r="AY23" s="25">
        <v>233.9</v>
      </c>
      <c r="BA23" s="23">
        <v>4.4</v>
      </c>
      <c r="BS23" s="23">
        <v>7.0</v>
      </c>
    </row>
    <row r="24" ht="14.25" customHeight="1">
      <c r="A24" s="19" t="s">
        <v>130</v>
      </c>
      <c r="B24" s="27"/>
      <c r="C24" s="27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19"/>
      <c r="CH24" s="19"/>
      <c r="CI24" s="1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19"/>
    </row>
    <row r="25" ht="14.25" customHeight="1">
      <c r="A25" s="21" t="s">
        <v>131</v>
      </c>
      <c r="B25" s="22">
        <v>90.0</v>
      </c>
      <c r="C25" s="22">
        <v>2000.0</v>
      </c>
      <c r="D25" s="23">
        <v>4.6</v>
      </c>
      <c r="E25" s="23">
        <v>4.0</v>
      </c>
      <c r="F25" s="23">
        <v>0.2</v>
      </c>
      <c r="G25" s="23">
        <v>0.3</v>
      </c>
      <c r="H25" s="23">
        <v>0.2</v>
      </c>
      <c r="I25" s="23">
        <v>0.1</v>
      </c>
      <c r="J25" s="23">
        <v>3.9</v>
      </c>
      <c r="K25" s="23">
        <v>4.2</v>
      </c>
      <c r="L25" s="23">
        <v>7.0</v>
      </c>
      <c r="M25" s="23">
        <v>1.0</v>
      </c>
      <c r="N25" s="23">
        <v>0.7</v>
      </c>
      <c r="O25" s="23">
        <v>8.7</v>
      </c>
      <c r="P25" s="23">
        <v>7.0</v>
      </c>
      <c r="Q25" s="24">
        <v>53.2</v>
      </c>
      <c r="R25" s="24">
        <v>50.0</v>
      </c>
      <c r="S25" s="24">
        <v>30.1</v>
      </c>
      <c r="T25" s="24">
        <v>136.0</v>
      </c>
      <c r="U25" s="24">
        <v>26.7</v>
      </c>
      <c r="V25" s="24">
        <v>31.0</v>
      </c>
      <c r="W25" s="24">
        <v>34.2</v>
      </c>
      <c r="X25" s="24">
        <v>53.0</v>
      </c>
      <c r="Y25" s="24">
        <v>38.7</v>
      </c>
      <c r="Z25" s="24">
        <v>129.0</v>
      </c>
      <c r="AA25" s="24">
        <v>31.2</v>
      </c>
      <c r="AB25" s="24">
        <v>38.0</v>
      </c>
      <c r="AC25" s="23">
        <v>10.0</v>
      </c>
      <c r="AD25" s="23">
        <v>1.0</v>
      </c>
      <c r="AE25" s="23">
        <v>3.4</v>
      </c>
      <c r="AF25" s="23">
        <v>6.6</v>
      </c>
      <c r="AG25" s="24">
        <v>105.4</v>
      </c>
      <c r="AH25" s="24">
        <v>92.7</v>
      </c>
      <c r="AI25" s="23">
        <v>10.0</v>
      </c>
      <c r="AJ25" s="23">
        <v>1.7</v>
      </c>
      <c r="AK25" s="23">
        <v>2.1</v>
      </c>
      <c r="AL25" s="23">
        <v>7.0</v>
      </c>
      <c r="AM25" s="23">
        <v>1.0</v>
      </c>
      <c r="AN25" s="23">
        <v>2.2</v>
      </c>
      <c r="AO25" s="23">
        <v>9.5</v>
      </c>
      <c r="AP25" s="23">
        <v>2.7</v>
      </c>
      <c r="AQ25" s="23">
        <v>0.6</v>
      </c>
      <c r="AR25" s="23">
        <v>8.1</v>
      </c>
      <c r="AS25" s="23">
        <v>18.0</v>
      </c>
      <c r="AT25" s="23">
        <v>21.8</v>
      </c>
      <c r="AU25" s="23">
        <v>3.2</v>
      </c>
      <c r="AV25" s="23">
        <v>4.0</v>
      </c>
      <c r="AW25" s="23">
        <v>0.1</v>
      </c>
      <c r="AX25" s="23">
        <v>5.4</v>
      </c>
      <c r="AY25" s="23">
        <v>2.3</v>
      </c>
      <c r="AZ25" s="23">
        <v>3.2</v>
      </c>
      <c r="BA25" s="24">
        <v>58.8</v>
      </c>
      <c r="BB25" s="24">
        <v>41.2</v>
      </c>
      <c r="BC25" s="24">
        <v>31.7</v>
      </c>
      <c r="BD25" s="23">
        <v>26.2</v>
      </c>
      <c r="BE25" s="23">
        <v>16.5</v>
      </c>
      <c r="BF25" s="23">
        <v>8.7</v>
      </c>
      <c r="BG25" s="23">
        <v>21.0</v>
      </c>
      <c r="BH25" s="23">
        <v>3.1</v>
      </c>
      <c r="BI25" s="23">
        <v>11.3</v>
      </c>
      <c r="BJ25" s="23">
        <v>2.8</v>
      </c>
      <c r="BK25" s="24">
        <v>181.0</v>
      </c>
      <c r="BL25" s="23">
        <v>41.0</v>
      </c>
      <c r="BM25" s="23">
        <v>4.7</v>
      </c>
      <c r="BN25" s="24">
        <v>36.4</v>
      </c>
      <c r="BO25" s="23">
        <v>15.2</v>
      </c>
      <c r="BP25" s="24">
        <v>47.8</v>
      </c>
      <c r="BQ25" s="23">
        <v>9.4</v>
      </c>
      <c r="BR25" s="23">
        <v>10.0</v>
      </c>
      <c r="BS25" s="23">
        <v>10.0</v>
      </c>
      <c r="BT25" s="23">
        <v>10.2</v>
      </c>
      <c r="BU25" s="23">
        <v>0.1</v>
      </c>
      <c r="BV25" s="23">
        <v>0.0</v>
      </c>
      <c r="BW25" s="23">
        <v>0.4</v>
      </c>
      <c r="BX25" s="23">
        <v>2.0</v>
      </c>
      <c r="BY25" s="23">
        <v>1.2</v>
      </c>
      <c r="BZ25" s="23">
        <v>4.4</v>
      </c>
      <c r="CA25" s="23">
        <v>1.0</v>
      </c>
      <c r="CB25" s="23">
        <v>7.5</v>
      </c>
      <c r="CC25" s="23">
        <v>0.9</v>
      </c>
      <c r="CD25" s="23">
        <v>0.0</v>
      </c>
      <c r="CE25" s="23">
        <v>15.0</v>
      </c>
      <c r="CF25" s="24">
        <v>36.4</v>
      </c>
      <c r="CG25" s="23">
        <v>8.0</v>
      </c>
      <c r="CH25" s="23">
        <v>4.8</v>
      </c>
      <c r="CI25" s="23">
        <v>9.7</v>
      </c>
      <c r="CJ25" s="23">
        <v>2.5</v>
      </c>
      <c r="CK25" s="24">
        <v>27.7</v>
      </c>
      <c r="CL25" s="23">
        <v>13.3</v>
      </c>
      <c r="CM25" s="23">
        <v>9.3</v>
      </c>
      <c r="CN25" s="23">
        <v>0.2</v>
      </c>
      <c r="CO25" s="24">
        <v>36.0</v>
      </c>
      <c r="CP25" s="24">
        <v>60.9</v>
      </c>
      <c r="CQ25" s="23">
        <v>3.0</v>
      </c>
      <c r="CR25" s="24">
        <v>30.0</v>
      </c>
      <c r="CS25" s="24">
        <v>29.8</v>
      </c>
      <c r="CT25" s="24">
        <v>32.9</v>
      </c>
      <c r="CU25" s="23">
        <v>5.3</v>
      </c>
      <c r="CV25" s="23">
        <v>5.4</v>
      </c>
      <c r="CW25" s="24">
        <v>48.8</v>
      </c>
      <c r="CX25" s="24">
        <v>61.0</v>
      </c>
    </row>
    <row r="26" ht="14.25" customHeight="1">
      <c r="A26" s="21" t="s">
        <v>132</v>
      </c>
      <c r="B26" s="22" t="s">
        <v>133</v>
      </c>
      <c r="C26" s="22" t="s">
        <v>100</v>
      </c>
      <c r="D26" s="23">
        <v>0.017</v>
      </c>
      <c r="E26" s="23">
        <v>0.019</v>
      </c>
      <c r="F26" s="23">
        <v>0.016</v>
      </c>
      <c r="G26" s="23">
        <v>0.017</v>
      </c>
      <c r="H26" s="23">
        <v>0.009</v>
      </c>
      <c r="I26" s="23">
        <v>0.013</v>
      </c>
      <c r="J26" s="23">
        <v>0.0</v>
      </c>
      <c r="K26" s="23">
        <v>0.012</v>
      </c>
      <c r="L26" s="23">
        <v>0.008</v>
      </c>
      <c r="M26" s="23">
        <v>0.008</v>
      </c>
      <c r="N26" s="23">
        <v>0.01</v>
      </c>
      <c r="O26" s="23">
        <v>0.031</v>
      </c>
      <c r="P26" s="24">
        <v>0.18</v>
      </c>
      <c r="Q26" s="23">
        <v>0.087</v>
      </c>
      <c r="R26" s="23">
        <v>0.09</v>
      </c>
      <c r="S26" s="23">
        <v>0.039</v>
      </c>
      <c r="T26" s="24">
        <v>0.12</v>
      </c>
      <c r="U26" s="23">
        <v>0.058</v>
      </c>
      <c r="V26" s="23">
        <v>0.06</v>
      </c>
      <c r="W26" s="23">
        <v>0.082</v>
      </c>
      <c r="X26" s="23">
        <v>0.04</v>
      </c>
      <c r="Y26" s="23">
        <v>0.024</v>
      </c>
      <c r="Z26" s="23">
        <v>0.06</v>
      </c>
      <c r="AA26" s="23">
        <v>0.043</v>
      </c>
      <c r="AB26" s="23">
        <v>0.04</v>
      </c>
      <c r="AC26" s="23">
        <v>0.03</v>
      </c>
      <c r="AD26" s="23">
        <v>0.015</v>
      </c>
      <c r="AE26" s="23">
        <v>0.021</v>
      </c>
      <c r="AF26" s="23">
        <v>0.024</v>
      </c>
      <c r="AG26" s="23">
        <v>0.024</v>
      </c>
      <c r="AH26" s="23">
        <v>0.027</v>
      </c>
      <c r="AI26" s="23">
        <v>0.03</v>
      </c>
      <c r="AJ26" s="23">
        <v>0.044</v>
      </c>
      <c r="AK26" s="23">
        <v>0.017</v>
      </c>
      <c r="AL26" s="23">
        <v>0.027</v>
      </c>
      <c r="AM26" s="23">
        <v>0.027</v>
      </c>
      <c r="AN26" s="23">
        <v>0.022</v>
      </c>
      <c r="AO26" s="23">
        <v>0.028</v>
      </c>
      <c r="AP26" s="23">
        <v>0.021</v>
      </c>
      <c r="AQ26" s="23">
        <v>0.051</v>
      </c>
      <c r="AR26" s="23">
        <v>0.033</v>
      </c>
      <c r="AS26" s="23">
        <v>0.038</v>
      </c>
      <c r="AT26" s="23">
        <v>0.015</v>
      </c>
      <c r="AU26" s="23">
        <v>0.069</v>
      </c>
      <c r="AV26" s="23">
        <v>0.092</v>
      </c>
      <c r="AW26" s="23">
        <v>0.017</v>
      </c>
      <c r="AX26" s="24">
        <v>0.112</v>
      </c>
      <c r="AY26" s="24">
        <v>0.106</v>
      </c>
      <c r="AZ26" s="23">
        <v>0.008</v>
      </c>
      <c r="BA26" s="23">
        <v>0.024</v>
      </c>
      <c r="BB26" s="23">
        <v>0.022</v>
      </c>
      <c r="BC26" s="23">
        <v>0.021</v>
      </c>
      <c r="BD26" s="23">
        <v>0.032</v>
      </c>
      <c r="BE26" s="23">
        <v>0.019</v>
      </c>
      <c r="BF26" s="23">
        <v>0.02</v>
      </c>
      <c r="BG26" s="23">
        <v>0.02</v>
      </c>
      <c r="BH26" s="23">
        <v>0.029</v>
      </c>
      <c r="BI26" s="23">
        <v>0.012</v>
      </c>
      <c r="BJ26" s="23">
        <v>0.027</v>
      </c>
      <c r="BK26" s="23">
        <v>0.05</v>
      </c>
      <c r="BL26" s="23">
        <v>0.04</v>
      </c>
      <c r="BM26" s="24">
        <v>0.16</v>
      </c>
      <c r="BN26" s="23">
        <v>0.028</v>
      </c>
      <c r="BO26" s="23">
        <v>0.003</v>
      </c>
      <c r="BP26" s="23">
        <v>0.079</v>
      </c>
      <c r="BQ26" s="24">
        <v>0.102</v>
      </c>
      <c r="BR26" s="23">
        <v>0.058</v>
      </c>
      <c r="BS26" s="23">
        <v>0.067</v>
      </c>
      <c r="BT26" s="23">
        <v>0.067</v>
      </c>
      <c r="BU26" s="23">
        <v>0.015</v>
      </c>
      <c r="BV26" s="23">
        <v>0.05</v>
      </c>
      <c r="BW26" s="23">
        <v>0.052</v>
      </c>
      <c r="BX26" s="23">
        <v>0.06</v>
      </c>
      <c r="BY26" s="23">
        <v>0.085</v>
      </c>
      <c r="BZ26" s="23">
        <v>0.011</v>
      </c>
      <c r="CA26" s="23">
        <v>0.023</v>
      </c>
      <c r="CB26" s="23">
        <v>0.03</v>
      </c>
      <c r="CC26" s="23">
        <v>0.003</v>
      </c>
      <c r="CD26" s="23">
        <v>0.021</v>
      </c>
      <c r="CE26" s="23">
        <v>0.02</v>
      </c>
      <c r="CF26" s="23">
        <v>0.029</v>
      </c>
      <c r="CG26" s="23">
        <v>0.02</v>
      </c>
      <c r="CH26" s="23">
        <v>0.031</v>
      </c>
      <c r="CI26" s="23">
        <v>0.037</v>
      </c>
      <c r="CJ26" s="23">
        <v>0.032</v>
      </c>
      <c r="CK26" s="23">
        <v>0.04</v>
      </c>
      <c r="CL26" s="23">
        <v>0.012</v>
      </c>
      <c r="CM26" s="23">
        <v>0.009</v>
      </c>
      <c r="CN26" s="23">
        <v>0.007</v>
      </c>
      <c r="CO26" s="23">
        <v>0.07</v>
      </c>
      <c r="CP26" s="23">
        <v>0.023</v>
      </c>
      <c r="CQ26" s="23">
        <v>0.006</v>
      </c>
      <c r="CR26" s="23">
        <v>0.0</v>
      </c>
      <c r="CS26" s="23">
        <v>0.0</v>
      </c>
      <c r="CT26" s="23">
        <v>0.006</v>
      </c>
      <c r="CU26" s="23">
        <v>0.025</v>
      </c>
      <c r="CV26" s="23">
        <v>0.034</v>
      </c>
      <c r="CW26" s="23">
        <v>0.086</v>
      </c>
      <c r="CX26" s="23">
        <v>0.034</v>
      </c>
    </row>
    <row r="27" ht="14.25" customHeight="1">
      <c r="A27" s="21" t="s">
        <v>134</v>
      </c>
      <c r="B27" s="22" t="s">
        <v>135</v>
      </c>
      <c r="C27" s="22" t="s">
        <v>100</v>
      </c>
      <c r="D27" s="23">
        <v>0.026</v>
      </c>
      <c r="E27" s="23">
        <v>0.028</v>
      </c>
      <c r="F27" s="23">
        <v>0.012</v>
      </c>
      <c r="G27" s="23">
        <v>0.011</v>
      </c>
      <c r="H27" s="23">
        <v>0.01</v>
      </c>
      <c r="I27" s="23">
        <v>0.011</v>
      </c>
      <c r="J27" s="24">
        <v>0.159</v>
      </c>
      <c r="K27" s="23">
        <v>0.025</v>
      </c>
      <c r="L27" s="24">
        <v>0.145</v>
      </c>
      <c r="M27" s="23">
        <v>0.01</v>
      </c>
      <c r="N27" s="23">
        <v>0.016</v>
      </c>
      <c r="O27" s="23">
        <v>0.073</v>
      </c>
      <c r="P27" s="24">
        <v>0.24</v>
      </c>
      <c r="Q27" s="23">
        <v>0.04</v>
      </c>
      <c r="R27" s="23">
        <v>0.03</v>
      </c>
      <c r="S27" s="23">
        <v>0.021</v>
      </c>
      <c r="T27" s="23">
        <v>0.09</v>
      </c>
      <c r="U27" s="23">
        <v>0.036</v>
      </c>
      <c r="V27" s="23">
        <v>0.02</v>
      </c>
      <c r="W27" s="23">
        <v>0.029</v>
      </c>
      <c r="X27" s="23">
        <v>0.02</v>
      </c>
      <c r="Y27" s="23">
        <v>0.015</v>
      </c>
      <c r="Z27" s="23">
        <v>0.08</v>
      </c>
      <c r="AA27" s="23">
        <v>0.031</v>
      </c>
      <c r="AB27" s="23">
        <v>0.02</v>
      </c>
      <c r="AC27" s="23">
        <v>0.04</v>
      </c>
      <c r="AD27" s="23">
        <v>0.074</v>
      </c>
      <c r="AE27" s="23">
        <v>0.023</v>
      </c>
      <c r="AF27" s="23">
        <v>0.031</v>
      </c>
      <c r="AG27" s="23">
        <v>0.046</v>
      </c>
      <c r="AH27" s="23">
        <v>0.025</v>
      </c>
      <c r="AI27" s="23">
        <v>0.04</v>
      </c>
      <c r="AJ27" s="23">
        <v>0.034</v>
      </c>
      <c r="AK27" s="23">
        <v>0.041</v>
      </c>
      <c r="AL27" s="23">
        <v>0.033</v>
      </c>
      <c r="AM27" s="23">
        <v>0.047</v>
      </c>
      <c r="AN27" s="23">
        <v>0.041</v>
      </c>
      <c r="AO27" s="23">
        <v>0.026</v>
      </c>
      <c r="AP27" s="23">
        <v>0.041</v>
      </c>
      <c r="AQ27" s="24">
        <v>0.186</v>
      </c>
      <c r="AR27" s="23">
        <v>0.021</v>
      </c>
      <c r="AS27" s="23">
        <v>0.012</v>
      </c>
      <c r="AT27" s="23">
        <v>0.031</v>
      </c>
      <c r="AU27" s="23">
        <v>0.07</v>
      </c>
      <c r="AV27" s="23">
        <v>0.057</v>
      </c>
      <c r="AW27" s="23">
        <v>0.015</v>
      </c>
      <c r="AX27" s="24">
        <v>0.182</v>
      </c>
      <c r="AY27" s="24">
        <v>0.125</v>
      </c>
      <c r="AZ27" s="24">
        <v>0.191</v>
      </c>
      <c r="BA27" s="23">
        <v>0.022</v>
      </c>
      <c r="BB27" s="23">
        <v>0.037</v>
      </c>
      <c r="BC27" s="23">
        <v>0.034</v>
      </c>
      <c r="BD27" s="23">
        <v>0.038</v>
      </c>
      <c r="BE27" s="23">
        <v>0.045</v>
      </c>
      <c r="BF27" s="23">
        <v>0.031</v>
      </c>
      <c r="BG27" s="23">
        <v>0.026</v>
      </c>
      <c r="BH27" s="23">
        <v>0.046</v>
      </c>
      <c r="BI27" s="23">
        <v>0.018</v>
      </c>
      <c r="BJ27" s="23">
        <v>0.039</v>
      </c>
      <c r="BK27" s="23">
        <v>0.05</v>
      </c>
      <c r="BL27" s="23">
        <v>0.05</v>
      </c>
      <c r="BM27" s="24">
        <v>0.142</v>
      </c>
      <c r="BN27" s="23">
        <v>0.038</v>
      </c>
      <c r="BO27" s="23">
        <v>0.003</v>
      </c>
      <c r="BP27" s="23">
        <v>0.032</v>
      </c>
      <c r="BQ27" s="23">
        <v>0.021</v>
      </c>
      <c r="BR27" s="23">
        <v>0.021</v>
      </c>
      <c r="BS27" s="24">
        <v>0.13</v>
      </c>
      <c r="BT27" s="23">
        <v>0.053</v>
      </c>
      <c r="BU27" s="23">
        <v>0.015</v>
      </c>
      <c r="BV27" s="23">
        <v>0.06</v>
      </c>
      <c r="BW27" s="23">
        <v>0.066</v>
      </c>
      <c r="BX27" s="23">
        <v>0.05</v>
      </c>
      <c r="BY27" s="23">
        <v>0.082</v>
      </c>
      <c r="BZ27" s="24">
        <v>0.11</v>
      </c>
      <c r="CA27" s="23">
        <v>0.038</v>
      </c>
      <c r="CB27" s="23">
        <v>0.02</v>
      </c>
      <c r="CC27" s="23">
        <v>0.0</v>
      </c>
      <c r="CD27" s="23">
        <v>0.007</v>
      </c>
      <c r="CE27" s="23">
        <v>0.03</v>
      </c>
      <c r="CF27" s="24">
        <v>0.101</v>
      </c>
      <c r="CG27" s="23">
        <v>0.03</v>
      </c>
      <c r="CH27" s="23">
        <v>0.029</v>
      </c>
      <c r="CI27" s="23">
        <v>0.041</v>
      </c>
      <c r="CJ27" s="23">
        <v>0.037</v>
      </c>
      <c r="CK27" s="23">
        <v>0.03</v>
      </c>
      <c r="CL27" s="23">
        <v>0.02</v>
      </c>
      <c r="CM27" s="23">
        <v>0.018</v>
      </c>
      <c r="CN27" s="23">
        <v>0.016</v>
      </c>
      <c r="CO27" s="23">
        <v>0.06</v>
      </c>
      <c r="CP27" s="23">
        <v>0.027</v>
      </c>
      <c r="CQ27" s="23">
        <v>0.004</v>
      </c>
      <c r="CR27" s="24">
        <v>0.13</v>
      </c>
      <c r="CS27" s="24">
        <v>0.131</v>
      </c>
      <c r="CT27" s="23">
        <v>0.018</v>
      </c>
      <c r="CU27" s="23">
        <v>0.015</v>
      </c>
      <c r="CV27" s="23">
        <v>0.027</v>
      </c>
      <c r="CW27" s="23">
        <v>0.03</v>
      </c>
      <c r="CX27" s="23">
        <v>0.027</v>
      </c>
    </row>
    <row r="28" ht="14.25" customHeight="1">
      <c r="A28" s="21" t="s">
        <v>136</v>
      </c>
      <c r="B28" s="22" t="s">
        <v>137</v>
      </c>
      <c r="C28" s="22" t="s">
        <v>138</v>
      </c>
      <c r="D28" s="23">
        <v>0.091</v>
      </c>
      <c r="E28" s="23">
        <v>0.091</v>
      </c>
      <c r="F28" s="23">
        <v>0.095</v>
      </c>
      <c r="G28" s="23">
        <v>0.061</v>
      </c>
      <c r="H28" s="23">
        <v>0.081</v>
      </c>
      <c r="I28" s="23">
        <v>0.042</v>
      </c>
      <c r="J28" s="24">
        <v>0.927</v>
      </c>
      <c r="K28" s="23">
        <v>0.157</v>
      </c>
      <c r="L28" s="24">
        <v>1.372</v>
      </c>
      <c r="M28" s="23">
        <v>0.054</v>
      </c>
      <c r="N28" s="23">
        <v>0.154</v>
      </c>
      <c r="O28" s="23">
        <v>0.665</v>
      </c>
      <c r="P28" s="24">
        <v>2.8</v>
      </c>
      <c r="Q28" s="23">
        <v>0.282</v>
      </c>
      <c r="R28" s="23">
        <v>0.4</v>
      </c>
      <c r="S28" s="23">
        <v>0.201</v>
      </c>
      <c r="T28" s="23">
        <v>0.9</v>
      </c>
      <c r="U28" s="23">
        <v>0.376</v>
      </c>
      <c r="V28" s="23">
        <v>0.1</v>
      </c>
      <c r="W28" s="23">
        <v>0.445</v>
      </c>
      <c r="X28" s="23">
        <v>0.1</v>
      </c>
      <c r="Y28" s="23">
        <v>0.091</v>
      </c>
      <c r="Z28" s="23">
        <v>0.4</v>
      </c>
      <c r="AA28" s="23">
        <v>0.204</v>
      </c>
      <c r="AB28" s="23">
        <v>0.2</v>
      </c>
      <c r="AC28" s="23">
        <v>0.6</v>
      </c>
      <c r="AD28" s="24">
        <v>2.589</v>
      </c>
      <c r="AE28" s="23">
        <v>0.395</v>
      </c>
      <c r="AF28" s="23">
        <v>0.806</v>
      </c>
      <c r="AG28" s="23">
        <v>0.28</v>
      </c>
      <c r="AH28" s="23">
        <v>0.341</v>
      </c>
      <c r="AI28" s="23">
        <v>0.4</v>
      </c>
      <c r="AJ28" s="23">
        <v>0.137</v>
      </c>
      <c r="AK28" s="23">
        <v>0.177</v>
      </c>
      <c r="AL28" s="23">
        <v>0.154</v>
      </c>
      <c r="AM28" s="23">
        <v>0.177</v>
      </c>
      <c r="AN28" s="23">
        <v>0.41</v>
      </c>
      <c r="AO28" s="23">
        <v>0.417</v>
      </c>
      <c r="AP28" s="23">
        <v>0.37</v>
      </c>
      <c r="AQ28" s="24">
        <v>1.882</v>
      </c>
      <c r="AR28" s="23">
        <v>0.178</v>
      </c>
      <c r="AS28" s="23">
        <v>0.418</v>
      </c>
      <c r="AT28" s="23">
        <v>0.232</v>
      </c>
      <c r="AU28" s="23">
        <v>0.188</v>
      </c>
      <c r="AV28" s="23">
        <v>0.3</v>
      </c>
      <c r="AW28" s="23">
        <v>0.133</v>
      </c>
      <c r="AX28" s="24">
        <v>1.114</v>
      </c>
      <c r="AY28" s="23">
        <v>0.766</v>
      </c>
      <c r="AZ28" s="24">
        <v>1.142</v>
      </c>
      <c r="BA28" s="23">
        <v>0.386</v>
      </c>
      <c r="BB28" s="23">
        <v>0.462</v>
      </c>
      <c r="BC28" s="23">
        <v>0.057</v>
      </c>
      <c r="BD28" s="23">
        <v>0.598</v>
      </c>
      <c r="BE28" s="23">
        <v>0.23</v>
      </c>
      <c r="BF28" s="23">
        <v>0.443</v>
      </c>
      <c r="BG28" s="23">
        <v>0.646</v>
      </c>
      <c r="BH28" s="24">
        <v>1.207</v>
      </c>
      <c r="BI28" s="23">
        <v>0.446</v>
      </c>
      <c r="BJ28" s="23">
        <v>0.287</v>
      </c>
      <c r="BK28" s="23">
        <v>0.3</v>
      </c>
      <c r="BL28" s="23">
        <v>0.1</v>
      </c>
      <c r="BM28" s="24">
        <v>1.615</v>
      </c>
      <c r="BN28" s="23">
        <v>0.669</v>
      </c>
      <c r="BO28" s="23">
        <v>0.08</v>
      </c>
      <c r="BP28" s="23">
        <v>0.5</v>
      </c>
      <c r="BQ28" s="23">
        <v>0.284</v>
      </c>
      <c r="BR28" s="23">
        <v>0.199</v>
      </c>
      <c r="BS28" s="24">
        <v>1.738</v>
      </c>
      <c r="BT28" s="23">
        <v>0.293</v>
      </c>
      <c r="BU28" s="23">
        <v>0.233</v>
      </c>
      <c r="BV28" s="24">
        <v>1.61</v>
      </c>
      <c r="BW28" s="24">
        <v>1.274</v>
      </c>
      <c r="BX28" s="23">
        <v>0.4</v>
      </c>
      <c r="BY28" s="23">
        <v>0.619</v>
      </c>
      <c r="BZ28" s="23">
        <v>0.64</v>
      </c>
      <c r="CA28" s="23">
        <v>0.445</v>
      </c>
      <c r="CB28" s="23">
        <v>0.1</v>
      </c>
      <c r="CC28" s="23">
        <v>0.037</v>
      </c>
      <c r="CD28" s="23">
        <v>0.237</v>
      </c>
      <c r="CE28" s="23">
        <v>0.2</v>
      </c>
      <c r="CF28" s="23">
        <v>0.62</v>
      </c>
      <c r="CG28" s="23">
        <v>0.3</v>
      </c>
      <c r="CH28" s="23">
        <v>0.203</v>
      </c>
      <c r="CI28" s="23">
        <v>0.418</v>
      </c>
      <c r="CJ28" s="23">
        <v>0.52</v>
      </c>
      <c r="CK28" s="23">
        <v>0.3</v>
      </c>
      <c r="CL28" s="23">
        <v>0.101</v>
      </c>
      <c r="CM28" s="23">
        <v>0.091</v>
      </c>
      <c r="CN28" s="23">
        <v>0.99</v>
      </c>
      <c r="CO28" s="23">
        <v>0.5</v>
      </c>
      <c r="CP28" s="23">
        <v>0.357</v>
      </c>
      <c r="CQ28" s="23">
        <v>0.15</v>
      </c>
      <c r="CR28" s="24">
        <v>1.5</v>
      </c>
      <c r="CS28" s="24">
        <v>1.46</v>
      </c>
      <c r="CT28" s="23">
        <v>0.295</v>
      </c>
      <c r="CU28" s="23">
        <v>0.565</v>
      </c>
      <c r="CV28" s="24">
        <v>1.125</v>
      </c>
      <c r="CW28" s="23">
        <v>0.636</v>
      </c>
      <c r="CX28" s="23">
        <v>0.22</v>
      </c>
    </row>
    <row r="29" ht="14.25" customHeight="1">
      <c r="A29" s="21" t="s">
        <v>139</v>
      </c>
      <c r="B29" s="22">
        <v>1.3</v>
      </c>
      <c r="C29" s="22" t="s">
        <v>140</v>
      </c>
      <c r="D29" s="23">
        <v>0.041</v>
      </c>
      <c r="E29" s="23">
        <v>0.037</v>
      </c>
      <c r="F29" s="23">
        <v>0.044</v>
      </c>
      <c r="G29" s="23">
        <v>0.046</v>
      </c>
      <c r="H29" s="23">
        <v>0.044</v>
      </c>
      <c r="I29" s="23">
        <v>0.034</v>
      </c>
      <c r="J29" s="24">
        <v>0.125</v>
      </c>
      <c r="K29" s="23">
        <v>0.028</v>
      </c>
      <c r="L29" s="23">
        <v>0.072</v>
      </c>
      <c r="M29" s="23">
        <v>0.014</v>
      </c>
      <c r="N29" s="23">
        <v>0.014</v>
      </c>
      <c r="O29" s="23">
        <v>0.367</v>
      </c>
      <c r="P29" s="23">
        <v>0.44</v>
      </c>
      <c r="Q29" s="23">
        <v>0.06</v>
      </c>
      <c r="R29" s="23">
        <v>0.04</v>
      </c>
      <c r="S29" s="23">
        <v>0.031</v>
      </c>
      <c r="T29" s="24">
        <v>0.176</v>
      </c>
      <c r="U29" s="23">
        <v>0.078</v>
      </c>
      <c r="V29" s="23">
        <v>0.042</v>
      </c>
      <c r="W29" s="23">
        <v>0.042</v>
      </c>
      <c r="X29" s="23">
        <v>0.08</v>
      </c>
      <c r="Y29" s="23">
        <v>0.046</v>
      </c>
      <c r="Z29" s="24">
        <v>0.172</v>
      </c>
      <c r="AA29" s="23">
        <v>0.053</v>
      </c>
      <c r="AB29" s="23">
        <v>0.044</v>
      </c>
      <c r="AC29" s="23">
        <v>0.054</v>
      </c>
      <c r="AD29" s="24">
        <v>0.143</v>
      </c>
      <c r="AE29" s="23">
        <v>0.054</v>
      </c>
      <c r="AF29" s="23">
        <v>0.025</v>
      </c>
      <c r="AG29" s="23">
        <v>0.057</v>
      </c>
      <c r="AH29" s="23">
        <v>0.063</v>
      </c>
      <c r="AI29" s="23">
        <v>0.044</v>
      </c>
      <c r="AJ29" s="23">
        <v>0.067</v>
      </c>
      <c r="AK29" s="23">
        <v>0.044</v>
      </c>
      <c r="AL29" s="23">
        <v>0.049</v>
      </c>
      <c r="AM29" s="23">
        <v>0.036</v>
      </c>
      <c r="AN29" s="23">
        <v>0.03</v>
      </c>
      <c r="AO29" s="23">
        <v>0.029</v>
      </c>
      <c r="AP29" s="23">
        <v>0.027</v>
      </c>
      <c r="AQ29" s="23">
        <v>0.205</v>
      </c>
      <c r="AR29" s="23">
        <v>0.045</v>
      </c>
      <c r="AS29" s="23">
        <v>0.088</v>
      </c>
      <c r="AT29" s="24">
        <v>0.163</v>
      </c>
      <c r="AU29" s="23">
        <v>0.086</v>
      </c>
      <c r="AV29" s="24">
        <v>0.11</v>
      </c>
      <c r="AW29" s="23">
        <v>0.032</v>
      </c>
      <c r="AX29" s="24">
        <v>0.188</v>
      </c>
      <c r="AY29" s="24">
        <v>0.174</v>
      </c>
      <c r="AZ29" s="23">
        <v>0.323</v>
      </c>
      <c r="BA29" s="23">
        <v>0.047</v>
      </c>
      <c r="BB29" s="23">
        <v>0.028</v>
      </c>
      <c r="BC29" s="23">
        <v>0.049</v>
      </c>
      <c r="BD29" s="23">
        <v>0.055</v>
      </c>
      <c r="BE29" s="23">
        <v>0.034</v>
      </c>
      <c r="BF29" s="23">
        <v>0.042</v>
      </c>
      <c r="BG29" s="23">
        <v>0.03</v>
      </c>
      <c r="BH29" s="23">
        <v>0.061</v>
      </c>
      <c r="BI29" s="23">
        <v>0.021</v>
      </c>
      <c r="BJ29" s="23">
        <v>0.036</v>
      </c>
      <c r="BK29" s="23">
        <v>0.066</v>
      </c>
      <c r="BL29" s="23">
        <v>0.07</v>
      </c>
      <c r="BM29" s="23">
        <v>0.296</v>
      </c>
      <c r="BN29" s="24">
        <v>0.119</v>
      </c>
      <c r="BO29" s="23">
        <v>0.015</v>
      </c>
      <c r="BP29" s="24">
        <v>0.112</v>
      </c>
      <c r="BQ29" s="23">
        <v>0.075</v>
      </c>
      <c r="BR29" s="24">
        <v>0.1</v>
      </c>
      <c r="BS29" s="24">
        <v>0.257</v>
      </c>
      <c r="BT29" s="23">
        <v>0.075</v>
      </c>
      <c r="BU29" s="23">
        <v>0.04</v>
      </c>
      <c r="BV29" s="24">
        <v>0.249</v>
      </c>
      <c r="BW29" s="24">
        <v>0.165</v>
      </c>
      <c r="BX29" s="24">
        <v>0.113</v>
      </c>
      <c r="BY29" s="24">
        <v>0.106</v>
      </c>
      <c r="BZ29" s="24">
        <v>0.133</v>
      </c>
      <c r="CA29" s="23">
        <v>0.07</v>
      </c>
      <c r="CB29" s="24">
        <v>0.1</v>
      </c>
      <c r="CC29" s="23">
        <v>0.009</v>
      </c>
      <c r="CD29" s="23">
        <v>0.031</v>
      </c>
      <c r="CE29" s="23">
        <v>0.04</v>
      </c>
      <c r="CF29" s="23">
        <v>0.05</v>
      </c>
      <c r="CG29" s="23">
        <v>0.024</v>
      </c>
      <c r="CH29" s="23">
        <v>0.025</v>
      </c>
      <c r="CI29" s="23">
        <v>0.052</v>
      </c>
      <c r="CJ29" s="23">
        <v>0.059</v>
      </c>
      <c r="CK29" s="23">
        <v>0.08</v>
      </c>
      <c r="CL29" s="23">
        <v>0.057</v>
      </c>
      <c r="CM29" s="23">
        <v>0.052</v>
      </c>
      <c r="CN29" s="23">
        <v>0.038</v>
      </c>
      <c r="CO29" s="24">
        <v>0.23</v>
      </c>
      <c r="CP29" s="23">
        <v>0.038</v>
      </c>
      <c r="CQ29" s="23">
        <v>0.009</v>
      </c>
      <c r="CR29" s="23">
        <v>0.1</v>
      </c>
      <c r="CS29" s="23">
        <v>0.05</v>
      </c>
      <c r="CT29" s="23">
        <v>0.067</v>
      </c>
      <c r="CU29" s="23">
        <v>0.063</v>
      </c>
      <c r="CV29" s="23">
        <v>0.025</v>
      </c>
      <c r="CW29" s="23">
        <v>0.075</v>
      </c>
      <c r="CX29" s="23">
        <v>0.036</v>
      </c>
    </row>
    <row r="30" ht="14.25" customHeight="1">
      <c r="A30" s="23" t="s">
        <v>141</v>
      </c>
      <c r="B30" s="22" t="s">
        <v>142</v>
      </c>
      <c r="C30" s="22">
        <v>1000.0</v>
      </c>
      <c r="D30" s="23">
        <v>3.0</v>
      </c>
      <c r="E30" s="23">
        <v>0.0</v>
      </c>
      <c r="F30" s="23">
        <v>1.0</v>
      </c>
      <c r="G30" s="23">
        <v>1.0</v>
      </c>
      <c r="H30" s="23">
        <v>0.0</v>
      </c>
      <c r="I30" s="23">
        <v>1.0</v>
      </c>
      <c r="J30" s="23">
        <v>0.0</v>
      </c>
      <c r="K30" s="23">
        <v>7.0</v>
      </c>
      <c r="L30" s="23">
        <v>0.0</v>
      </c>
      <c r="M30" s="23">
        <v>1.0</v>
      </c>
      <c r="N30" s="23">
        <v>1.0</v>
      </c>
      <c r="O30" s="24">
        <v>20.0</v>
      </c>
      <c r="P30" s="24">
        <v>14.0</v>
      </c>
      <c r="Q30" s="24">
        <v>30.0</v>
      </c>
      <c r="R30" s="24">
        <v>30.0</v>
      </c>
      <c r="S30" s="24">
        <v>24.0</v>
      </c>
      <c r="T30" s="24">
        <v>30.0</v>
      </c>
      <c r="U30" s="24">
        <v>16.0</v>
      </c>
      <c r="V30" s="23">
        <v>5.0</v>
      </c>
      <c r="W30" s="23">
        <v>5.0</v>
      </c>
      <c r="X30" s="23">
        <v>11.0</v>
      </c>
      <c r="Y30" s="24">
        <v>20.0</v>
      </c>
      <c r="Z30" s="24">
        <v>13.0</v>
      </c>
      <c r="AA30" s="24">
        <v>13.0</v>
      </c>
      <c r="AB30" s="23">
        <v>10.0</v>
      </c>
      <c r="AC30" s="23">
        <v>9.0</v>
      </c>
      <c r="AD30" s="23">
        <v>10.0</v>
      </c>
      <c r="AE30" s="23">
        <v>2.0</v>
      </c>
      <c r="AF30" s="23">
        <v>4.0</v>
      </c>
      <c r="AH30" s="24">
        <v>25.0</v>
      </c>
      <c r="AI30" s="23">
        <v>8.0</v>
      </c>
      <c r="AJ30" s="23">
        <v>5.0</v>
      </c>
      <c r="AK30" s="23">
        <v>8.0</v>
      </c>
      <c r="AL30" s="23">
        <v>4.0</v>
      </c>
      <c r="AM30" s="23">
        <v>4.0</v>
      </c>
      <c r="AN30" s="23">
        <v>4.0</v>
      </c>
      <c r="AO30" s="23">
        <v>5.0</v>
      </c>
      <c r="AP30" s="23">
        <v>3.0</v>
      </c>
      <c r="AQ30" s="23">
        <v>4.0</v>
      </c>
      <c r="AR30" s="23">
        <v>3.0</v>
      </c>
      <c r="AS30" s="24">
        <v>19.0</v>
      </c>
      <c r="AT30" s="23">
        <v>8.0</v>
      </c>
      <c r="AU30" s="23">
        <v>2.0</v>
      </c>
      <c r="AV30" s="23">
        <v>4.0</v>
      </c>
      <c r="AW30" s="23">
        <v>0.0</v>
      </c>
      <c r="AX30" s="23">
        <v>3.0</v>
      </c>
      <c r="AY30" s="23">
        <v>5.0</v>
      </c>
      <c r="AZ30" s="23">
        <v>3.0</v>
      </c>
      <c r="BA30" s="24">
        <v>24.0</v>
      </c>
      <c r="BB30" s="24">
        <v>17.0</v>
      </c>
      <c r="BC30" s="24">
        <v>28.0</v>
      </c>
      <c r="BD30" s="24">
        <v>21.0</v>
      </c>
      <c r="BE30" s="24">
        <v>26.0</v>
      </c>
      <c r="BF30" s="23">
        <v>11.0</v>
      </c>
      <c r="BG30" s="24">
        <v>25.0</v>
      </c>
      <c r="BH30" s="24">
        <v>34.0</v>
      </c>
      <c r="BI30" s="23">
        <v>10.0</v>
      </c>
      <c r="BJ30" s="24">
        <v>27.0</v>
      </c>
      <c r="BL30" s="23">
        <v>8.0</v>
      </c>
      <c r="BM30" s="23">
        <v>10.0</v>
      </c>
      <c r="BN30" s="24">
        <v>43.0</v>
      </c>
      <c r="BO30" s="23">
        <v>7.0</v>
      </c>
      <c r="BP30" s="24">
        <v>18.0</v>
      </c>
      <c r="BQ30" s="23">
        <v>5.0</v>
      </c>
      <c r="BR30" s="24">
        <v>18.0</v>
      </c>
      <c r="BS30" s="25">
        <v>81.0</v>
      </c>
      <c r="BT30" s="24">
        <v>38.0</v>
      </c>
      <c r="BU30" s="24">
        <v>24.0</v>
      </c>
      <c r="BV30" s="24">
        <v>15.0</v>
      </c>
      <c r="BW30" s="24">
        <v>19.0</v>
      </c>
      <c r="BX30" s="23">
        <v>6.0</v>
      </c>
      <c r="BY30" s="23">
        <v>9.0</v>
      </c>
      <c r="BZ30" s="23">
        <v>1.0</v>
      </c>
      <c r="CA30" s="23">
        <v>2.0</v>
      </c>
      <c r="CB30" s="23">
        <v>8.0</v>
      </c>
      <c r="CC30" s="23">
        <v>0.0</v>
      </c>
      <c r="CD30" s="23">
        <v>3.0</v>
      </c>
      <c r="CE30" s="23">
        <v>3.0</v>
      </c>
      <c r="CF30" s="23">
        <v>6.0</v>
      </c>
      <c r="CG30" s="23">
        <v>7.0</v>
      </c>
      <c r="CH30" s="23">
        <v>8.0</v>
      </c>
      <c r="CI30" s="23">
        <v>6.0</v>
      </c>
      <c r="CJ30" s="23">
        <v>7.0</v>
      </c>
      <c r="CK30" s="23">
        <v>6.0</v>
      </c>
      <c r="CL30" s="23">
        <v>1.0</v>
      </c>
      <c r="CM30" s="23">
        <v>1.0</v>
      </c>
      <c r="CN30" s="23">
        <v>0.0</v>
      </c>
      <c r="CO30" s="23">
        <v>6.0</v>
      </c>
      <c r="CP30" s="24">
        <v>37.0</v>
      </c>
      <c r="CQ30" s="23">
        <v>2.0</v>
      </c>
      <c r="CR30" s="24">
        <v>14.0</v>
      </c>
      <c r="CS30" s="23">
        <v>7.0</v>
      </c>
      <c r="CT30" s="24">
        <v>23.0</v>
      </c>
      <c r="CU30" s="23">
        <v>3.0</v>
      </c>
      <c r="CV30" s="23">
        <v>5.0</v>
      </c>
      <c r="CW30" s="24">
        <v>24.0</v>
      </c>
    </row>
    <row r="31" ht="14.25" customHeight="1">
      <c r="A31" s="21" t="s">
        <v>143</v>
      </c>
      <c r="B31" s="22" t="s">
        <v>144</v>
      </c>
      <c r="C31" s="22" t="s">
        <v>100</v>
      </c>
      <c r="D31" s="23">
        <v>0.0</v>
      </c>
      <c r="E31" s="23">
        <v>0.0</v>
      </c>
      <c r="F31" s="23">
        <v>0.0</v>
      </c>
      <c r="G31" s="23">
        <v>0.0</v>
      </c>
      <c r="H31" s="23">
        <v>0.0</v>
      </c>
      <c r="I31" s="23">
        <v>0.0</v>
      </c>
      <c r="J31" s="23">
        <v>0.0</v>
      </c>
      <c r="K31" s="23">
        <v>0.0</v>
      </c>
      <c r="L31" s="23">
        <v>0.0</v>
      </c>
      <c r="M31" s="23">
        <v>0.0</v>
      </c>
      <c r="N31" s="23">
        <v>0.0</v>
      </c>
      <c r="O31" s="23">
        <v>0.0</v>
      </c>
      <c r="P31" s="23">
        <v>0.0</v>
      </c>
      <c r="Q31" s="23">
        <v>0.0</v>
      </c>
      <c r="R31" s="23">
        <v>0.0</v>
      </c>
      <c r="S31" s="23">
        <v>0.0</v>
      </c>
      <c r="T31" s="23">
        <v>0.0</v>
      </c>
      <c r="U31" s="23">
        <v>0.0</v>
      </c>
      <c r="V31" s="23">
        <v>0.0</v>
      </c>
      <c r="W31" s="23">
        <v>0.0</v>
      </c>
      <c r="X31" s="23">
        <v>0.0</v>
      </c>
      <c r="Y31" s="23">
        <v>0.0</v>
      </c>
      <c r="Z31" s="23">
        <v>0.0</v>
      </c>
      <c r="AA31" s="23">
        <v>0.0</v>
      </c>
      <c r="AB31" s="23">
        <v>0.0</v>
      </c>
      <c r="AC31" s="23">
        <v>0.0</v>
      </c>
      <c r="AD31" s="23">
        <v>0.0</v>
      </c>
      <c r="AE31" s="23">
        <v>0.0</v>
      </c>
      <c r="AF31" s="23">
        <v>0.0</v>
      </c>
      <c r="AH31" s="23">
        <v>0.0</v>
      </c>
      <c r="AI31" s="23">
        <v>0.0</v>
      </c>
      <c r="AJ31" s="23">
        <v>0.0</v>
      </c>
      <c r="AK31" s="23">
        <v>0.0</v>
      </c>
      <c r="AL31" s="23">
        <v>0.0</v>
      </c>
      <c r="AM31" s="23">
        <v>0.0</v>
      </c>
      <c r="AN31" s="23">
        <v>0.0</v>
      </c>
      <c r="AO31" s="23">
        <v>0.0</v>
      </c>
      <c r="AP31" s="23">
        <v>0.0</v>
      </c>
      <c r="AQ31" s="23">
        <v>0.0</v>
      </c>
      <c r="AR31" s="23">
        <v>0.0</v>
      </c>
      <c r="AS31" s="23">
        <v>0.0</v>
      </c>
      <c r="AT31" s="23">
        <v>0.0</v>
      </c>
      <c r="AU31" s="23">
        <v>0.0</v>
      </c>
      <c r="AV31" s="23">
        <v>0.0</v>
      </c>
      <c r="AW31" s="23">
        <v>0.0</v>
      </c>
      <c r="AX31" s="23">
        <v>0.0</v>
      </c>
      <c r="AY31" s="23">
        <v>0.0</v>
      </c>
      <c r="AZ31" s="23">
        <v>0.0</v>
      </c>
      <c r="BA31" s="23">
        <v>0.0</v>
      </c>
      <c r="BB31" s="23">
        <v>0.0</v>
      </c>
      <c r="BC31" s="23">
        <v>0.0</v>
      </c>
      <c r="BD31" s="23">
        <v>0.0</v>
      </c>
      <c r="BE31" s="23">
        <v>0.0</v>
      </c>
      <c r="BF31" s="23">
        <v>0.0</v>
      </c>
      <c r="BG31" s="23">
        <v>0.0</v>
      </c>
      <c r="BH31" s="23">
        <v>0.0</v>
      </c>
      <c r="BI31" s="23">
        <v>0.0</v>
      </c>
      <c r="BJ31" s="23">
        <v>0.0</v>
      </c>
      <c r="BK31" s="23">
        <v>0.0</v>
      </c>
      <c r="BL31" s="23">
        <v>0.0</v>
      </c>
      <c r="BM31" s="23">
        <v>0.0</v>
      </c>
      <c r="BN31" s="23">
        <v>0.0</v>
      </c>
      <c r="BO31" s="23">
        <v>0.0</v>
      </c>
      <c r="BP31" s="23">
        <v>0.0</v>
      </c>
      <c r="BQ31" s="23">
        <v>0.0</v>
      </c>
      <c r="BR31" s="23">
        <v>0.0</v>
      </c>
      <c r="BS31" s="23">
        <v>0.0</v>
      </c>
      <c r="BT31" s="23">
        <v>0.0</v>
      </c>
      <c r="BU31" s="23">
        <v>0.0</v>
      </c>
      <c r="BW31" s="23">
        <v>0.0</v>
      </c>
      <c r="BX31" s="23">
        <v>0.0</v>
      </c>
      <c r="BY31" s="23">
        <v>0.0</v>
      </c>
      <c r="BZ31" s="23">
        <v>0.0</v>
      </c>
      <c r="CA31" s="23">
        <v>0.0</v>
      </c>
      <c r="CB31" s="23">
        <v>0.0</v>
      </c>
      <c r="CC31" s="23">
        <v>0.0</v>
      </c>
      <c r="CD31" s="23">
        <v>0.0</v>
      </c>
      <c r="CE31" s="23">
        <v>0.0</v>
      </c>
      <c r="CF31" s="23">
        <v>0.0</v>
      </c>
      <c r="CG31" s="23">
        <v>0.0</v>
      </c>
      <c r="CH31" s="23">
        <v>0.0</v>
      </c>
      <c r="CI31" s="23">
        <v>0.0</v>
      </c>
      <c r="CJ31" s="23">
        <v>0.0</v>
      </c>
      <c r="CK31" s="23">
        <v>0.0</v>
      </c>
      <c r="CL31" s="23">
        <v>0.0</v>
      </c>
      <c r="CM31" s="23">
        <v>0.0</v>
      </c>
      <c r="CN31" s="23">
        <v>0.0</v>
      </c>
      <c r="CO31" s="23">
        <v>0.0</v>
      </c>
      <c r="CP31" s="23">
        <v>0.0</v>
      </c>
      <c r="CQ31" s="23">
        <v>0.0</v>
      </c>
      <c r="CR31" s="23">
        <v>0.0</v>
      </c>
      <c r="CS31" s="23">
        <v>0.0</v>
      </c>
      <c r="CT31" s="23">
        <v>0.0</v>
      </c>
      <c r="CV31" s="23">
        <v>0.0</v>
      </c>
      <c r="CW31" s="23">
        <v>0.0</v>
      </c>
      <c r="CX31" s="23">
        <v>0.0</v>
      </c>
    </row>
    <row r="32" ht="14.25" customHeight="1">
      <c r="A32" s="21" t="s">
        <v>145</v>
      </c>
      <c r="B32" s="22">
        <v>900.0</v>
      </c>
      <c r="C32" s="22">
        <v>3000.0</v>
      </c>
      <c r="D32" s="23">
        <v>3.0</v>
      </c>
      <c r="E32" s="23">
        <v>2.0</v>
      </c>
      <c r="F32" s="23">
        <v>2.0</v>
      </c>
      <c r="G32" s="23">
        <v>2.0</v>
      </c>
      <c r="H32" s="23">
        <v>3.0</v>
      </c>
      <c r="J32" s="23">
        <v>0.0</v>
      </c>
      <c r="K32" s="23">
        <v>1.0</v>
      </c>
      <c r="L32" s="23">
        <v>0.0</v>
      </c>
      <c r="M32" s="23">
        <v>0.0</v>
      </c>
      <c r="N32" s="23">
        <v>0.0</v>
      </c>
      <c r="O32" s="23">
        <v>3.0</v>
      </c>
      <c r="P32" s="23">
        <v>12.0</v>
      </c>
      <c r="Q32" s="23">
        <v>11.0</v>
      </c>
      <c r="R32" s="23">
        <v>10.0</v>
      </c>
      <c r="S32" s="23">
        <v>9.0</v>
      </c>
      <c r="T32" s="23">
        <v>21.0</v>
      </c>
      <c r="U32" s="23">
        <v>34.0</v>
      </c>
      <c r="V32" s="23">
        <v>13.0</v>
      </c>
      <c r="W32" s="23">
        <v>43.0</v>
      </c>
      <c r="X32" s="23">
        <v>1.0</v>
      </c>
      <c r="Y32" s="23">
        <v>0.0</v>
      </c>
      <c r="Z32" s="23">
        <v>3.0</v>
      </c>
      <c r="AA32" s="24">
        <v>58.0</v>
      </c>
      <c r="AB32" s="23">
        <v>22.0</v>
      </c>
      <c r="AC32" s="24">
        <v>96.0</v>
      </c>
      <c r="AD32" s="24">
        <v>180.0</v>
      </c>
      <c r="AE32" s="24">
        <v>98.0</v>
      </c>
      <c r="AF32" s="23">
        <v>16.0</v>
      </c>
      <c r="AG32" s="23">
        <v>4.0</v>
      </c>
      <c r="AH32" s="23">
        <v>4.0</v>
      </c>
      <c r="AI32" s="24">
        <v>64.0</v>
      </c>
      <c r="AJ32" s="23">
        <v>44.0</v>
      </c>
      <c r="AK32" s="23">
        <v>38.0</v>
      </c>
      <c r="AL32" s="23">
        <v>3.0</v>
      </c>
      <c r="AM32" s="23">
        <v>9.0</v>
      </c>
      <c r="AN32" s="23">
        <v>8.0</v>
      </c>
      <c r="AO32" s="23">
        <v>17.0</v>
      </c>
      <c r="AP32" s="23">
        <v>46.0</v>
      </c>
      <c r="AQ32" s="23">
        <v>39.0</v>
      </c>
      <c r="AR32" s="23">
        <v>28.0</v>
      </c>
      <c r="AS32" s="23">
        <v>3.0</v>
      </c>
      <c r="AT32" s="23">
        <v>0.0</v>
      </c>
      <c r="AU32" s="23">
        <v>3.0</v>
      </c>
      <c r="AV32" s="23">
        <v>5.0</v>
      </c>
      <c r="AW32" s="23">
        <v>0.0</v>
      </c>
      <c r="AX32" s="23">
        <v>0.0</v>
      </c>
      <c r="AY32" s="23">
        <v>0.0</v>
      </c>
      <c r="AZ32" s="23">
        <v>0.0</v>
      </c>
      <c r="BA32" s="23">
        <v>1.0</v>
      </c>
      <c r="BB32" s="23">
        <v>2.0</v>
      </c>
      <c r="BC32" s="23">
        <v>1.0</v>
      </c>
      <c r="BD32" s="23">
        <v>2.0</v>
      </c>
      <c r="BE32" s="23">
        <v>3.0</v>
      </c>
      <c r="BF32" s="23">
        <v>2.0</v>
      </c>
      <c r="BG32" s="23">
        <v>11.0</v>
      </c>
      <c r="BH32" s="23">
        <v>6.0</v>
      </c>
      <c r="BI32" s="23">
        <v>6.0</v>
      </c>
      <c r="BJ32" s="23">
        <v>11.0</v>
      </c>
      <c r="BK32" s="23">
        <v>12.0</v>
      </c>
      <c r="BL32" s="23">
        <v>2.0</v>
      </c>
      <c r="BM32" s="23">
        <v>4.0</v>
      </c>
      <c r="BN32" s="24">
        <v>54.0</v>
      </c>
      <c r="BO32" s="23">
        <v>35.0</v>
      </c>
      <c r="BP32" s="23">
        <v>3.0</v>
      </c>
      <c r="BQ32" s="23">
        <v>3.0</v>
      </c>
      <c r="BR32" s="23">
        <v>0.0</v>
      </c>
      <c r="BS32" s="23">
        <v>7.0</v>
      </c>
      <c r="BT32" s="23">
        <v>0.0</v>
      </c>
      <c r="BU32" s="23">
        <v>0.0</v>
      </c>
      <c r="BV32" s="23">
        <v>7.0</v>
      </c>
      <c r="BW32" s="23">
        <v>0.0</v>
      </c>
      <c r="BX32" s="23">
        <v>7.0</v>
      </c>
      <c r="BY32" s="23">
        <v>0.0</v>
      </c>
      <c r="BZ32" s="23">
        <v>0.0</v>
      </c>
      <c r="CA32" s="23">
        <v>2.0</v>
      </c>
      <c r="CB32" s="23">
        <v>81.0</v>
      </c>
      <c r="CC32" s="23">
        <v>20.0</v>
      </c>
      <c r="CD32" s="23">
        <v>20.0</v>
      </c>
      <c r="CE32" s="23">
        <v>2.0</v>
      </c>
      <c r="CF32" s="23">
        <v>1.0</v>
      </c>
      <c r="CG32" s="23">
        <v>5.0</v>
      </c>
      <c r="CH32" s="23">
        <v>5.0</v>
      </c>
      <c r="CI32" s="23">
        <v>3.0</v>
      </c>
      <c r="CJ32" s="23">
        <v>2.0</v>
      </c>
      <c r="CK32" s="23">
        <v>15.0</v>
      </c>
      <c r="CL32" s="23">
        <v>3.0</v>
      </c>
      <c r="CM32" s="23">
        <v>2.0</v>
      </c>
      <c r="CN32" s="23">
        <v>0.0</v>
      </c>
      <c r="CO32" s="23">
        <v>30.0</v>
      </c>
      <c r="CP32" s="23">
        <v>47.0</v>
      </c>
      <c r="CQ32" s="23">
        <v>18.0</v>
      </c>
      <c r="CR32" s="24">
        <v>64.0</v>
      </c>
      <c r="CS32" s="23">
        <v>36.0</v>
      </c>
      <c r="CT32" s="23">
        <v>0.0</v>
      </c>
      <c r="CU32" s="23">
        <v>7.0</v>
      </c>
      <c r="CV32" s="23">
        <v>17.0</v>
      </c>
      <c r="CX32" s="23">
        <v>0.0</v>
      </c>
    </row>
    <row r="33" ht="14.25" customHeight="1">
      <c r="A33" s="28" t="s">
        <v>146</v>
      </c>
      <c r="B33" s="29"/>
      <c r="C33" s="29"/>
      <c r="D33" s="28">
        <v>54.0</v>
      </c>
      <c r="E33" s="28">
        <v>38.0</v>
      </c>
      <c r="F33" s="28">
        <v>44.0</v>
      </c>
      <c r="G33" s="28">
        <v>40.0</v>
      </c>
      <c r="H33" s="28">
        <v>56.0</v>
      </c>
      <c r="I33" s="28">
        <v>34.0</v>
      </c>
      <c r="J33" s="28">
        <v>0.0</v>
      </c>
      <c r="K33" s="28">
        <v>23.0</v>
      </c>
      <c r="L33" s="28">
        <v>3.0</v>
      </c>
      <c r="M33" s="28">
        <v>0.0</v>
      </c>
      <c r="N33" s="28">
        <v>0.0</v>
      </c>
      <c r="O33" s="28">
        <v>64.0</v>
      </c>
      <c r="P33" s="28">
        <v>248.0</v>
      </c>
      <c r="Q33" s="28">
        <v>225.0</v>
      </c>
      <c r="R33" s="28">
        <v>200.0</v>
      </c>
      <c r="S33" s="28">
        <v>175.0</v>
      </c>
      <c r="T33" s="28">
        <v>420.0</v>
      </c>
      <c r="U33" s="28">
        <v>681.0</v>
      </c>
      <c r="V33" s="28">
        <v>253.0</v>
      </c>
      <c r="W33" s="28">
        <v>852.0</v>
      </c>
      <c r="X33" s="28">
        <v>22.0</v>
      </c>
      <c r="Y33" s="28">
        <v>6.0</v>
      </c>
      <c r="Z33" s="28">
        <v>50.0</v>
      </c>
      <c r="AA33" s="28">
        <v>1150.0</v>
      </c>
      <c r="AB33" s="28">
        <v>440.0</v>
      </c>
      <c r="AC33" s="28">
        <v>1926.0</v>
      </c>
      <c r="AD33" s="28">
        <v>3604.0</v>
      </c>
      <c r="AE33" s="28">
        <v>1959.0</v>
      </c>
      <c r="AF33" s="28">
        <v>326.0</v>
      </c>
      <c r="AG33" s="28">
        <v>72.0</v>
      </c>
      <c r="AH33" s="28">
        <v>87.0</v>
      </c>
      <c r="AI33" s="28">
        <v>1283.0</v>
      </c>
      <c r="AJ33" s="28">
        <v>870.0</v>
      </c>
      <c r="AK33" s="28">
        <v>754.0</v>
      </c>
      <c r="AL33" s="28">
        <v>64.0</v>
      </c>
      <c r="AM33" s="28">
        <v>189.0</v>
      </c>
      <c r="AN33" s="28">
        <v>160.0</v>
      </c>
      <c r="AO33" s="28">
        <v>345.0</v>
      </c>
      <c r="AP33" s="28">
        <v>914.0</v>
      </c>
      <c r="AQ33" s="28">
        <v>781.0</v>
      </c>
      <c r="AR33" s="28">
        <v>569.0</v>
      </c>
      <c r="AS33" s="28">
        <v>50.0</v>
      </c>
      <c r="AT33" s="28">
        <v>0.0</v>
      </c>
      <c r="AU33" s="28">
        <v>66.0</v>
      </c>
      <c r="AV33" s="28">
        <v>100.0</v>
      </c>
      <c r="AW33" s="28">
        <v>8.0</v>
      </c>
      <c r="AX33" s="28">
        <v>0.0</v>
      </c>
      <c r="AY33" s="28">
        <v>0.0</v>
      </c>
      <c r="AZ33" s="28">
        <v>0.0</v>
      </c>
      <c r="BA33" s="28">
        <v>12.0</v>
      </c>
      <c r="BB33" s="28">
        <v>45.0</v>
      </c>
      <c r="BC33" s="28">
        <v>26.0</v>
      </c>
      <c r="BD33" s="28">
        <v>33.0</v>
      </c>
      <c r="BE33" s="28">
        <v>60.0</v>
      </c>
      <c r="BF33" s="28">
        <v>33.0</v>
      </c>
      <c r="BG33" s="28">
        <v>214.0</v>
      </c>
      <c r="BH33" s="28">
        <v>114.0</v>
      </c>
      <c r="BI33" s="28">
        <v>123.0</v>
      </c>
      <c r="BJ33" s="28">
        <v>219.0</v>
      </c>
      <c r="BK33" s="28">
        <v>230.0</v>
      </c>
      <c r="BL33" s="28">
        <v>42.0</v>
      </c>
      <c r="BM33" s="28">
        <v>73.0</v>
      </c>
      <c r="BN33" s="28">
        <v>1082.0</v>
      </c>
      <c r="BO33" s="28">
        <v>692.0</v>
      </c>
      <c r="BP33" s="28">
        <v>58.0</v>
      </c>
      <c r="BQ33" s="28">
        <v>50.0</v>
      </c>
      <c r="BR33" s="28">
        <v>5.0</v>
      </c>
      <c r="BS33" s="28">
        <v>146.0</v>
      </c>
      <c r="BT33" s="28">
        <v>0.0</v>
      </c>
      <c r="BU33" s="28">
        <v>0.0</v>
      </c>
      <c r="BV33" s="28">
        <v>149.0</v>
      </c>
      <c r="BW33" s="28">
        <v>10.0</v>
      </c>
      <c r="BX33" s="28">
        <v>142.0</v>
      </c>
      <c r="BY33" s="28">
        <v>10.0</v>
      </c>
      <c r="BZ33" s="28">
        <v>4.0</v>
      </c>
      <c r="CA33" s="28">
        <v>38.0</v>
      </c>
      <c r="CB33" s="28">
        <v>1627.0</v>
      </c>
      <c r="CC33" s="28">
        <v>403.0</v>
      </c>
      <c r="CD33" s="28">
        <v>393.0</v>
      </c>
      <c r="CE33" s="28">
        <v>40.0</v>
      </c>
      <c r="CF33" s="28">
        <v>25.0</v>
      </c>
      <c r="CG33" s="28">
        <v>102.0</v>
      </c>
      <c r="CH33" s="28">
        <v>107.0</v>
      </c>
      <c r="CI33" s="28">
        <v>54.0</v>
      </c>
      <c r="CJ33" s="28">
        <v>46.0</v>
      </c>
      <c r="CK33" s="28">
        <v>290.0</v>
      </c>
      <c r="CL33" s="28">
        <v>60.0</v>
      </c>
      <c r="CM33" s="28">
        <v>45.0</v>
      </c>
      <c r="CN33" s="28">
        <v>0.0</v>
      </c>
      <c r="CO33" s="28">
        <v>600.0</v>
      </c>
      <c r="CP33" s="28">
        <v>950.0</v>
      </c>
      <c r="CQ33" s="28">
        <v>361.0</v>
      </c>
      <c r="CR33" s="28">
        <v>1272.0</v>
      </c>
      <c r="CS33" s="28">
        <v>717.0</v>
      </c>
      <c r="CT33" s="28">
        <v>6.0</v>
      </c>
      <c r="CU33" s="28">
        <v>147.0</v>
      </c>
      <c r="CV33" s="28">
        <v>332.0</v>
      </c>
      <c r="CW33" s="28"/>
      <c r="CX33" s="28">
        <v>8.0</v>
      </c>
    </row>
    <row r="34" ht="14.25" customHeight="1">
      <c r="A34" s="21" t="s">
        <v>147</v>
      </c>
      <c r="B34" s="22" t="s">
        <v>148</v>
      </c>
      <c r="C34" s="22">
        <v>1000.0</v>
      </c>
      <c r="D34" s="23">
        <v>0.18</v>
      </c>
      <c r="E34" s="23">
        <v>0.05</v>
      </c>
      <c r="F34" s="23">
        <v>0.05</v>
      </c>
      <c r="G34" s="23">
        <v>0.05</v>
      </c>
      <c r="H34" s="23">
        <v>0.21</v>
      </c>
      <c r="I34" s="23">
        <v>0.0</v>
      </c>
      <c r="J34" s="23">
        <v>0.53</v>
      </c>
      <c r="K34" s="23">
        <v>0.12</v>
      </c>
      <c r="L34" s="23">
        <v>0.06</v>
      </c>
      <c r="M34" s="23">
        <v>0.08</v>
      </c>
      <c r="N34" s="23">
        <v>0.08</v>
      </c>
      <c r="O34" s="23">
        <v>0.1</v>
      </c>
      <c r="P34" s="23">
        <v>0.39</v>
      </c>
      <c r="Q34" s="23">
        <v>0.18</v>
      </c>
      <c r="R34" s="23">
        <v>0.04</v>
      </c>
      <c r="S34" s="23">
        <v>0.2</v>
      </c>
      <c r="T34" s="23">
        <v>0.25</v>
      </c>
      <c r="U34" s="23">
        <v>0.2</v>
      </c>
      <c r="V34" s="23">
        <v>0.13</v>
      </c>
      <c r="W34" s="23">
        <v>0.1</v>
      </c>
      <c r="X34" s="23">
        <v>0.15</v>
      </c>
      <c r="Y34" s="23">
        <v>0.15</v>
      </c>
      <c r="Z34" s="23">
        <v>0.25</v>
      </c>
      <c r="AA34" s="23">
        <v>0.13</v>
      </c>
      <c r="AC34" s="23">
        <v>0.89</v>
      </c>
      <c r="AD34" s="24">
        <v>4.33</v>
      </c>
      <c r="AE34" s="23">
        <v>0.6</v>
      </c>
      <c r="AF34" s="23">
        <v>0.73</v>
      </c>
      <c r="AG34" s="24">
        <v>1.49</v>
      </c>
      <c r="AH34" s="24">
        <v>1.46</v>
      </c>
      <c r="AI34" s="23">
        <v>0.07</v>
      </c>
      <c r="AJ34" s="23">
        <v>0.05</v>
      </c>
      <c r="AK34" s="23">
        <v>0.23</v>
      </c>
      <c r="AL34" s="23">
        <v>0.07</v>
      </c>
      <c r="AM34" s="23">
        <v>0.07</v>
      </c>
      <c r="AN34" s="23">
        <v>0.23</v>
      </c>
      <c r="AO34" s="23">
        <v>0.26</v>
      </c>
      <c r="AP34" s="23">
        <v>0.18</v>
      </c>
      <c r="AQ34" s="23">
        <v>0.43</v>
      </c>
      <c r="AR34" s="23">
        <v>0.05</v>
      </c>
      <c r="AS34" s="23">
        <v>0.02</v>
      </c>
      <c r="AT34" s="23">
        <v>0.05</v>
      </c>
      <c r="AU34" s="23">
        <v>0.19</v>
      </c>
      <c r="AV34" s="23">
        <v>0.19</v>
      </c>
      <c r="AW34" s="23">
        <v>0.0</v>
      </c>
      <c r="AY34" s="23">
        <v>0.12</v>
      </c>
      <c r="AZ34" s="23">
        <v>0.12</v>
      </c>
      <c r="BA34" s="23">
        <v>0.29</v>
      </c>
      <c r="BB34" s="23">
        <v>0.29</v>
      </c>
      <c r="BC34" s="23">
        <v>0.19</v>
      </c>
      <c r="BD34" s="23">
        <v>0.87</v>
      </c>
      <c r="BE34" s="23">
        <v>0.72</v>
      </c>
      <c r="BF34" s="23">
        <v>0.59</v>
      </c>
      <c r="BG34" s="24">
        <v>1.17</v>
      </c>
      <c r="BH34" s="24">
        <v>1.17</v>
      </c>
      <c r="BI34" s="23">
        <v>0.9</v>
      </c>
      <c r="BJ34" s="23">
        <v>0.78</v>
      </c>
      <c r="BK34" s="24">
        <v>1.0</v>
      </c>
      <c r="BL34" s="23">
        <v>0.1</v>
      </c>
      <c r="BM34" s="23">
        <v>0.11</v>
      </c>
      <c r="BN34" s="23">
        <v>0.9</v>
      </c>
      <c r="BO34" s="23">
        <v>0.21</v>
      </c>
      <c r="BP34" s="23">
        <v>0.02</v>
      </c>
      <c r="BQ34" s="23">
        <v>0.02</v>
      </c>
      <c r="BR34" s="23">
        <v>0.02</v>
      </c>
      <c r="BS34" s="23">
        <v>2.07</v>
      </c>
      <c r="BT34" s="23">
        <v>0.6</v>
      </c>
      <c r="BU34" s="23">
        <v>0.38</v>
      </c>
      <c r="BW34" s="23">
        <v>0.05</v>
      </c>
      <c r="BX34" s="23">
        <v>0.11</v>
      </c>
      <c r="BY34" s="23">
        <v>0.35</v>
      </c>
      <c r="BZ34" s="23">
        <v>0.15</v>
      </c>
      <c r="CA34" s="23">
        <v>0.08</v>
      </c>
      <c r="CB34" s="23">
        <v>0.73</v>
      </c>
      <c r="CC34" s="24">
        <v>1.65</v>
      </c>
      <c r="CD34" s="24">
        <v>3.81</v>
      </c>
      <c r="CF34" s="23">
        <v>0.87</v>
      </c>
      <c r="CG34" s="23">
        <v>0.27</v>
      </c>
      <c r="CH34" s="23">
        <v>0.27</v>
      </c>
      <c r="CI34" s="23">
        <v>0.57</v>
      </c>
      <c r="CJ34" s="23">
        <v>0.48</v>
      </c>
      <c r="CK34" s="23">
        <v>0.37</v>
      </c>
      <c r="CL34" s="24">
        <v>1.2</v>
      </c>
      <c r="CM34" s="24">
        <v>1.2</v>
      </c>
      <c r="CN34" s="24">
        <v>1.07</v>
      </c>
      <c r="CP34" s="23">
        <v>0.3</v>
      </c>
      <c r="CQ34" s="23">
        <v>0.24</v>
      </c>
      <c r="CR34" s="23">
        <v>0.02</v>
      </c>
      <c r="CS34" s="23">
        <v>0.01</v>
      </c>
      <c r="CT34" s="23">
        <v>0.16</v>
      </c>
      <c r="CV34" s="23">
        <v>0.77</v>
      </c>
      <c r="CW34" s="23">
        <v>0.2</v>
      </c>
    </row>
    <row r="35" ht="14.25" customHeight="1">
      <c r="A35" s="21" t="s">
        <v>149</v>
      </c>
      <c r="B35" s="22" t="s">
        <v>150</v>
      </c>
      <c r="C35" s="22">
        <v>100.0</v>
      </c>
      <c r="D35" s="23">
        <v>0.0</v>
      </c>
      <c r="E35" s="23">
        <v>0.0</v>
      </c>
      <c r="F35" s="23">
        <v>0.0</v>
      </c>
      <c r="G35" s="23">
        <v>0.0</v>
      </c>
      <c r="H35" s="23">
        <v>0.0</v>
      </c>
      <c r="I35" s="23">
        <v>0.0</v>
      </c>
      <c r="J35" s="23">
        <v>0.0</v>
      </c>
      <c r="K35" s="23">
        <v>0.0</v>
      </c>
      <c r="L35" s="23">
        <v>0.0</v>
      </c>
      <c r="M35" s="23">
        <v>0.0</v>
      </c>
      <c r="N35" s="23">
        <v>0.0</v>
      </c>
      <c r="O35" s="23">
        <v>0.0</v>
      </c>
      <c r="P35" s="23">
        <v>0.0</v>
      </c>
      <c r="Q35" s="23">
        <v>0.0</v>
      </c>
      <c r="R35" s="23">
        <v>0.0</v>
      </c>
      <c r="S35" s="23">
        <v>0.0</v>
      </c>
      <c r="T35" s="23">
        <v>0.0</v>
      </c>
      <c r="U35" s="23">
        <v>0.0</v>
      </c>
      <c r="V35" s="23">
        <v>0.0</v>
      </c>
      <c r="W35" s="23">
        <v>0.0</v>
      </c>
      <c r="X35" s="23">
        <v>0.0</v>
      </c>
      <c r="Y35" s="23">
        <v>0.0</v>
      </c>
      <c r="Z35" s="23">
        <v>0.0</v>
      </c>
      <c r="AA35" s="23">
        <v>0.0</v>
      </c>
      <c r="AB35" s="23">
        <v>0.0</v>
      </c>
      <c r="AC35" s="23">
        <v>0.0</v>
      </c>
      <c r="AD35" s="23">
        <v>0.0</v>
      </c>
      <c r="AE35" s="23">
        <v>0.0</v>
      </c>
      <c r="AF35" s="23">
        <v>0.0</v>
      </c>
      <c r="AG35" s="23">
        <v>0.0</v>
      </c>
      <c r="AH35" s="23">
        <v>0.0</v>
      </c>
      <c r="AI35" s="23">
        <v>0.0</v>
      </c>
      <c r="AJ35" s="23">
        <v>0.0</v>
      </c>
      <c r="AK35" s="23">
        <v>0.0</v>
      </c>
      <c r="AL35" s="23">
        <v>0.0</v>
      </c>
      <c r="AM35" s="23">
        <v>0.0</v>
      </c>
      <c r="AN35" s="23">
        <v>0.0</v>
      </c>
      <c r="AO35" s="23">
        <v>0.0</v>
      </c>
      <c r="AP35" s="23">
        <v>0.0</v>
      </c>
      <c r="AQ35" s="23">
        <v>0.0</v>
      </c>
      <c r="AR35" s="23">
        <v>0.0</v>
      </c>
      <c r="AS35" s="23">
        <v>0.0</v>
      </c>
      <c r="AT35" s="23">
        <v>0.0</v>
      </c>
      <c r="AU35" s="23">
        <v>0.0</v>
      </c>
      <c r="AV35" s="23">
        <v>0.0</v>
      </c>
      <c r="AW35" s="23">
        <v>0.0</v>
      </c>
      <c r="AX35" s="23">
        <v>0.0</v>
      </c>
      <c r="AY35" s="23">
        <v>0.0</v>
      </c>
      <c r="AZ35" s="23">
        <v>0.0</v>
      </c>
      <c r="BA35" s="23">
        <v>0.0</v>
      </c>
      <c r="BB35" s="23">
        <v>0.0</v>
      </c>
      <c r="BC35" s="23">
        <v>0.0</v>
      </c>
      <c r="BD35" s="23">
        <v>0.0</v>
      </c>
      <c r="BE35" s="23">
        <v>0.0</v>
      </c>
      <c r="BF35" s="23">
        <v>0.0</v>
      </c>
      <c r="BG35" s="23">
        <v>0.0</v>
      </c>
      <c r="BH35" s="23">
        <v>0.0</v>
      </c>
      <c r="BI35" s="23">
        <v>0.0</v>
      </c>
      <c r="BJ35" s="23">
        <v>0.0</v>
      </c>
      <c r="BK35" s="23">
        <v>0.0</v>
      </c>
      <c r="BL35" s="23">
        <v>0.0</v>
      </c>
      <c r="BM35" s="23">
        <v>0.0</v>
      </c>
      <c r="BN35" s="23">
        <v>0.0</v>
      </c>
      <c r="BO35" s="23">
        <v>0.0</v>
      </c>
      <c r="BP35" s="23">
        <v>0.0</v>
      </c>
      <c r="BQ35" s="23">
        <v>0.0</v>
      </c>
      <c r="BR35" s="23">
        <v>0.0</v>
      </c>
      <c r="BS35" s="23">
        <v>0.0</v>
      </c>
      <c r="BT35" s="23">
        <v>0.0</v>
      </c>
      <c r="BU35" s="23">
        <v>0.0</v>
      </c>
      <c r="BV35" s="23">
        <v>0.0</v>
      </c>
      <c r="BW35" s="23">
        <v>0.0</v>
      </c>
      <c r="BX35" s="23">
        <v>0.0</v>
      </c>
      <c r="BY35" s="23">
        <v>0.0</v>
      </c>
      <c r="BZ35" s="23">
        <v>0.0</v>
      </c>
      <c r="CA35" s="23">
        <v>0.0</v>
      </c>
      <c r="CB35" s="23">
        <v>0.0</v>
      </c>
      <c r="CC35" s="23">
        <v>0.0</v>
      </c>
      <c r="CD35" s="23">
        <v>0.0</v>
      </c>
      <c r="CE35" s="23">
        <v>0.0</v>
      </c>
      <c r="CF35" s="23">
        <v>0.0</v>
      </c>
      <c r="CG35" s="23">
        <v>0.0</v>
      </c>
      <c r="CH35" s="23">
        <v>0.0</v>
      </c>
      <c r="CI35" s="23">
        <v>0.0</v>
      </c>
      <c r="CJ35" s="23">
        <v>0.0</v>
      </c>
      <c r="CK35" s="23">
        <v>0.0</v>
      </c>
      <c r="CL35" s="23">
        <v>0.0</v>
      </c>
      <c r="CM35" s="23">
        <v>0.0</v>
      </c>
      <c r="CN35" s="23">
        <v>0.0</v>
      </c>
      <c r="CO35" s="23">
        <v>0.0</v>
      </c>
      <c r="CP35" s="23">
        <v>0.0</v>
      </c>
      <c r="CQ35" s="23">
        <v>0.0</v>
      </c>
      <c r="CR35" s="23">
        <v>0.0</v>
      </c>
      <c r="CS35" s="23">
        <v>0.0</v>
      </c>
      <c r="CT35" s="23">
        <v>0.0</v>
      </c>
      <c r="CU35" s="23">
        <v>0.0</v>
      </c>
      <c r="CV35" s="23">
        <v>0.0</v>
      </c>
      <c r="CW35" s="23">
        <v>0.0</v>
      </c>
      <c r="CX35" s="23">
        <v>0.0</v>
      </c>
    </row>
    <row r="36" ht="14.25" customHeight="1">
      <c r="A36" s="28" t="s">
        <v>151</v>
      </c>
      <c r="B36" s="29"/>
      <c r="C36" s="29"/>
      <c r="D36" s="28">
        <v>0.0</v>
      </c>
      <c r="E36" s="28">
        <v>0.0</v>
      </c>
      <c r="F36" s="28">
        <v>0.0</v>
      </c>
      <c r="G36" s="28">
        <v>0.0</v>
      </c>
      <c r="H36" s="28">
        <v>0.0</v>
      </c>
      <c r="I36" s="28">
        <v>0.0</v>
      </c>
      <c r="J36" s="28">
        <v>0.0</v>
      </c>
      <c r="K36" s="28">
        <v>0.0</v>
      </c>
      <c r="L36" s="28">
        <v>0.0</v>
      </c>
      <c r="M36" s="28">
        <v>0.0</v>
      </c>
      <c r="N36" s="28">
        <v>0.0</v>
      </c>
      <c r="O36" s="28">
        <v>0.0</v>
      </c>
      <c r="P36" s="28">
        <v>0.0</v>
      </c>
      <c r="Q36" s="28">
        <v>0.0</v>
      </c>
      <c r="R36" s="28">
        <v>0.0</v>
      </c>
      <c r="S36" s="28">
        <v>0.0</v>
      </c>
      <c r="T36" s="28">
        <v>0.0</v>
      </c>
      <c r="U36" s="28">
        <v>0.0</v>
      </c>
      <c r="V36" s="28">
        <v>0.0</v>
      </c>
      <c r="W36" s="28">
        <v>0.0</v>
      </c>
      <c r="X36" s="28">
        <v>0.0</v>
      </c>
      <c r="Y36" s="28">
        <v>0.0</v>
      </c>
      <c r="Z36" s="28">
        <v>0.0</v>
      </c>
      <c r="AA36" s="28">
        <v>0.0</v>
      </c>
      <c r="AB36" s="28">
        <v>0.0</v>
      </c>
      <c r="AC36" s="28">
        <v>0.0</v>
      </c>
      <c r="AD36" s="28">
        <v>0.0</v>
      </c>
      <c r="AE36" s="28">
        <v>0.0</v>
      </c>
      <c r="AF36" s="28">
        <v>0.0</v>
      </c>
      <c r="AG36" s="28">
        <v>0.0</v>
      </c>
      <c r="AH36" s="28">
        <v>0.0</v>
      </c>
      <c r="AI36" s="28">
        <v>0.0</v>
      </c>
      <c r="AJ36" s="28">
        <v>0.0</v>
      </c>
      <c r="AK36" s="28">
        <v>0.0</v>
      </c>
      <c r="AL36" s="28">
        <v>0.0</v>
      </c>
      <c r="AM36" s="28">
        <v>0.0</v>
      </c>
      <c r="AN36" s="28">
        <v>0.0</v>
      </c>
      <c r="AO36" s="28">
        <v>0.0</v>
      </c>
      <c r="AP36" s="28">
        <v>0.0</v>
      </c>
      <c r="AQ36" s="28">
        <v>0.0</v>
      </c>
      <c r="AR36" s="28">
        <v>0.0</v>
      </c>
      <c r="AS36" s="28">
        <v>0.0</v>
      </c>
      <c r="AT36" s="28">
        <v>0.0</v>
      </c>
      <c r="AU36" s="28">
        <v>0.0</v>
      </c>
      <c r="AV36" s="28">
        <v>0.0</v>
      </c>
      <c r="AW36" s="28">
        <v>0.0</v>
      </c>
      <c r="AX36" s="28">
        <v>0.0</v>
      </c>
      <c r="AY36" s="28">
        <v>0.0</v>
      </c>
      <c r="AZ36" s="28">
        <v>0.0</v>
      </c>
      <c r="BA36" s="28">
        <v>0.0</v>
      </c>
      <c r="BB36" s="28">
        <v>0.0</v>
      </c>
      <c r="BC36" s="28">
        <v>0.0</v>
      </c>
      <c r="BD36" s="28">
        <v>0.0</v>
      </c>
      <c r="BE36" s="28">
        <v>0.0</v>
      </c>
      <c r="BF36" s="28">
        <v>0.0</v>
      </c>
      <c r="BG36" s="28">
        <v>0.0</v>
      </c>
      <c r="BH36" s="28">
        <v>0.0</v>
      </c>
      <c r="BI36" s="28">
        <v>0.0</v>
      </c>
      <c r="BJ36" s="28">
        <v>0.0</v>
      </c>
      <c r="BK36" s="28">
        <v>0.0</v>
      </c>
      <c r="BL36" s="28">
        <v>0.0</v>
      </c>
      <c r="BM36" s="28">
        <v>0.0</v>
      </c>
      <c r="BN36" s="28">
        <v>0.0</v>
      </c>
      <c r="BO36" s="28">
        <v>0.0</v>
      </c>
      <c r="BP36" s="28">
        <v>0.0</v>
      </c>
      <c r="BQ36" s="28">
        <v>0.0</v>
      </c>
      <c r="BR36" s="28">
        <v>0.0</v>
      </c>
      <c r="BS36" s="28">
        <v>0.0</v>
      </c>
      <c r="BT36" s="28">
        <v>0.0</v>
      </c>
      <c r="BU36" s="28">
        <v>0.0</v>
      </c>
      <c r="BV36" s="28">
        <v>0.0</v>
      </c>
      <c r="BW36" s="28">
        <v>0.0</v>
      </c>
      <c r="BX36" s="28">
        <v>0.0</v>
      </c>
      <c r="BY36" s="28">
        <v>0.0</v>
      </c>
      <c r="BZ36" s="28">
        <v>0.0</v>
      </c>
      <c r="CA36" s="28">
        <v>0.0</v>
      </c>
      <c r="CB36" s="28">
        <v>0.0</v>
      </c>
      <c r="CC36" s="28">
        <v>0.0</v>
      </c>
      <c r="CD36" s="28">
        <v>0.0</v>
      </c>
      <c r="CE36" s="28">
        <v>0.0</v>
      </c>
      <c r="CF36" s="28">
        <v>0.0</v>
      </c>
      <c r="CG36" s="28">
        <v>0.0</v>
      </c>
      <c r="CH36" s="28">
        <v>0.0</v>
      </c>
      <c r="CI36" s="28">
        <v>0.0</v>
      </c>
      <c r="CJ36" s="28">
        <v>0.0</v>
      </c>
      <c r="CK36" s="28">
        <v>0.0</v>
      </c>
      <c r="CL36" s="28">
        <v>0.0</v>
      </c>
      <c r="CM36" s="28">
        <v>0.0</v>
      </c>
      <c r="CN36" s="28">
        <v>0.0</v>
      </c>
      <c r="CO36" s="28">
        <v>0.0</v>
      </c>
      <c r="CP36" s="28">
        <v>0.0</v>
      </c>
      <c r="CQ36" s="28">
        <v>0.0</v>
      </c>
      <c r="CR36" s="28">
        <v>0.0</v>
      </c>
      <c r="CS36" s="28">
        <v>0.0</v>
      </c>
      <c r="CT36" s="28">
        <v>0.0</v>
      </c>
      <c r="CU36" s="28">
        <v>0.0</v>
      </c>
      <c r="CV36" s="28">
        <v>0.0</v>
      </c>
      <c r="CW36" s="28">
        <v>0.0</v>
      </c>
      <c r="CX36" s="28">
        <v>0.0</v>
      </c>
    </row>
    <row r="37" ht="14.25" customHeight="1">
      <c r="A37" s="21" t="s">
        <v>152</v>
      </c>
      <c r="B37" s="22">
        <v>120.0</v>
      </c>
      <c r="C37" s="22" t="s">
        <v>100</v>
      </c>
      <c r="D37" s="23">
        <v>2.2</v>
      </c>
      <c r="E37" s="23">
        <v>0.6</v>
      </c>
      <c r="F37" s="23">
        <v>0.6</v>
      </c>
      <c r="G37" s="23">
        <v>0.7</v>
      </c>
      <c r="H37" s="23">
        <v>0.6</v>
      </c>
      <c r="J37" s="23">
        <v>3.0</v>
      </c>
      <c r="K37" s="23">
        <v>4.5</v>
      </c>
      <c r="L37" s="24">
        <v>20.4</v>
      </c>
      <c r="M37" s="23">
        <v>0.3</v>
      </c>
      <c r="N37" s="23">
        <v>0.3</v>
      </c>
      <c r="O37" s="23">
        <v>0.5</v>
      </c>
      <c r="P37" s="23">
        <v>2.0</v>
      </c>
      <c r="Q37" s="23">
        <v>0.0</v>
      </c>
      <c r="R37" s="23">
        <v>0.1</v>
      </c>
      <c r="S37" s="23">
        <v>0.1</v>
      </c>
      <c r="U37" s="23">
        <v>0.0</v>
      </c>
      <c r="V37" s="23">
        <v>0.0</v>
      </c>
      <c r="W37" s="23">
        <v>0.0</v>
      </c>
      <c r="X37" s="23">
        <v>0.0</v>
      </c>
      <c r="Y37" s="23">
        <v>0.0</v>
      </c>
      <c r="Z37" s="23">
        <v>0.0</v>
      </c>
      <c r="AA37" s="23">
        <v>0.0</v>
      </c>
      <c r="AC37" s="23">
        <v>3.3</v>
      </c>
      <c r="AD37" s="23">
        <v>3.1</v>
      </c>
      <c r="AE37" s="23">
        <v>2.2</v>
      </c>
      <c r="AF37" s="23">
        <v>2.6</v>
      </c>
      <c r="AG37" s="23">
        <v>5.5</v>
      </c>
      <c r="AH37" s="24">
        <v>40.3</v>
      </c>
      <c r="AI37" s="23">
        <v>2.1</v>
      </c>
      <c r="AJ37" s="23">
        <v>1.5</v>
      </c>
      <c r="AK37" s="23">
        <v>1.4</v>
      </c>
      <c r="AL37" s="23">
        <v>2.1</v>
      </c>
      <c r="AM37" s="23">
        <v>2.1</v>
      </c>
      <c r="AN37" s="23">
        <v>1.4</v>
      </c>
      <c r="AO37" s="23">
        <v>6.4</v>
      </c>
      <c r="AP37" s="23">
        <v>4.3</v>
      </c>
      <c r="AQ37" s="24">
        <v>59.5</v>
      </c>
      <c r="AR37" s="23">
        <v>0.1</v>
      </c>
      <c r="AS37" s="23">
        <v>2.9</v>
      </c>
      <c r="AT37" s="23">
        <v>2.5</v>
      </c>
      <c r="AU37" s="24">
        <v>14.6</v>
      </c>
      <c r="AV37" s="24">
        <v>14.6</v>
      </c>
      <c r="AW37" s="23">
        <v>0.4</v>
      </c>
      <c r="AY37" s="23">
        <v>3.5</v>
      </c>
      <c r="AZ37" s="23">
        <v>3.5</v>
      </c>
      <c r="BA37" s="23">
        <v>2.2</v>
      </c>
      <c r="BB37" s="23">
        <v>2.2</v>
      </c>
      <c r="BC37" s="23">
        <v>1.5</v>
      </c>
      <c r="BD37" s="23">
        <v>7.8</v>
      </c>
      <c r="BE37" s="23">
        <v>6.5</v>
      </c>
      <c r="BF37" s="23">
        <v>5.2</v>
      </c>
      <c r="BG37" s="24">
        <v>19.8</v>
      </c>
      <c r="BH37" s="24">
        <v>19.8</v>
      </c>
      <c r="BI37" s="24">
        <v>15.2</v>
      </c>
      <c r="BJ37" s="24">
        <v>13.3</v>
      </c>
      <c r="BL37" s="23">
        <v>11.0</v>
      </c>
      <c r="BM37" s="23">
        <v>3.3</v>
      </c>
      <c r="BN37" s="23">
        <v>4.2</v>
      </c>
      <c r="BO37" s="23">
        <v>0.8</v>
      </c>
      <c r="BP37" s="23">
        <v>0.7</v>
      </c>
      <c r="BQ37" s="23">
        <v>0.7</v>
      </c>
      <c r="BR37" s="23">
        <v>0.3</v>
      </c>
      <c r="BS37" s="24">
        <v>21.0</v>
      </c>
      <c r="BT37" s="24">
        <v>16.4</v>
      </c>
      <c r="BU37" s="24">
        <v>10.4</v>
      </c>
      <c r="BV37" s="23">
        <v>2.7</v>
      </c>
      <c r="BW37" s="23">
        <v>2.7</v>
      </c>
      <c r="BX37" s="23">
        <v>4.7</v>
      </c>
      <c r="BY37" s="24">
        <v>15.6</v>
      </c>
      <c r="BZ37" s="23">
        <v>6.7</v>
      </c>
      <c r="CA37" s="23">
        <v>3.3</v>
      </c>
      <c r="CB37" s="23">
        <v>2.6</v>
      </c>
      <c r="CC37" s="23">
        <v>1.4</v>
      </c>
      <c r="CD37" s="23">
        <v>1.4</v>
      </c>
      <c r="CF37" s="23">
        <v>7.8</v>
      </c>
      <c r="CG37" s="24">
        <v>29.3</v>
      </c>
      <c r="CH37" s="24">
        <v>29.3</v>
      </c>
      <c r="CI37" s="24">
        <v>19.3</v>
      </c>
      <c r="CJ37" s="24">
        <v>16.4</v>
      </c>
      <c r="CL37" s="23">
        <v>5.1</v>
      </c>
      <c r="CM37" s="23">
        <v>5.1</v>
      </c>
      <c r="CN37" s="23">
        <v>3.8</v>
      </c>
      <c r="CP37" s="23">
        <v>2.6</v>
      </c>
      <c r="CQ37" s="23">
        <v>0.8</v>
      </c>
      <c r="CR37" s="23">
        <v>0.7</v>
      </c>
      <c r="CS37" s="23">
        <v>0.4</v>
      </c>
      <c r="CT37" s="23">
        <v>3.5</v>
      </c>
      <c r="CU37" s="23">
        <v>0.183</v>
      </c>
      <c r="CV37" s="23">
        <v>2.2</v>
      </c>
      <c r="CW37" s="23">
        <v>0.0</v>
      </c>
    </row>
    <row r="38" ht="14.25" customHeight="1">
      <c r="A38" s="21" t="s">
        <v>153</v>
      </c>
      <c r="B38" s="22" t="s">
        <v>154</v>
      </c>
      <c r="C38" s="22" t="s">
        <v>100</v>
      </c>
      <c r="D38" s="23">
        <v>0.061</v>
      </c>
      <c r="E38" s="23">
        <v>0.071</v>
      </c>
      <c r="F38" s="23">
        <v>0.046</v>
      </c>
      <c r="G38" s="23">
        <v>0.046</v>
      </c>
      <c r="H38" s="23">
        <v>0.032</v>
      </c>
      <c r="I38" s="23">
        <v>0.054</v>
      </c>
      <c r="J38" s="23">
        <v>0.245</v>
      </c>
      <c r="K38" s="23">
        <v>0.048</v>
      </c>
      <c r="L38" s="23">
        <v>0.153</v>
      </c>
      <c r="M38" s="23">
        <v>0.022</v>
      </c>
      <c r="N38" s="23">
        <v>0.022</v>
      </c>
      <c r="O38" s="23">
        <v>0.334</v>
      </c>
      <c r="P38" s="25">
        <v>14.0</v>
      </c>
      <c r="Q38" s="23">
        <v>0.25</v>
      </c>
      <c r="R38" s="23">
        <v>0.19</v>
      </c>
      <c r="S38" s="23">
        <v>0.18</v>
      </c>
      <c r="T38" s="24">
        <v>0.49</v>
      </c>
      <c r="U38" s="23">
        <v>0.216</v>
      </c>
      <c r="V38" s="23">
        <v>0.125</v>
      </c>
      <c r="W38" s="23">
        <v>0.125</v>
      </c>
      <c r="X38" s="23">
        <v>0.19</v>
      </c>
      <c r="Y38" s="23">
        <v>0.131</v>
      </c>
      <c r="Z38" s="23">
        <v>0.319</v>
      </c>
      <c r="AA38" s="23">
        <v>0.262</v>
      </c>
      <c r="AB38" s="23">
        <v>0.189</v>
      </c>
      <c r="AC38" s="23">
        <v>0.24</v>
      </c>
      <c r="AD38" s="24">
        <v>0.516</v>
      </c>
      <c r="AE38" s="23">
        <v>0.092</v>
      </c>
      <c r="AF38" s="23">
        <v>0.153</v>
      </c>
      <c r="AG38" s="24">
        <v>0.5</v>
      </c>
      <c r="AH38" s="23">
        <v>0.183</v>
      </c>
      <c r="AI38" s="23">
        <v>0.143</v>
      </c>
      <c r="AJ38" s="23">
        <v>0.178</v>
      </c>
      <c r="AK38" s="23">
        <v>0.105</v>
      </c>
      <c r="AL38" s="23">
        <v>0.199</v>
      </c>
      <c r="AM38" s="23">
        <v>0.127</v>
      </c>
      <c r="AN38" s="23">
        <v>0.127</v>
      </c>
      <c r="AO38" s="23">
        <v>0.135</v>
      </c>
      <c r="AP38" s="23">
        <v>0.072</v>
      </c>
      <c r="AQ38" s="24">
        <v>0.422</v>
      </c>
      <c r="AR38" s="23">
        <v>0.221</v>
      </c>
      <c r="AS38" s="23">
        <v>0.155</v>
      </c>
      <c r="AT38" s="23">
        <v>0.084</v>
      </c>
      <c r="AU38" s="23">
        <v>0.05</v>
      </c>
      <c r="AV38" s="23">
        <v>0.024</v>
      </c>
      <c r="AW38" s="23">
        <v>0.048</v>
      </c>
      <c r="AX38" s="23">
        <v>0.045</v>
      </c>
      <c r="AY38" s="23">
        <v>0.095</v>
      </c>
      <c r="AZ38" s="23">
        <v>0.14</v>
      </c>
      <c r="BA38" s="23">
        <v>0.125</v>
      </c>
      <c r="BB38" s="23">
        <v>0.108</v>
      </c>
      <c r="BC38" s="23">
        <v>0.179</v>
      </c>
      <c r="BD38" s="23">
        <v>0.329</v>
      </c>
      <c r="BE38" s="23">
        <v>0.15</v>
      </c>
      <c r="BF38" s="23">
        <v>0.245</v>
      </c>
      <c r="BG38" s="23">
        <v>0.276</v>
      </c>
      <c r="BH38" s="23">
        <v>0.151</v>
      </c>
      <c r="BJ38" s="23">
        <v>0.151</v>
      </c>
      <c r="BL38" s="23">
        <v>0.064</v>
      </c>
      <c r="BM38" s="23">
        <v>0.045</v>
      </c>
      <c r="BN38" s="23">
        <v>0.197</v>
      </c>
      <c r="BO38" s="23">
        <v>0.07</v>
      </c>
      <c r="BP38" s="23">
        <v>0.213</v>
      </c>
      <c r="BR38" s="23">
        <v>0.056</v>
      </c>
      <c r="BS38" s="24">
        <v>1.389</v>
      </c>
      <c r="BT38" s="23">
        <v>0.377</v>
      </c>
      <c r="BU38" s="23">
        <v>0.285</v>
      </c>
      <c r="BV38" s="24">
        <v>0.805</v>
      </c>
      <c r="BW38" s="24">
        <v>0.589</v>
      </c>
      <c r="BX38" s="23">
        <v>0.3</v>
      </c>
      <c r="BY38" s="24">
        <v>0.434</v>
      </c>
      <c r="BZ38" s="23">
        <v>0.127</v>
      </c>
      <c r="CA38" s="23">
        <v>0.069</v>
      </c>
      <c r="CB38" s="25">
        <v>7.6</v>
      </c>
      <c r="CC38" s="23">
        <v>0.015</v>
      </c>
      <c r="CE38" s="23">
        <v>0.081</v>
      </c>
      <c r="CG38" s="23">
        <v>0.085</v>
      </c>
      <c r="CH38" s="23">
        <v>0.065</v>
      </c>
      <c r="CI38" s="23">
        <v>0.124</v>
      </c>
      <c r="CJ38" s="23">
        <v>0.125</v>
      </c>
      <c r="CK38" s="23">
        <v>0.286</v>
      </c>
      <c r="CL38" s="23">
        <v>0.295</v>
      </c>
      <c r="CN38" s="23">
        <v>0.217</v>
      </c>
      <c r="CO38" s="23">
        <v>0.14</v>
      </c>
      <c r="CP38" s="23">
        <v>0.191</v>
      </c>
      <c r="CQ38" s="23">
        <v>0.054</v>
      </c>
      <c r="CT38" s="23">
        <v>0.233</v>
      </c>
      <c r="CV38" s="23">
        <v>0.185</v>
      </c>
      <c r="CW38" s="23">
        <v>0.151</v>
      </c>
    </row>
    <row r="39" ht="14.25" customHeight="1">
      <c r="A39" s="21" t="s">
        <v>155</v>
      </c>
      <c r="B39" s="22" t="s">
        <v>156</v>
      </c>
      <c r="C39" s="22">
        <v>3500.0</v>
      </c>
      <c r="D39" s="23">
        <v>3.4</v>
      </c>
      <c r="E39" s="23">
        <v>3.4</v>
      </c>
      <c r="F39" s="23">
        <v>3.4</v>
      </c>
      <c r="G39" s="23">
        <v>3.4</v>
      </c>
      <c r="H39" s="23">
        <v>3.2</v>
      </c>
      <c r="J39" s="25">
        <v>17.6</v>
      </c>
      <c r="K39" s="23">
        <v>5.1</v>
      </c>
      <c r="L39" s="23">
        <v>23.0</v>
      </c>
      <c r="M39" s="23">
        <v>3.4</v>
      </c>
      <c r="N39" s="23">
        <v>3.4</v>
      </c>
      <c r="O39" s="23">
        <v>9.8</v>
      </c>
      <c r="P39" s="25">
        <v>19.6</v>
      </c>
      <c r="Q39" s="23">
        <v>8.4</v>
      </c>
      <c r="R39" s="23">
        <v>6.2</v>
      </c>
      <c r="S39" s="23">
        <v>6.2</v>
      </c>
      <c r="U39" s="23">
        <v>10.2</v>
      </c>
      <c r="V39" s="23">
        <v>6.2</v>
      </c>
      <c r="W39" s="23">
        <v>8.9</v>
      </c>
      <c r="X39" s="23">
        <v>5.1</v>
      </c>
      <c r="Y39" s="23">
        <v>5.1</v>
      </c>
      <c r="Z39" s="23">
        <v>8.5</v>
      </c>
      <c r="AA39" s="23">
        <v>7.7</v>
      </c>
      <c r="AC39" s="23">
        <v>2.8</v>
      </c>
      <c r="AD39" s="24">
        <v>13.9</v>
      </c>
      <c r="AE39" s="23">
        <v>1.8</v>
      </c>
      <c r="AF39" s="23">
        <v>6.1</v>
      </c>
      <c r="AG39" s="23">
        <v>5.0</v>
      </c>
      <c r="AH39" s="23">
        <v>7.8</v>
      </c>
      <c r="AI39" s="23">
        <v>6.1</v>
      </c>
      <c r="AJ39" s="23">
        <v>5.6</v>
      </c>
      <c r="AK39" s="23">
        <v>4.1</v>
      </c>
      <c r="AL39" s="23">
        <v>6.1</v>
      </c>
      <c r="AM39" s="23">
        <v>5.6</v>
      </c>
      <c r="AN39" s="23">
        <v>4.1</v>
      </c>
      <c r="AO39" s="23">
        <v>1.9</v>
      </c>
      <c r="AP39" s="23">
        <v>1.3</v>
      </c>
      <c r="AQ39" s="23">
        <v>10.1</v>
      </c>
      <c r="AR39" s="23">
        <v>4.1</v>
      </c>
      <c r="AS39" s="23">
        <v>7.6</v>
      </c>
      <c r="AT39" s="23">
        <v>7.6</v>
      </c>
      <c r="AU39" s="23">
        <v>5.6</v>
      </c>
      <c r="AV39" s="23">
        <v>5.6</v>
      </c>
      <c r="AW39" s="23">
        <v>3.2</v>
      </c>
      <c r="AY39" s="23">
        <v>11.1</v>
      </c>
      <c r="AZ39" s="23">
        <v>11.1</v>
      </c>
      <c r="BA39" s="23">
        <v>5.7</v>
      </c>
      <c r="BB39" s="23">
        <v>5.7</v>
      </c>
      <c r="BC39" s="23">
        <v>3.8</v>
      </c>
      <c r="BD39" s="24">
        <v>12.3</v>
      </c>
      <c r="BE39" s="23">
        <v>10.2</v>
      </c>
      <c r="BF39" s="23">
        <v>8.2</v>
      </c>
      <c r="BG39" s="23">
        <v>8.5</v>
      </c>
      <c r="BH39" s="23">
        <v>8.5</v>
      </c>
      <c r="BI39" s="23">
        <v>6.6</v>
      </c>
      <c r="BJ39" s="23">
        <v>5.7</v>
      </c>
      <c r="BL39" s="23">
        <v>7.6</v>
      </c>
      <c r="BM39" s="23">
        <v>10.6</v>
      </c>
      <c r="BN39" s="23">
        <v>7.6</v>
      </c>
      <c r="BO39" s="23">
        <v>0.0</v>
      </c>
      <c r="BP39" s="23">
        <v>5.5</v>
      </c>
      <c r="BQ39" s="23">
        <v>5.5</v>
      </c>
      <c r="BR39" s="23">
        <v>3.3</v>
      </c>
      <c r="BS39" s="24">
        <v>14.2</v>
      </c>
      <c r="BT39" s="23">
        <v>7.6</v>
      </c>
      <c r="BU39" s="23">
        <v>4.8</v>
      </c>
      <c r="BV39" s="23">
        <v>9.9</v>
      </c>
      <c r="BW39" s="23">
        <v>6.3</v>
      </c>
      <c r="BX39" s="23">
        <v>4.7</v>
      </c>
      <c r="BY39" s="24">
        <v>15.8</v>
      </c>
      <c r="BZ39" s="23">
        <v>6.8</v>
      </c>
      <c r="CA39" s="23">
        <v>3.3</v>
      </c>
      <c r="CC39" s="23">
        <v>10.3</v>
      </c>
      <c r="CF39" s="24">
        <v>12.3</v>
      </c>
      <c r="CG39" s="23">
        <v>6.1</v>
      </c>
      <c r="CH39" s="23">
        <v>6.1</v>
      </c>
      <c r="CI39" s="23">
        <v>6.0</v>
      </c>
      <c r="CJ39" s="23">
        <v>5.1</v>
      </c>
      <c r="CL39" s="23">
        <v>5.5</v>
      </c>
      <c r="CM39" s="23">
        <v>3.3</v>
      </c>
      <c r="CN39" s="23">
        <v>4.0</v>
      </c>
      <c r="CP39" s="23">
        <v>6.1</v>
      </c>
      <c r="CQ39" s="23">
        <v>2.0</v>
      </c>
      <c r="CR39" s="23">
        <v>7.6</v>
      </c>
      <c r="CS39" s="23">
        <v>4.0</v>
      </c>
      <c r="CV39" s="23">
        <v>6.2</v>
      </c>
      <c r="CW39" s="23">
        <v>14.0</v>
      </c>
    </row>
    <row r="40" ht="14.25" customHeight="1">
      <c r="A40" s="21" t="s">
        <v>157</v>
      </c>
      <c r="B40" s="22"/>
      <c r="C40" s="22"/>
      <c r="D40" s="23">
        <v>0.1</v>
      </c>
      <c r="K40" s="23">
        <v>0.2</v>
      </c>
      <c r="O40" s="23">
        <v>0.1</v>
      </c>
      <c r="U40" s="23">
        <v>0.1</v>
      </c>
      <c r="AA40" s="23">
        <v>0.1</v>
      </c>
      <c r="AD40" s="23">
        <v>0.3</v>
      </c>
      <c r="AF40" s="23">
        <v>0.3</v>
      </c>
      <c r="AH40" s="23">
        <v>0.5</v>
      </c>
      <c r="AQ40" s="23">
        <v>0.4</v>
      </c>
      <c r="AR40" s="23">
        <v>0.3</v>
      </c>
      <c r="AU40" s="23">
        <v>0.1</v>
      </c>
      <c r="AW40" s="23">
        <v>0.2</v>
      </c>
      <c r="AY40" s="23">
        <v>0.3</v>
      </c>
      <c r="BA40" s="23">
        <v>0.2</v>
      </c>
      <c r="BD40" s="23">
        <v>0.8</v>
      </c>
      <c r="BG40" s="23">
        <v>0.3</v>
      </c>
      <c r="BP40" s="23">
        <v>0.1</v>
      </c>
      <c r="BS40" s="23">
        <v>0.7</v>
      </c>
      <c r="BV40" s="23">
        <v>0.4</v>
      </c>
      <c r="BW40" s="23">
        <v>0.4</v>
      </c>
      <c r="BY40" s="23">
        <v>0.7</v>
      </c>
      <c r="CI40" s="23">
        <v>0.2</v>
      </c>
      <c r="CL40" s="23">
        <v>0.2</v>
      </c>
      <c r="CV40" s="23">
        <v>0.2</v>
      </c>
      <c r="CW40" s="23">
        <v>0.1</v>
      </c>
    </row>
    <row r="41" ht="14.25" customHeight="1">
      <c r="A41" s="19" t="s">
        <v>158</v>
      </c>
      <c r="B41" s="27"/>
      <c r="C41" s="27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  <c r="BD41" s="19"/>
      <c r="BE41" s="19"/>
      <c r="BF41" s="19"/>
      <c r="BG41" s="19"/>
      <c r="BH41" s="19"/>
      <c r="BI41" s="19"/>
      <c r="BJ41" s="19"/>
      <c r="BK41" s="19"/>
      <c r="BL41" s="19"/>
      <c r="BM41" s="19"/>
      <c r="BN41" s="19"/>
      <c r="BO41" s="19"/>
      <c r="BP41" s="19"/>
      <c r="BQ41" s="19"/>
      <c r="BR41" s="19"/>
      <c r="BS41" s="19"/>
      <c r="BT41" s="19"/>
      <c r="BU41" s="19"/>
      <c r="BV41" s="19"/>
      <c r="BW41" s="19"/>
      <c r="BX41" s="19"/>
      <c r="BY41" s="19"/>
      <c r="BZ41" s="19"/>
      <c r="CA41" s="19"/>
      <c r="CB41" s="19"/>
      <c r="CC41" s="19"/>
      <c r="CD41" s="19"/>
      <c r="CE41" s="19"/>
      <c r="CF41" s="19"/>
      <c r="CG41" s="19"/>
      <c r="CH41" s="19"/>
      <c r="CI41" s="19"/>
      <c r="CJ41" s="19"/>
      <c r="CK41" s="19"/>
      <c r="CL41" s="19"/>
      <c r="CM41" s="19"/>
      <c r="CN41" s="19"/>
      <c r="CO41" s="19"/>
      <c r="CP41" s="19"/>
      <c r="CQ41" s="19"/>
      <c r="CR41" s="19"/>
      <c r="CS41" s="19"/>
      <c r="CT41" s="19"/>
      <c r="CU41" s="19"/>
      <c r="CV41" s="19"/>
      <c r="CW41" s="19"/>
      <c r="CX41" s="19"/>
    </row>
    <row r="42" ht="14.25" customHeight="1">
      <c r="A42" s="21" t="s">
        <v>159</v>
      </c>
      <c r="B42" s="22" t="s">
        <v>160</v>
      </c>
      <c r="C42" s="22" t="s">
        <v>161</v>
      </c>
      <c r="D42" s="23">
        <v>0.028</v>
      </c>
      <c r="E42" s="23">
        <v>0.021</v>
      </c>
      <c r="F42" s="23">
        <v>0.058</v>
      </c>
      <c r="G42" s="23">
        <v>0.116</v>
      </c>
      <c r="H42" s="23">
        <v>0.07</v>
      </c>
      <c r="I42" s="23">
        <v>0.053</v>
      </c>
      <c r="J42" s="23">
        <v>0.052</v>
      </c>
      <c r="K42" s="23">
        <v>0.006</v>
      </c>
      <c r="L42" s="23">
        <v>0.035</v>
      </c>
      <c r="M42" s="23">
        <v>0.002</v>
      </c>
      <c r="N42" s="23">
        <v>0.002</v>
      </c>
      <c r="O42" s="23">
        <v>0.112</v>
      </c>
      <c r="P42" s="23">
        <v>0.698</v>
      </c>
      <c r="Q42" s="23">
        <v>0.015</v>
      </c>
      <c r="R42" s="23">
        <v>0.024</v>
      </c>
      <c r="S42" s="23">
        <v>0.018</v>
      </c>
      <c r="T42" s="23">
        <v>0.024</v>
      </c>
      <c r="U42" s="23">
        <v>0.039</v>
      </c>
      <c r="V42" s="23">
        <v>0.024</v>
      </c>
      <c r="W42" s="23">
        <v>0.003</v>
      </c>
      <c r="X42" s="23">
        <v>0.039</v>
      </c>
      <c r="Y42" s="23">
        <v>0.04</v>
      </c>
      <c r="Z42" s="23">
        <v>0.039</v>
      </c>
      <c r="AA42" s="23">
        <v>0.021</v>
      </c>
      <c r="AB42" s="23">
        <v>0.014</v>
      </c>
      <c r="AC42" s="23">
        <v>0.027</v>
      </c>
      <c r="AD42" s="23">
        <v>0.017</v>
      </c>
      <c r="AE42" s="23">
        <v>0.011</v>
      </c>
      <c r="AF42" s="23">
        <v>0.019</v>
      </c>
      <c r="AG42" s="23">
        <v>0.149</v>
      </c>
      <c r="AH42" s="23">
        <v>0.029</v>
      </c>
      <c r="AI42" s="23">
        <v>0.068</v>
      </c>
      <c r="AJ42" s="23">
        <v>0.1</v>
      </c>
      <c r="AK42" s="23">
        <v>0.023</v>
      </c>
      <c r="AL42" s="23">
        <v>0.038</v>
      </c>
      <c r="AM42" s="23">
        <v>0.03</v>
      </c>
      <c r="AN42" s="23">
        <v>0.028</v>
      </c>
      <c r="AO42" s="23">
        <v>0.017</v>
      </c>
      <c r="AP42" s="23">
        <v>0.001</v>
      </c>
      <c r="AQ42" s="23">
        <v>0.088</v>
      </c>
      <c r="AR42" s="23">
        <v>0.016</v>
      </c>
      <c r="AS42" s="23">
        <v>0.038</v>
      </c>
      <c r="AT42" s="23">
        <v>0.025</v>
      </c>
      <c r="AU42" s="23">
        <v>0.054</v>
      </c>
      <c r="AV42" s="23">
        <v>0.114</v>
      </c>
      <c r="AW42" s="23">
        <v>0.025</v>
      </c>
      <c r="AX42" s="23">
        <v>0.178</v>
      </c>
      <c r="AY42" s="23">
        <v>0.058</v>
      </c>
      <c r="AZ42" s="23">
        <v>0.151</v>
      </c>
      <c r="BA42" s="23">
        <v>0.015</v>
      </c>
      <c r="BB42" s="23">
        <v>0.006</v>
      </c>
      <c r="BC42" s="23">
        <v>0.014</v>
      </c>
      <c r="BD42" s="23">
        <v>0.019</v>
      </c>
      <c r="BE42" s="23">
        <v>0.005</v>
      </c>
      <c r="BF42" s="23">
        <v>0.005</v>
      </c>
      <c r="BG42" s="23">
        <v>0.014</v>
      </c>
      <c r="BH42" s="23">
        <v>0.015</v>
      </c>
      <c r="BI42" s="23">
        <v>0.018</v>
      </c>
      <c r="BJ42" s="23">
        <v>0.005</v>
      </c>
      <c r="BK42" s="23">
        <v>0.034</v>
      </c>
      <c r="BL42" s="23">
        <v>0.017</v>
      </c>
      <c r="BM42" s="23">
        <v>0.028</v>
      </c>
      <c r="BN42" s="23">
        <v>0.092</v>
      </c>
      <c r="BO42" s="23">
        <v>0.014</v>
      </c>
      <c r="BP42" s="23">
        <v>0.009</v>
      </c>
      <c r="BQ42" s="23">
        <v>0.008</v>
      </c>
      <c r="BR42" s="23">
        <v>0.008</v>
      </c>
      <c r="BS42" s="23">
        <v>2.126</v>
      </c>
      <c r="BT42" s="23">
        <v>0.12</v>
      </c>
      <c r="BU42" s="23">
        <v>0.077</v>
      </c>
      <c r="BW42" s="23">
        <v>0.032</v>
      </c>
      <c r="BX42" s="23">
        <v>0.06</v>
      </c>
      <c r="BY42" s="23">
        <v>0.144</v>
      </c>
      <c r="BZ42" s="23">
        <v>0.062</v>
      </c>
      <c r="CA42" s="23">
        <v>0.02</v>
      </c>
      <c r="CB42" s="23">
        <v>0.02</v>
      </c>
      <c r="CC42" s="23">
        <v>1.415</v>
      </c>
      <c r="CD42" s="23">
        <v>2.029</v>
      </c>
      <c r="CE42" s="23">
        <v>0.01</v>
      </c>
      <c r="CF42" s="23">
        <v>0.027</v>
      </c>
      <c r="CG42" s="23">
        <v>0.053</v>
      </c>
      <c r="CH42" s="23">
        <v>0.029</v>
      </c>
      <c r="CI42" s="23">
        <v>0.028</v>
      </c>
      <c r="CJ42" s="23">
        <v>0.053</v>
      </c>
      <c r="CK42" s="23">
        <v>0.038</v>
      </c>
      <c r="CL42" s="23">
        <v>0.011</v>
      </c>
      <c r="CM42" s="23">
        <v>0.01</v>
      </c>
      <c r="CN42" s="23">
        <v>0.103</v>
      </c>
      <c r="CO42" s="23">
        <v>0.023</v>
      </c>
      <c r="CP42" s="23">
        <v>0.081</v>
      </c>
      <c r="CQ42" s="23">
        <v>0.047</v>
      </c>
      <c r="CR42" s="23">
        <v>0.059</v>
      </c>
      <c r="CS42" s="23">
        <v>0.004</v>
      </c>
      <c r="CT42" s="23">
        <v>0.148</v>
      </c>
      <c r="CV42" s="23">
        <v>0.025</v>
      </c>
    </row>
    <row r="43" ht="14.25" customHeight="1">
      <c r="A43" s="21" t="s">
        <v>162</v>
      </c>
      <c r="B43" s="22"/>
      <c r="C43" s="22"/>
      <c r="D43" s="23">
        <v>0.007</v>
      </c>
      <c r="E43" s="23">
        <v>0.005</v>
      </c>
      <c r="F43" s="23">
        <v>0.014</v>
      </c>
      <c r="G43" s="23">
        <v>0.029</v>
      </c>
      <c r="H43" s="23">
        <v>0.017</v>
      </c>
      <c r="I43" s="23">
        <v>0.013</v>
      </c>
      <c r="J43" s="23">
        <v>0.013</v>
      </c>
      <c r="K43" s="23">
        <v>0.026</v>
      </c>
      <c r="L43" s="23">
        <v>0.132</v>
      </c>
      <c r="M43" s="23">
        <v>0.006</v>
      </c>
      <c r="N43" s="23">
        <v>0.006</v>
      </c>
      <c r="O43" s="23">
        <v>0.032</v>
      </c>
      <c r="P43" s="23">
        <v>0.153</v>
      </c>
      <c r="Q43" s="23">
        <v>0.023</v>
      </c>
      <c r="R43" s="23">
        <v>0.036</v>
      </c>
      <c r="S43" s="23">
        <v>0.025</v>
      </c>
      <c r="T43" s="23">
        <v>0.036</v>
      </c>
      <c r="U43" s="23">
        <v>0.06</v>
      </c>
      <c r="V43" s="23">
        <v>0.036</v>
      </c>
      <c r="W43" s="23">
        <v>0.005</v>
      </c>
      <c r="X43" s="23">
        <v>0.011</v>
      </c>
      <c r="Y43" s="23">
        <v>0.006</v>
      </c>
      <c r="Z43" s="23">
        <v>0.011</v>
      </c>
      <c r="AA43" s="23">
        <v>0.02</v>
      </c>
      <c r="AB43" s="23">
        <v>0.013</v>
      </c>
      <c r="AC43" s="23">
        <v>0.17</v>
      </c>
      <c r="AD43" s="23">
        <v>0.074</v>
      </c>
      <c r="AE43" s="23">
        <v>0.069</v>
      </c>
      <c r="AF43" s="23">
        <v>0.067</v>
      </c>
      <c r="AG43" s="23">
        <v>0.036</v>
      </c>
      <c r="AH43" s="23">
        <v>0.047</v>
      </c>
      <c r="AI43" s="23">
        <v>0.082</v>
      </c>
      <c r="AJ43" s="23">
        <v>0.12</v>
      </c>
      <c r="AK43" s="23">
        <v>0.027</v>
      </c>
      <c r="AL43" s="23">
        <v>0.047</v>
      </c>
      <c r="AM43" s="23">
        <v>0.036</v>
      </c>
      <c r="AN43" s="23">
        <v>0.034</v>
      </c>
      <c r="AO43" s="23">
        <v>0.134</v>
      </c>
      <c r="AP43" s="23">
        <v>0.005</v>
      </c>
      <c r="AQ43" s="23">
        <v>0.053</v>
      </c>
      <c r="AR43" s="23">
        <v>0.037</v>
      </c>
      <c r="AS43" s="23">
        <v>0.003</v>
      </c>
      <c r="AT43" s="23">
        <v>0.002</v>
      </c>
      <c r="AU43" s="23">
        <v>0.007</v>
      </c>
      <c r="AV43" s="23">
        <v>0.014</v>
      </c>
      <c r="AW43" s="23">
        <v>0.003</v>
      </c>
      <c r="AX43" s="23">
        <v>0.022</v>
      </c>
      <c r="AY43" s="23">
        <v>0.051</v>
      </c>
      <c r="AZ43" s="23">
        <v>0.019</v>
      </c>
      <c r="BA43" s="23">
        <v>0.043</v>
      </c>
      <c r="BB43" s="23">
        <v>0.015</v>
      </c>
      <c r="BC43" s="23">
        <v>0.036</v>
      </c>
      <c r="BD43" s="23">
        <v>0.064</v>
      </c>
      <c r="BE43" s="23">
        <v>0.015</v>
      </c>
      <c r="BF43" s="23">
        <v>0.011</v>
      </c>
      <c r="BG43" s="23">
        <v>0.047</v>
      </c>
      <c r="BH43" s="23">
        <v>0.041</v>
      </c>
      <c r="BI43" s="23">
        <v>0.058</v>
      </c>
      <c r="BJ43" s="23">
        <v>0.014</v>
      </c>
      <c r="BK43" s="23">
        <v>0.058</v>
      </c>
      <c r="BL43" s="23">
        <v>0.028</v>
      </c>
      <c r="BM43" s="23">
        <v>0.047</v>
      </c>
      <c r="BN43" s="23">
        <v>0.14</v>
      </c>
      <c r="BO43" s="23">
        <v>0.022</v>
      </c>
      <c r="BP43" s="23">
        <v>0.013</v>
      </c>
      <c r="BQ43" s="23">
        <v>0.014</v>
      </c>
      <c r="BR43" s="23">
        <v>0.014</v>
      </c>
      <c r="BS43" s="23">
        <v>9.799</v>
      </c>
      <c r="BT43" s="23">
        <v>0.093</v>
      </c>
      <c r="BU43" s="23">
        <v>0.059</v>
      </c>
      <c r="BW43" s="23">
        <v>0.036</v>
      </c>
      <c r="BX43" s="23">
        <v>0.066</v>
      </c>
      <c r="BY43" s="23">
        <v>0.159</v>
      </c>
      <c r="BZ43" s="23">
        <v>0.068</v>
      </c>
      <c r="CA43" s="23">
        <v>0.022</v>
      </c>
      <c r="CB43" s="23">
        <v>0.037</v>
      </c>
      <c r="CC43" s="23">
        <v>7.888</v>
      </c>
      <c r="CD43" s="23">
        <v>11.314</v>
      </c>
      <c r="CE43" s="23">
        <v>0.036</v>
      </c>
      <c r="CF43" s="23">
        <v>0.041</v>
      </c>
      <c r="CG43" s="23">
        <v>0.039</v>
      </c>
      <c r="CH43" s="23">
        <v>0.021</v>
      </c>
      <c r="CI43" s="23">
        <v>0.047</v>
      </c>
      <c r="CJ43" s="23">
        <v>0.091</v>
      </c>
      <c r="CK43" s="23">
        <v>0.051</v>
      </c>
      <c r="CL43" s="23">
        <v>0.018</v>
      </c>
      <c r="CM43" s="23">
        <v>0.023</v>
      </c>
      <c r="CN43" s="23">
        <v>0.198</v>
      </c>
      <c r="CO43" s="23">
        <v>0.08</v>
      </c>
      <c r="CP43" s="23">
        <v>0.072</v>
      </c>
      <c r="CQ43" s="23">
        <v>0.041</v>
      </c>
      <c r="CR43" s="23">
        <v>0.086</v>
      </c>
      <c r="CS43" s="23">
        <v>0.006</v>
      </c>
      <c r="CT43" s="23">
        <v>0.081</v>
      </c>
      <c r="CV43" s="23">
        <v>0.088</v>
      </c>
    </row>
    <row r="44" ht="14.25" customHeight="1">
      <c r="A44" s="21" t="s">
        <v>163</v>
      </c>
      <c r="B44" s="22"/>
      <c r="C44" s="22"/>
      <c r="D44" s="23">
        <v>0.051</v>
      </c>
      <c r="E44" s="23">
        <v>0.037</v>
      </c>
      <c r="F44" s="23">
        <v>0.104</v>
      </c>
      <c r="G44" s="23">
        <v>0.207</v>
      </c>
      <c r="H44" s="23">
        <v>0.126</v>
      </c>
      <c r="I44" s="23">
        <v>0.095</v>
      </c>
      <c r="J44" s="23">
        <v>0.093</v>
      </c>
      <c r="K44" s="23">
        <v>0.029</v>
      </c>
      <c r="L44" s="23">
        <v>0.148</v>
      </c>
      <c r="M44" s="23">
        <v>0.007</v>
      </c>
      <c r="N44" s="23">
        <v>0.007</v>
      </c>
      <c r="O44" s="23">
        <v>0.073</v>
      </c>
      <c r="P44" s="23">
        <v>0.337</v>
      </c>
      <c r="Q44" s="23">
        <v>0.025</v>
      </c>
      <c r="R44" s="23">
        <v>0.04</v>
      </c>
      <c r="S44" s="23">
        <v>0.034</v>
      </c>
      <c r="T44" s="23">
        <v>0.04</v>
      </c>
      <c r="U44" s="23">
        <v>0.065</v>
      </c>
      <c r="V44" s="23">
        <v>0.04</v>
      </c>
      <c r="W44" s="23">
        <v>0.005</v>
      </c>
      <c r="X44" s="23">
        <v>0.089</v>
      </c>
      <c r="Y44" s="23">
        <v>0.021</v>
      </c>
      <c r="Z44" s="23">
        <v>0.089</v>
      </c>
      <c r="AA44" s="23">
        <v>0.036</v>
      </c>
      <c r="AB44" s="23">
        <v>0.024</v>
      </c>
      <c r="AC44" s="23">
        <v>0.077</v>
      </c>
      <c r="AD44" s="23">
        <v>0.074</v>
      </c>
      <c r="AE44" s="23">
        <v>0.031</v>
      </c>
      <c r="AF44" s="23">
        <v>0.086</v>
      </c>
      <c r="AG44" s="23">
        <v>0.207</v>
      </c>
      <c r="AH44" s="23">
        <v>0.287</v>
      </c>
      <c r="AI44" s="23">
        <v>0.09</v>
      </c>
      <c r="AJ44" s="23">
        <v>0.132</v>
      </c>
      <c r="AK44" s="23">
        <v>0.03</v>
      </c>
      <c r="AL44" s="23">
        <v>0.052</v>
      </c>
      <c r="AM44" s="23">
        <v>0.04</v>
      </c>
      <c r="AN44" s="23">
        <v>0.038</v>
      </c>
      <c r="AO44" s="23">
        <v>0.044</v>
      </c>
      <c r="AP44" s="23">
        <v>0.002</v>
      </c>
      <c r="AQ44" s="23">
        <v>0.062</v>
      </c>
      <c r="AR44" s="23">
        <v>0.05</v>
      </c>
      <c r="AS44" s="23">
        <v>0.059</v>
      </c>
      <c r="AT44" s="23">
        <v>0.039</v>
      </c>
      <c r="AU44" s="23">
        <v>0.048</v>
      </c>
      <c r="AV44" s="23">
        <v>0.102</v>
      </c>
      <c r="AW44" s="23">
        <v>0.022</v>
      </c>
      <c r="AX44" s="23">
        <v>0.159</v>
      </c>
      <c r="AY44" s="23">
        <v>0.037</v>
      </c>
      <c r="AZ44" s="23">
        <v>0.135</v>
      </c>
      <c r="BA44" s="23">
        <v>0.155</v>
      </c>
      <c r="BB44" s="23">
        <v>0.054</v>
      </c>
      <c r="BC44" s="23">
        <v>0.129</v>
      </c>
      <c r="BD44" s="23">
        <v>0.375</v>
      </c>
      <c r="BE44" s="23">
        <v>0.089</v>
      </c>
      <c r="BF44" s="23">
        <v>0.068</v>
      </c>
      <c r="BG44" s="23">
        <v>0.28</v>
      </c>
      <c r="BH44" s="23">
        <v>0.245</v>
      </c>
      <c r="BI44" s="23">
        <v>0.344</v>
      </c>
      <c r="BJ44" s="23">
        <v>0.08</v>
      </c>
      <c r="BK44" s="23">
        <v>0.179</v>
      </c>
      <c r="BL44" s="23">
        <v>0.088</v>
      </c>
      <c r="BM44" s="23">
        <v>0.18</v>
      </c>
      <c r="BN44" s="23">
        <v>0.071</v>
      </c>
      <c r="BO44" s="23">
        <v>0.011</v>
      </c>
      <c r="BP44" s="23">
        <v>0.04</v>
      </c>
      <c r="BQ44" s="23">
        <v>0.04</v>
      </c>
      <c r="BR44" s="23">
        <v>0.042</v>
      </c>
      <c r="BS44" s="23">
        <v>1.816</v>
      </c>
      <c r="BT44" s="23">
        <v>0.079</v>
      </c>
      <c r="BU44" s="23">
        <v>0.05</v>
      </c>
      <c r="BW44" s="23">
        <v>0.019</v>
      </c>
      <c r="BX44" s="23">
        <v>0.144</v>
      </c>
      <c r="BY44" s="23">
        <v>0.345</v>
      </c>
      <c r="BZ44" s="23">
        <v>0.149</v>
      </c>
      <c r="CA44" s="23">
        <v>0.048</v>
      </c>
      <c r="CB44" s="23">
        <v>0.043</v>
      </c>
      <c r="CC44" s="23">
        <v>0.911</v>
      </c>
      <c r="CD44" s="23">
        <v>1.307</v>
      </c>
      <c r="CE44" s="23">
        <v>0.05</v>
      </c>
      <c r="CF44" s="23">
        <v>0.207</v>
      </c>
      <c r="CG44" s="23">
        <v>0.099</v>
      </c>
      <c r="CH44" s="23">
        <v>0.054</v>
      </c>
      <c r="CI44" s="23">
        <v>0.146</v>
      </c>
      <c r="CJ44" s="23">
        <v>0.279</v>
      </c>
      <c r="CK44" s="23">
        <v>0.317</v>
      </c>
      <c r="CL44" s="23">
        <v>0.055</v>
      </c>
      <c r="CM44" s="23">
        <v>0.07</v>
      </c>
      <c r="CN44" s="23">
        <v>0.658</v>
      </c>
      <c r="CO44" s="23">
        <v>0.247</v>
      </c>
      <c r="CP44" s="23">
        <v>0.058</v>
      </c>
      <c r="CQ44" s="23">
        <v>0.035</v>
      </c>
      <c r="CR44" s="23">
        <v>0.411</v>
      </c>
      <c r="CS44" s="23">
        <v>0.029</v>
      </c>
      <c r="CT44" s="23">
        <v>0.194</v>
      </c>
      <c r="CV44" s="23">
        <v>0.113</v>
      </c>
    </row>
    <row r="45" ht="14.25" customHeight="1">
      <c r="A45" s="21" t="s">
        <v>164</v>
      </c>
      <c r="B45" s="22" t="s">
        <v>160</v>
      </c>
      <c r="C45" s="22" t="s">
        <v>165</v>
      </c>
      <c r="D45" s="23">
        <v>0.0</v>
      </c>
      <c r="E45" s="23">
        <v>0.0</v>
      </c>
      <c r="F45" s="23">
        <v>0.0</v>
      </c>
      <c r="G45" s="23">
        <v>0.0</v>
      </c>
      <c r="H45" s="23">
        <v>0.0</v>
      </c>
      <c r="I45" s="23">
        <v>0.0</v>
      </c>
      <c r="J45" s="23">
        <v>0.0</v>
      </c>
      <c r="K45" s="23">
        <v>0.0</v>
      </c>
      <c r="L45" s="23">
        <v>0.0</v>
      </c>
      <c r="M45" s="23">
        <v>0.0</v>
      </c>
      <c r="N45" s="23">
        <v>0.0</v>
      </c>
      <c r="O45" s="23">
        <v>0.0</v>
      </c>
      <c r="P45" s="23">
        <v>0.0</v>
      </c>
      <c r="Q45" s="23">
        <v>0.0</v>
      </c>
      <c r="R45" s="23">
        <v>0.0</v>
      </c>
      <c r="S45" s="23">
        <v>0.0</v>
      </c>
      <c r="T45" s="23">
        <v>0.0</v>
      </c>
      <c r="U45" s="23">
        <v>0.0</v>
      </c>
      <c r="V45" s="23">
        <v>0.0</v>
      </c>
      <c r="W45" s="23">
        <v>0.0</v>
      </c>
      <c r="X45" s="23">
        <v>0.0</v>
      </c>
      <c r="Y45" s="23">
        <v>0.0</v>
      </c>
      <c r="Z45" s="23">
        <v>0.0</v>
      </c>
      <c r="AA45" s="23">
        <v>0.0</v>
      </c>
      <c r="AB45" s="23">
        <v>0.0</v>
      </c>
      <c r="AC45" s="23">
        <v>0.0</v>
      </c>
      <c r="AD45" s="23">
        <v>0.0</v>
      </c>
      <c r="AE45" s="23">
        <v>0.0</v>
      </c>
      <c r="AF45" s="23">
        <v>0.0</v>
      </c>
      <c r="AG45" s="23">
        <v>0.0</v>
      </c>
      <c r="AH45" s="23">
        <v>0.0</v>
      </c>
      <c r="AI45" s="23">
        <v>0.0</v>
      </c>
      <c r="AJ45" s="23">
        <v>0.0</v>
      </c>
      <c r="AK45" s="23">
        <v>0.0</v>
      </c>
      <c r="AL45" s="23">
        <v>0.0</v>
      </c>
      <c r="AM45" s="23">
        <v>0.0</v>
      </c>
      <c r="AN45" s="23">
        <v>0.0</v>
      </c>
      <c r="AO45" s="23">
        <v>0.0</v>
      </c>
      <c r="AP45" s="23">
        <v>0.0</v>
      </c>
      <c r="AQ45" s="23">
        <v>0.0</v>
      </c>
      <c r="AR45" s="23">
        <v>0.0</v>
      </c>
      <c r="AS45" s="23">
        <v>0.0</v>
      </c>
      <c r="AT45" s="23">
        <v>0.0</v>
      </c>
      <c r="AU45" s="23">
        <v>0.0</v>
      </c>
      <c r="AV45" s="23">
        <v>0.0</v>
      </c>
      <c r="AW45" s="23">
        <v>0.0</v>
      </c>
      <c r="AX45" s="23">
        <v>0.0</v>
      </c>
      <c r="AY45" s="23">
        <v>0.0</v>
      </c>
      <c r="AZ45" s="23">
        <v>0.0</v>
      </c>
      <c r="BA45" s="23">
        <v>0.0</v>
      </c>
      <c r="BB45" s="23">
        <v>0.0</v>
      </c>
      <c r="BC45" s="23">
        <v>0.0</v>
      </c>
      <c r="BD45" s="23">
        <v>0.0</v>
      </c>
      <c r="BE45" s="23">
        <v>0.0</v>
      </c>
      <c r="BF45" s="23">
        <v>0.0</v>
      </c>
      <c r="BG45" s="23">
        <v>0.0</v>
      </c>
      <c r="BH45" s="23">
        <v>0.0</v>
      </c>
      <c r="BI45" s="23">
        <v>0.0</v>
      </c>
      <c r="BJ45" s="23">
        <v>0.0</v>
      </c>
      <c r="BK45" s="23">
        <v>0.0</v>
      </c>
      <c r="BL45" s="23">
        <v>0.0</v>
      </c>
      <c r="BM45" s="23">
        <v>0.0</v>
      </c>
      <c r="BN45" s="23">
        <v>0.0</v>
      </c>
      <c r="BO45" s="23">
        <v>0.0</v>
      </c>
      <c r="BP45" s="23">
        <v>0.0</v>
      </c>
      <c r="BQ45" s="23">
        <v>0.0</v>
      </c>
      <c r="BR45" s="23">
        <v>0.0</v>
      </c>
      <c r="BS45" s="23">
        <v>0.0</v>
      </c>
      <c r="BT45" s="23">
        <v>0.0</v>
      </c>
      <c r="BU45" s="23">
        <v>0.0</v>
      </c>
      <c r="BV45" s="23">
        <v>0.0</v>
      </c>
      <c r="BW45" s="23">
        <v>0.0</v>
      </c>
      <c r="BX45" s="23">
        <v>0.0</v>
      </c>
      <c r="BY45" s="23">
        <v>0.0</v>
      </c>
      <c r="BZ45" s="23">
        <v>0.0</v>
      </c>
      <c r="CA45" s="23">
        <v>0.0</v>
      </c>
      <c r="CB45" s="23">
        <v>0.0</v>
      </c>
      <c r="CC45" s="23">
        <v>0.0</v>
      </c>
      <c r="CD45" s="23">
        <v>0.0</v>
      </c>
      <c r="CE45" s="23">
        <v>0.0</v>
      </c>
      <c r="CF45" s="23">
        <v>0.0</v>
      </c>
      <c r="CG45" s="23">
        <v>0.0</v>
      </c>
      <c r="CH45" s="23">
        <v>0.0</v>
      </c>
      <c r="CI45" s="23">
        <v>0.0</v>
      </c>
      <c r="CJ45" s="23">
        <v>0.0</v>
      </c>
      <c r="CK45" s="23">
        <v>0.0</v>
      </c>
      <c r="CL45" s="23">
        <v>0.0</v>
      </c>
      <c r="CM45" s="23">
        <v>0.0</v>
      </c>
      <c r="CN45" s="23">
        <v>0.0</v>
      </c>
      <c r="CO45" s="23">
        <v>0.0</v>
      </c>
      <c r="CP45" s="23">
        <v>0.0</v>
      </c>
      <c r="CQ45" s="23">
        <v>0.0</v>
      </c>
      <c r="CR45" s="23">
        <v>0.0</v>
      </c>
      <c r="CS45" s="23">
        <v>0.0</v>
      </c>
      <c r="CT45" s="23">
        <v>0.0</v>
      </c>
      <c r="CU45" s="23">
        <v>0.0</v>
      </c>
      <c r="CV45" s="23">
        <v>0.0</v>
      </c>
      <c r="CW45" s="23">
        <v>0.0</v>
      </c>
      <c r="CX45" s="23">
        <v>0.0</v>
      </c>
    </row>
    <row r="46" ht="14.25" customHeight="1">
      <c r="A46" s="19" t="s">
        <v>166</v>
      </c>
      <c r="B46" s="30" t="s">
        <v>167</v>
      </c>
      <c r="C46" s="27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19"/>
      <c r="BR46" s="19"/>
      <c r="BS46" s="19"/>
      <c r="BT46" s="19"/>
      <c r="BU46" s="19"/>
      <c r="BV46" s="19"/>
      <c r="BW46" s="19"/>
      <c r="BX46" s="19"/>
      <c r="BY46" s="19"/>
      <c r="BZ46" s="19"/>
      <c r="CA46" s="19"/>
      <c r="CB46" s="19"/>
      <c r="CC46" s="19"/>
      <c r="CD46" s="19"/>
      <c r="CE46" s="19"/>
      <c r="CF46" s="19"/>
      <c r="CG46" s="19"/>
      <c r="CH46" s="19"/>
      <c r="CI46" s="19"/>
      <c r="CJ46" s="19"/>
      <c r="CK46" s="19"/>
      <c r="CL46" s="19"/>
      <c r="CM46" s="19"/>
      <c r="CN46" s="19"/>
      <c r="CO46" s="19"/>
      <c r="CP46" s="19"/>
      <c r="CQ46" s="19"/>
      <c r="CR46" s="19"/>
      <c r="CS46" s="19"/>
      <c r="CT46" s="19"/>
      <c r="CU46" s="19"/>
      <c r="CV46" s="19"/>
      <c r="CW46" s="19"/>
      <c r="CX46" s="19"/>
    </row>
    <row r="47" ht="14.25" customHeight="1">
      <c r="A47" s="31" t="s">
        <v>168</v>
      </c>
      <c r="B47" s="32" t="s">
        <v>169</v>
      </c>
      <c r="C47" s="32"/>
      <c r="D47" s="31">
        <v>0.001</v>
      </c>
      <c r="E47" s="31">
        <v>0.001</v>
      </c>
      <c r="F47" s="31"/>
      <c r="G47" s="31">
        <v>0.003</v>
      </c>
      <c r="H47" s="31">
        <v>0.002</v>
      </c>
      <c r="I47" s="31">
        <v>0.003</v>
      </c>
      <c r="J47" s="31">
        <v>0.009</v>
      </c>
      <c r="K47" s="31">
        <v>0.002</v>
      </c>
      <c r="L47" s="31"/>
      <c r="M47" s="31"/>
      <c r="N47" s="31"/>
      <c r="O47" s="31">
        <v>0.009</v>
      </c>
      <c r="P47" s="31"/>
      <c r="Q47" s="31">
        <v>0.009</v>
      </c>
      <c r="R47" s="31">
        <v>0.002</v>
      </c>
      <c r="S47" s="31">
        <v>0.002</v>
      </c>
      <c r="T47" s="31"/>
      <c r="U47" s="31">
        <v>0.002</v>
      </c>
      <c r="V47" s="31">
        <v>0.001</v>
      </c>
      <c r="W47" s="31">
        <v>0.006</v>
      </c>
      <c r="X47" s="31"/>
      <c r="Y47" s="31"/>
      <c r="Z47" s="31"/>
      <c r="AA47" s="31">
        <v>0.008</v>
      </c>
      <c r="AB47" s="31"/>
      <c r="AC47" s="31">
        <v>0.015</v>
      </c>
      <c r="AD47" s="31">
        <v>0.016</v>
      </c>
      <c r="AE47" s="31">
        <v>0.013</v>
      </c>
      <c r="AF47" s="31">
        <v>0.01</v>
      </c>
      <c r="AG47" s="31">
        <v>0.044</v>
      </c>
      <c r="AH47" s="31">
        <v>0.015</v>
      </c>
      <c r="AI47" s="31"/>
      <c r="AJ47" s="31"/>
      <c r="AK47" s="31"/>
      <c r="AL47" s="31">
        <v>0.009</v>
      </c>
      <c r="AM47" s="31"/>
      <c r="AN47" s="31"/>
      <c r="AO47" s="31">
        <v>0.009</v>
      </c>
      <c r="AP47" s="31"/>
      <c r="AQ47" s="31">
        <v>0.025</v>
      </c>
      <c r="AR47" s="31">
        <v>0.007</v>
      </c>
      <c r="AS47" s="31">
        <v>0.005</v>
      </c>
      <c r="AT47" s="31"/>
      <c r="AU47" s="31">
        <v>0.011</v>
      </c>
      <c r="AV47" s="31">
        <v>0.003</v>
      </c>
      <c r="AW47" s="31"/>
      <c r="AX47" s="31"/>
      <c r="AY47" s="31">
        <v>0.05</v>
      </c>
      <c r="AZ47" s="31"/>
      <c r="BA47" s="31">
        <v>0.008</v>
      </c>
      <c r="BB47" s="31">
        <v>0.005</v>
      </c>
      <c r="BC47" s="31">
        <v>0.006</v>
      </c>
      <c r="BD47" s="31"/>
      <c r="BE47" s="31"/>
      <c r="BF47" s="31"/>
      <c r="BG47" s="31"/>
      <c r="BH47" s="31"/>
      <c r="BI47" s="31"/>
      <c r="BJ47" s="31"/>
      <c r="BK47" s="31"/>
      <c r="BL47" s="31"/>
      <c r="BM47" s="31"/>
      <c r="BN47" s="31">
        <v>0.013</v>
      </c>
      <c r="BO47" s="31"/>
      <c r="BP47" s="31">
        <v>0.005</v>
      </c>
      <c r="BQ47" s="31"/>
      <c r="BR47" s="31"/>
      <c r="BS47" s="31">
        <v>0.025</v>
      </c>
      <c r="BT47" s="31"/>
      <c r="BU47" s="31"/>
      <c r="BV47" s="31">
        <v>0.007</v>
      </c>
      <c r="BW47" s="31">
        <v>0.012</v>
      </c>
      <c r="BX47" s="31">
        <v>0.006</v>
      </c>
      <c r="BY47" s="31">
        <v>0.02</v>
      </c>
      <c r="BZ47" s="31">
        <v>0.009</v>
      </c>
      <c r="CA47" s="31">
        <v>0.003</v>
      </c>
      <c r="CB47" s="31">
        <v>0.01</v>
      </c>
      <c r="CC47" s="31"/>
      <c r="CD47" s="31"/>
      <c r="CE47" s="31"/>
      <c r="CF47" s="31"/>
      <c r="CG47" s="31"/>
      <c r="CH47" s="31"/>
      <c r="CI47" s="31">
        <v>0.003</v>
      </c>
      <c r="CJ47" s="31">
        <v>0.002</v>
      </c>
      <c r="CK47" s="31"/>
      <c r="CL47" s="31">
        <v>0.003</v>
      </c>
      <c r="CM47" s="31"/>
      <c r="CN47" s="31"/>
      <c r="CO47" s="31">
        <v>0.013</v>
      </c>
      <c r="CP47" s="31">
        <v>0.008</v>
      </c>
      <c r="CQ47" s="31"/>
      <c r="CR47" s="31"/>
      <c r="CS47" s="31"/>
      <c r="CT47" s="31">
        <v>0.01</v>
      </c>
      <c r="CU47" s="31"/>
      <c r="CV47" s="31">
        <v>0.005</v>
      </c>
      <c r="CW47" s="31"/>
      <c r="CX47" s="31"/>
    </row>
    <row r="48" ht="14.25" customHeight="1">
      <c r="A48" s="31" t="s">
        <v>170</v>
      </c>
      <c r="B48" s="32" t="s">
        <v>171</v>
      </c>
      <c r="C48" s="32"/>
      <c r="D48" s="31">
        <v>0.006</v>
      </c>
      <c r="E48" s="31">
        <v>0.006</v>
      </c>
      <c r="F48" s="31"/>
      <c r="G48" s="31">
        <v>0.01</v>
      </c>
      <c r="H48" s="31">
        <v>0.007</v>
      </c>
      <c r="I48" s="31">
        <v>0.01</v>
      </c>
      <c r="J48" s="31">
        <v>0.033</v>
      </c>
      <c r="K48" s="31">
        <v>0.011</v>
      </c>
      <c r="L48" s="31">
        <v>0.049</v>
      </c>
      <c r="M48" s="31">
        <v>0.005</v>
      </c>
      <c r="N48" s="31">
        <v>0.005</v>
      </c>
      <c r="O48" s="31">
        <v>0.028</v>
      </c>
      <c r="P48" s="31">
        <v>0.171</v>
      </c>
      <c r="Q48" s="31">
        <v>0.015</v>
      </c>
      <c r="R48" s="31">
        <v>0.008</v>
      </c>
      <c r="S48" s="31">
        <v>0.008</v>
      </c>
      <c r="T48" s="31"/>
      <c r="U48" s="31">
        <v>0.016</v>
      </c>
      <c r="V48" s="31">
        <v>0.006</v>
      </c>
      <c r="W48" s="31">
        <v>0.01</v>
      </c>
      <c r="X48" s="31"/>
      <c r="Y48" s="31"/>
      <c r="Z48" s="31"/>
      <c r="AA48" s="31">
        <v>0.013</v>
      </c>
      <c r="AB48" s="31"/>
      <c r="AC48" s="31">
        <v>0.047</v>
      </c>
      <c r="AD48" s="31">
        <v>0.073</v>
      </c>
      <c r="AE48" s="31">
        <v>0.026</v>
      </c>
      <c r="AF48" s="31">
        <v>0.016</v>
      </c>
      <c r="AG48" s="31">
        <v>0.042</v>
      </c>
      <c r="AH48" s="31">
        <v>0.047</v>
      </c>
      <c r="AI48" s="31"/>
      <c r="AJ48" s="31"/>
      <c r="AK48" s="31"/>
      <c r="AL48" s="31">
        <v>0.022</v>
      </c>
      <c r="AM48" s="31"/>
      <c r="AN48" s="31"/>
      <c r="AO48" s="31">
        <v>0.01</v>
      </c>
      <c r="AP48" s="31">
        <v>0.008</v>
      </c>
      <c r="AQ48" s="31">
        <v>0.049</v>
      </c>
      <c r="AR48" s="31">
        <v>0.027</v>
      </c>
      <c r="AS48" s="31">
        <v>0.013</v>
      </c>
      <c r="AT48" s="31"/>
      <c r="AU48" s="31">
        <v>0.022</v>
      </c>
      <c r="AV48" s="31">
        <v>0.017</v>
      </c>
      <c r="AW48" s="31">
        <v>0.016</v>
      </c>
      <c r="AX48" s="31"/>
      <c r="AY48" s="31">
        <v>0.077</v>
      </c>
      <c r="AZ48" s="31"/>
      <c r="BA48" s="31">
        <v>0.02</v>
      </c>
      <c r="BB48" s="31">
        <v>0.013</v>
      </c>
      <c r="BC48" s="31">
        <v>0.017</v>
      </c>
      <c r="BD48" s="31"/>
      <c r="BE48" s="31"/>
      <c r="BF48" s="31"/>
      <c r="BG48" s="31"/>
      <c r="BH48" s="31"/>
      <c r="BI48" s="31"/>
      <c r="BJ48" s="31"/>
      <c r="BK48" s="31"/>
      <c r="BL48" s="31"/>
      <c r="BM48" s="31"/>
      <c r="BN48" s="31">
        <v>0.031</v>
      </c>
      <c r="BO48" s="31"/>
      <c r="BP48" s="31">
        <v>0.019</v>
      </c>
      <c r="BQ48" s="31"/>
      <c r="BR48" s="31"/>
      <c r="BS48" s="31">
        <v>0.073</v>
      </c>
      <c r="BT48" s="31"/>
      <c r="BU48" s="31"/>
      <c r="BV48" s="31">
        <v>0.042</v>
      </c>
      <c r="BW48" s="31">
        <v>0.043</v>
      </c>
      <c r="BX48" s="31">
        <v>0.024</v>
      </c>
      <c r="BY48" s="31">
        <v>0.085</v>
      </c>
      <c r="BZ48" s="31">
        <v>0.037</v>
      </c>
      <c r="CA48" s="31">
        <v>0.013</v>
      </c>
      <c r="CB48" s="31">
        <v>0.03</v>
      </c>
      <c r="CC48" s="31">
        <v>0.026</v>
      </c>
      <c r="CD48" s="31"/>
      <c r="CE48" s="31"/>
      <c r="CF48" s="31"/>
      <c r="CG48" s="31"/>
      <c r="CH48" s="31"/>
      <c r="CI48" s="31">
        <v>0.02</v>
      </c>
      <c r="CJ48" s="31">
        <v>0.012</v>
      </c>
      <c r="CK48" s="31"/>
      <c r="CL48" s="31">
        <v>0.028</v>
      </c>
      <c r="CM48" s="31"/>
      <c r="CN48" s="31"/>
      <c r="CO48" s="31">
        <v>0.027</v>
      </c>
      <c r="CP48" s="31">
        <v>0.011</v>
      </c>
      <c r="CQ48" s="31"/>
      <c r="CR48" s="31"/>
      <c r="CS48" s="31"/>
      <c r="CT48" s="31">
        <v>0.026</v>
      </c>
      <c r="CU48" s="31"/>
      <c r="CV48" s="31">
        <v>0.009</v>
      </c>
      <c r="CW48" s="31"/>
      <c r="CX48" s="31"/>
    </row>
    <row r="49" ht="14.25" customHeight="1">
      <c r="A49" s="31" t="s">
        <v>172</v>
      </c>
      <c r="B49" s="32" t="s">
        <v>173</v>
      </c>
      <c r="C49" s="32"/>
      <c r="D49" s="31">
        <v>0.006</v>
      </c>
      <c r="E49" s="31">
        <v>0.006</v>
      </c>
      <c r="F49" s="31"/>
      <c r="G49" s="31">
        <v>0.011</v>
      </c>
      <c r="H49" s="31">
        <v>0.007</v>
      </c>
      <c r="I49" s="31">
        <v>0.011</v>
      </c>
      <c r="J49" s="31">
        <v>0.037</v>
      </c>
      <c r="K49" s="31">
        <v>0.011</v>
      </c>
      <c r="L49" s="31">
        <v>0.054</v>
      </c>
      <c r="M49" s="31">
        <v>0.005</v>
      </c>
      <c r="N49" s="31">
        <v>0.006</v>
      </c>
      <c r="O49" s="31">
        <v>0.028</v>
      </c>
      <c r="P49" s="31">
        <v>0.167</v>
      </c>
      <c r="Q49" s="31">
        <v>0.025</v>
      </c>
      <c r="R49" s="31">
        <v>0.008</v>
      </c>
      <c r="S49" s="31">
        <v>0.007</v>
      </c>
      <c r="T49" s="31"/>
      <c r="U49" s="31">
        <v>0.017</v>
      </c>
      <c r="V49" s="31">
        <v>0.005</v>
      </c>
      <c r="W49" s="31">
        <v>0.017</v>
      </c>
      <c r="X49" s="31"/>
      <c r="Y49" s="31"/>
      <c r="Z49" s="31"/>
      <c r="AA49" s="31">
        <v>0.008</v>
      </c>
      <c r="AB49" s="31"/>
      <c r="AC49" s="31">
        <v>0.041</v>
      </c>
      <c r="AD49" s="31">
        <v>0.063</v>
      </c>
      <c r="AE49" s="31">
        <v>0.022</v>
      </c>
      <c r="AF49" s="31">
        <v>0.017</v>
      </c>
      <c r="AG49" s="31">
        <v>0.037</v>
      </c>
      <c r="AH49" s="31">
        <v>0.051</v>
      </c>
      <c r="AI49" s="31"/>
      <c r="AJ49" s="31"/>
      <c r="AK49" s="31"/>
      <c r="AL49" s="31">
        <v>0.02</v>
      </c>
      <c r="AM49" s="31"/>
      <c r="AN49" s="31"/>
      <c r="AO49" s="31">
        <v>0.014</v>
      </c>
      <c r="AP49" s="31">
        <v>0.008</v>
      </c>
      <c r="AQ49" s="31">
        <v>0.041</v>
      </c>
      <c r="AR49" s="31">
        <v>0.019</v>
      </c>
      <c r="AS49" s="31">
        <v>0.013</v>
      </c>
      <c r="AT49" s="31"/>
      <c r="AU49" s="31">
        <v>0.011</v>
      </c>
      <c r="AV49" s="31">
        <v>0.005</v>
      </c>
      <c r="AW49" s="31">
        <v>0.007</v>
      </c>
      <c r="AX49" s="31"/>
      <c r="AY49" s="31">
        <v>0.057</v>
      </c>
      <c r="AZ49" s="31"/>
      <c r="BA49" s="31">
        <v>0.016</v>
      </c>
      <c r="BB49" s="31">
        <v>0.01</v>
      </c>
      <c r="BC49" s="31">
        <v>0.013</v>
      </c>
      <c r="BD49" s="31"/>
      <c r="BE49" s="31"/>
      <c r="BF49" s="31"/>
      <c r="BG49" s="31"/>
      <c r="BH49" s="31"/>
      <c r="BI49" s="31"/>
      <c r="BJ49" s="31"/>
      <c r="BK49" s="31"/>
      <c r="BL49" s="31"/>
      <c r="BM49" s="31"/>
      <c r="BN49" s="31">
        <v>0.029</v>
      </c>
      <c r="BO49" s="31"/>
      <c r="BP49" s="31">
        <v>0.019</v>
      </c>
      <c r="BQ49" s="31"/>
      <c r="BR49" s="31"/>
      <c r="BS49" s="31">
        <v>0.084</v>
      </c>
      <c r="BT49" s="31"/>
      <c r="BU49" s="31"/>
      <c r="BV49" s="31">
        <v>0.045</v>
      </c>
      <c r="BW49" s="31">
        <v>0.049</v>
      </c>
      <c r="BX49" s="31">
        <v>0.023</v>
      </c>
      <c r="BY49" s="31">
        <v>0.089</v>
      </c>
      <c r="BZ49" s="31">
        <v>0.038</v>
      </c>
      <c r="CA49" s="31">
        <v>0.012</v>
      </c>
      <c r="CB49" s="31">
        <v>0.025</v>
      </c>
      <c r="CC49" s="31">
        <v>0.031</v>
      </c>
      <c r="CD49" s="31"/>
      <c r="CE49" s="31"/>
      <c r="CF49" s="31"/>
      <c r="CG49" s="31"/>
      <c r="CH49" s="31"/>
      <c r="CI49" s="31">
        <v>0.023</v>
      </c>
      <c r="CJ49" s="31">
        <v>0.013</v>
      </c>
      <c r="CK49" s="31"/>
      <c r="CL49" s="31">
        <v>0.033</v>
      </c>
      <c r="CM49" s="31"/>
      <c r="CN49" s="31"/>
      <c r="CO49" s="31">
        <v>0.027</v>
      </c>
      <c r="CP49" s="31">
        <v>0.008</v>
      </c>
      <c r="CQ49" s="31"/>
      <c r="CR49" s="31"/>
      <c r="CS49" s="31"/>
      <c r="CT49" s="31">
        <v>0.026</v>
      </c>
      <c r="CU49" s="31"/>
      <c r="CV49" s="31">
        <v>0.009</v>
      </c>
      <c r="CW49" s="31"/>
      <c r="CX49" s="31"/>
    </row>
    <row r="50" ht="14.25" customHeight="1">
      <c r="A50" s="31" t="s">
        <v>174</v>
      </c>
      <c r="B50" s="32" t="s">
        <v>175</v>
      </c>
      <c r="C50" s="32"/>
      <c r="D50" s="31">
        <v>0.013</v>
      </c>
      <c r="E50" s="31">
        <v>0.014</v>
      </c>
      <c r="F50" s="31"/>
      <c r="G50" s="31">
        <v>0.017</v>
      </c>
      <c r="H50" s="31">
        <v>0.011</v>
      </c>
      <c r="I50" s="31">
        <v>0.017</v>
      </c>
      <c r="J50" s="31">
        <v>0.057</v>
      </c>
      <c r="K50" s="31">
        <v>0.019</v>
      </c>
      <c r="L50" s="31">
        <v>0.094</v>
      </c>
      <c r="M50" s="31">
        <v>0.009</v>
      </c>
      <c r="N50" s="31">
        <v>0.01</v>
      </c>
      <c r="O50" s="31">
        <v>0.068</v>
      </c>
      <c r="P50" s="31">
        <v>0.359</v>
      </c>
      <c r="Q50" s="31">
        <v>0.023</v>
      </c>
      <c r="R50" s="31">
        <v>0.013</v>
      </c>
      <c r="S50" s="31">
        <v>0.013</v>
      </c>
      <c r="T50" s="31"/>
      <c r="U50" s="31">
        <v>0.028</v>
      </c>
      <c r="V50" s="31">
        <v>0.01</v>
      </c>
      <c r="W50" s="31">
        <v>0.015</v>
      </c>
      <c r="X50" s="31"/>
      <c r="Y50" s="31"/>
      <c r="Z50" s="31"/>
      <c r="AA50" s="31">
        <v>0.015</v>
      </c>
      <c r="AB50" s="31"/>
      <c r="AC50" s="31">
        <v>0.077</v>
      </c>
      <c r="AD50" s="31">
        <v>0.105</v>
      </c>
      <c r="AE50" s="31">
        <v>0.042</v>
      </c>
      <c r="AF50" s="31">
        <v>0.027</v>
      </c>
      <c r="AG50" s="31">
        <v>0.056</v>
      </c>
      <c r="AH50" s="31">
        <v>0.066</v>
      </c>
      <c r="AI50" s="31"/>
      <c r="AJ50" s="31"/>
      <c r="AK50" s="31"/>
      <c r="AL50" s="31">
        <v>0.03</v>
      </c>
      <c r="AM50" s="31"/>
      <c r="AN50" s="31"/>
      <c r="AO50" s="31">
        <v>0.015</v>
      </c>
      <c r="AP50" s="31">
        <v>0.01</v>
      </c>
      <c r="AQ50" s="31">
        <v>0.066</v>
      </c>
      <c r="AR50" s="31">
        <v>0.018</v>
      </c>
      <c r="AS50" s="31">
        <v>0.016</v>
      </c>
      <c r="AT50" s="31"/>
      <c r="AU50" s="31">
        <v>0.022</v>
      </c>
      <c r="AV50" s="31">
        <v>0.013</v>
      </c>
      <c r="AW50" s="31">
        <v>0.012</v>
      </c>
      <c r="AX50" s="31"/>
      <c r="AY50" s="31">
        <v>0.096</v>
      </c>
      <c r="AZ50" s="31"/>
      <c r="BA50" s="31">
        <v>0.034</v>
      </c>
      <c r="BB50" s="31">
        <v>0.022</v>
      </c>
      <c r="BC50" s="31">
        <v>0.029</v>
      </c>
      <c r="BD50" s="31"/>
      <c r="BE50" s="31"/>
      <c r="BF50" s="31"/>
      <c r="BG50" s="31"/>
      <c r="BH50" s="31"/>
      <c r="BI50" s="31"/>
      <c r="BJ50" s="31"/>
      <c r="BK50" s="31"/>
      <c r="BL50" s="31"/>
      <c r="BM50" s="31"/>
      <c r="BN50" s="31">
        <v>0.05</v>
      </c>
      <c r="BO50" s="31"/>
      <c r="BP50" s="31">
        <v>0.024</v>
      </c>
      <c r="BQ50" s="31"/>
      <c r="BR50" s="31"/>
      <c r="BS50" s="31">
        <v>0.143</v>
      </c>
      <c r="BT50" s="31"/>
      <c r="BU50" s="31"/>
      <c r="BV50" s="31">
        <v>0.082</v>
      </c>
      <c r="BW50" s="31">
        <v>0.084</v>
      </c>
      <c r="BX50" s="31">
        <v>0.033</v>
      </c>
      <c r="BY50" s="31">
        <v>0.128</v>
      </c>
      <c r="BZ50" s="31">
        <v>0.055</v>
      </c>
      <c r="CA50" s="31">
        <v>0.017</v>
      </c>
      <c r="CB50" s="31">
        <v>0.042</v>
      </c>
      <c r="CC50" s="31">
        <v>0.05</v>
      </c>
      <c r="CD50" s="31"/>
      <c r="CE50" s="31"/>
      <c r="CF50" s="31"/>
      <c r="CG50" s="31"/>
      <c r="CH50" s="31"/>
      <c r="CI50" s="31">
        <v>0.044</v>
      </c>
      <c r="CJ50" s="31">
        <v>0.025</v>
      </c>
      <c r="CK50" s="31"/>
      <c r="CL50" s="31">
        <v>0.053</v>
      </c>
      <c r="CM50" s="31"/>
      <c r="CN50" s="31"/>
      <c r="CO50" s="31">
        <v>0.06</v>
      </c>
      <c r="CP50" s="31">
        <v>0.016</v>
      </c>
      <c r="CQ50" s="31"/>
      <c r="CR50" s="31"/>
      <c r="CS50" s="31"/>
      <c r="CT50" s="31">
        <v>0.039</v>
      </c>
      <c r="CU50" s="31"/>
      <c r="CV50" s="31">
        <v>0.014</v>
      </c>
      <c r="CW50" s="31"/>
      <c r="CX50" s="31"/>
    </row>
    <row r="51" ht="14.25" customHeight="1">
      <c r="A51" s="31" t="s">
        <v>176</v>
      </c>
      <c r="B51" s="32" t="s">
        <v>177</v>
      </c>
      <c r="C51" s="32"/>
      <c r="D51" s="31">
        <v>0.012</v>
      </c>
      <c r="E51" s="31">
        <v>0.013</v>
      </c>
      <c r="F51" s="31"/>
      <c r="G51" s="31">
        <v>0.018</v>
      </c>
      <c r="H51" s="31">
        <v>0.011</v>
      </c>
      <c r="I51" s="31">
        <v>0.017</v>
      </c>
      <c r="J51" s="31">
        <v>0.058</v>
      </c>
      <c r="K51" s="31">
        <v>0.017</v>
      </c>
      <c r="L51" s="31">
        <v>0.066</v>
      </c>
      <c r="M51" s="31">
        <v>0.007</v>
      </c>
      <c r="N51" s="31">
        <v>0.007</v>
      </c>
      <c r="O51" s="31">
        <v>0.05</v>
      </c>
      <c r="P51" s="31">
        <v>0.162</v>
      </c>
      <c r="Q51" s="31">
        <v>0.047</v>
      </c>
      <c r="R51" s="31">
        <v>0.009</v>
      </c>
      <c r="S51" s="31">
        <v>0.009</v>
      </c>
      <c r="T51" s="31"/>
      <c r="U51" s="31">
        <v>0.032</v>
      </c>
      <c r="V51" s="31">
        <v>0.007</v>
      </c>
      <c r="W51" s="31">
        <v>0.031</v>
      </c>
      <c r="X51" s="31"/>
      <c r="Y51" s="31"/>
      <c r="Z51" s="31"/>
      <c r="AA51" s="31">
        <v>0.019</v>
      </c>
      <c r="AB51" s="31"/>
      <c r="AC51" s="31">
        <v>0.097</v>
      </c>
      <c r="AD51" s="31">
        <v>0.083</v>
      </c>
      <c r="AE51" s="31">
        <v>0.049</v>
      </c>
      <c r="AF51" s="31">
        <v>0.03</v>
      </c>
      <c r="AG51" s="31">
        <v>0.06</v>
      </c>
      <c r="AH51" s="31">
        <v>0.061</v>
      </c>
      <c r="AI51" s="31"/>
      <c r="AJ51" s="31"/>
      <c r="AK51" s="31"/>
      <c r="AL51" s="31">
        <v>0.032</v>
      </c>
      <c r="AM51" s="31"/>
      <c r="AN51" s="31"/>
      <c r="AO51" s="31">
        <v>0.016</v>
      </c>
      <c r="AP51" s="31">
        <v>0.008</v>
      </c>
      <c r="AQ51" s="31">
        <v>0.05</v>
      </c>
      <c r="AR51" s="31">
        <v>0.062</v>
      </c>
      <c r="AS51" s="31">
        <v>0.018</v>
      </c>
      <c r="AT51" s="31"/>
      <c r="AU51" s="31">
        <v>0.027</v>
      </c>
      <c r="AV51" s="31">
        <v>0.014</v>
      </c>
      <c r="AW51" s="31">
        <v>0.01</v>
      </c>
      <c r="AX51" s="31"/>
      <c r="AY51" s="31">
        <v>0.084</v>
      </c>
      <c r="AZ51" s="31"/>
      <c r="BA51" s="31">
        <v>0.026</v>
      </c>
      <c r="BB51" s="31">
        <v>0.017</v>
      </c>
      <c r="BC51" s="31">
        <v>0.023</v>
      </c>
      <c r="BD51" s="31"/>
      <c r="BE51" s="31"/>
      <c r="BF51" s="31"/>
      <c r="BG51" s="31"/>
      <c r="BH51" s="31"/>
      <c r="BI51" s="31"/>
      <c r="BJ51" s="31"/>
      <c r="BK51" s="31"/>
      <c r="BL51" s="31"/>
      <c r="BM51" s="31"/>
      <c r="BN51" s="31">
        <v>0.066</v>
      </c>
      <c r="BO51" s="31"/>
      <c r="BP51" s="31">
        <v>0.026</v>
      </c>
      <c r="BQ51" s="31"/>
      <c r="BR51" s="31"/>
      <c r="BS51" s="31">
        <v>0.132</v>
      </c>
      <c r="BT51" s="31"/>
      <c r="BU51" s="31"/>
      <c r="BV51" s="31">
        <v>0.054</v>
      </c>
      <c r="BW51" s="31">
        <v>0.066</v>
      </c>
      <c r="BX51" s="31">
        <v>0.03</v>
      </c>
      <c r="BY51" s="31">
        <v>0.088</v>
      </c>
      <c r="BZ51" s="31">
        <v>0.038</v>
      </c>
      <c r="CA51" s="31">
        <v>0.016</v>
      </c>
      <c r="CB51" s="31">
        <v>0.033</v>
      </c>
      <c r="CC51" s="31">
        <v>0.032</v>
      </c>
      <c r="CD51" s="31"/>
      <c r="CE51" s="31"/>
      <c r="CF51" s="31"/>
      <c r="CG51" s="31"/>
      <c r="CH51" s="31"/>
      <c r="CI51" s="31">
        <v>0.013</v>
      </c>
      <c r="CJ51" s="31">
        <v>0.008</v>
      </c>
      <c r="CK51" s="31"/>
      <c r="CL51" s="31">
        <v>0.039</v>
      </c>
      <c r="CM51" s="31"/>
      <c r="CN51" s="31"/>
      <c r="CO51" s="31">
        <v>0.026</v>
      </c>
      <c r="CP51" s="31">
        <v>0.025</v>
      </c>
      <c r="CQ51" s="31"/>
      <c r="CR51" s="31"/>
      <c r="CS51" s="31"/>
      <c r="CT51" s="31">
        <v>0.052</v>
      </c>
      <c r="CU51" s="31"/>
      <c r="CV51" s="31">
        <v>0.016</v>
      </c>
      <c r="CW51" s="31"/>
      <c r="CX51" s="31"/>
    </row>
    <row r="52" ht="14.25" customHeight="1">
      <c r="A52" s="31" t="s">
        <v>178</v>
      </c>
      <c r="B52" s="32" t="s">
        <v>179</v>
      </c>
      <c r="C52" s="32"/>
      <c r="D52" s="31">
        <v>0.001</v>
      </c>
      <c r="E52" s="31">
        <v>0.001</v>
      </c>
      <c r="F52" s="31"/>
      <c r="G52" s="31">
        <v>0.003</v>
      </c>
      <c r="H52" s="31">
        <v>0.002</v>
      </c>
      <c r="I52" s="31">
        <v>0.003</v>
      </c>
      <c r="J52" s="31">
        <v>0.009</v>
      </c>
      <c r="K52" s="31">
        <v>0.002</v>
      </c>
      <c r="L52" s="31">
        <v>0.022</v>
      </c>
      <c r="M52" s="31">
        <v>0.002</v>
      </c>
      <c r="N52" s="31">
        <v>0.002</v>
      </c>
      <c r="O52" s="31">
        <v>0.008</v>
      </c>
      <c r="P52" s="31">
        <v>0.074</v>
      </c>
      <c r="Q52" s="31">
        <v>0.02</v>
      </c>
      <c r="R52" s="31">
        <v>0.003</v>
      </c>
      <c r="S52" s="31">
        <v>0.003</v>
      </c>
      <c r="T52" s="31"/>
      <c r="U52" s="31">
        <v>0.002</v>
      </c>
      <c r="V52" s="31">
        <v>0.002</v>
      </c>
      <c r="W52" s="31">
        <v>0.013</v>
      </c>
      <c r="X52" s="31"/>
      <c r="Y52" s="31"/>
      <c r="Z52" s="31"/>
      <c r="AA52" s="31">
        <v>0.007</v>
      </c>
      <c r="AB52" s="31"/>
      <c r="AC52" s="31">
        <v>0.006</v>
      </c>
      <c r="AD52" s="31">
        <v>0.015</v>
      </c>
      <c r="AE52" s="31">
        <v>0.004</v>
      </c>
      <c r="AF52" s="31">
        <v>0.01</v>
      </c>
      <c r="AG52" s="31">
        <v>0.016</v>
      </c>
      <c r="AH52" s="31">
        <v>0.024</v>
      </c>
      <c r="AI52" s="31"/>
      <c r="AJ52" s="31"/>
      <c r="AK52" s="31"/>
      <c r="AL52" s="31">
        <v>0.01</v>
      </c>
      <c r="AM52" s="31"/>
      <c r="AN52" s="31"/>
      <c r="AO52" s="31">
        <v>0.008</v>
      </c>
      <c r="AP52" s="31">
        <v>0.003</v>
      </c>
      <c r="AQ52" s="31">
        <v>0.016</v>
      </c>
      <c r="AR52" s="31">
        <v>0.006</v>
      </c>
      <c r="AS52" s="31">
        <v>0.005</v>
      </c>
      <c r="AT52" s="31"/>
      <c r="AU52" s="31">
        <v>0.009</v>
      </c>
      <c r="AV52" s="31">
        <v>0.021</v>
      </c>
      <c r="AW52" s="31">
        <v>0.001</v>
      </c>
      <c r="AX52" s="31"/>
      <c r="AY52" s="31">
        <v>0.021</v>
      </c>
      <c r="AZ52" s="31"/>
      <c r="BA52" s="31">
        <v>0.002</v>
      </c>
      <c r="BB52" s="31">
        <v>0.001</v>
      </c>
      <c r="BC52" s="31">
        <v>0.001</v>
      </c>
      <c r="BD52" s="31"/>
      <c r="BE52" s="31"/>
      <c r="BF52" s="31"/>
      <c r="BG52" s="31"/>
      <c r="BH52" s="31"/>
      <c r="BI52" s="31"/>
      <c r="BJ52" s="31"/>
      <c r="BK52" s="31"/>
      <c r="BL52" s="31"/>
      <c r="BM52" s="31"/>
      <c r="BN52" s="31">
        <v>0.008</v>
      </c>
      <c r="BO52" s="31"/>
      <c r="BP52" s="31">
        <v>0.012</v>
      </c>
      <c r="BQ52" s="31"/>
      <c r="BR52" s="31"/>
      <c r="BS52" s="31">
        <v>0.038</v>
      </c>
      <c r="BT52" s="31"/>
      <c r="BU52" s="31"/>
      <c r="BV52" s="31">
        <v>0.017</v>
      </c>
      <c r="BW52" s="31">
        <v>0.022</v>
      </c>
      <c r="BX52" s="31">
        <v>0.006</v>
      </c>
      <c r="BY52" s="31">
        <v>0.034</v>
      </c>
      <c r="BZ52" s="31">
        <v>0.015</v>
      </c>
      <c r="CA52" s="31">
        <v>0.003</v>
      </c>
      <c r="CB52" s="31">
        <v>0.005</v>
      </c>
      <c r="CC52" s="31">
        <v>0.012</v>
      </c>
      <c r="CD52" s="31"/>
      <c r="CE52" s="31"/>
      <c r="CF52" s="31"/>
      <c r="CG52" s="31"/>
      <c r="CH52" s="31"/>
      <c r="CI52" s="31">
        <v>0.012</v>
      </c>
      <c r="CJ52" s="31">
        <v>0.007</v>
      </c>
      <c r="CK52" s="31"/>
      <c r="CL52" s="31">
        <v>0.003</v>
      </c>
      <c r="CM52" s="31"/>
      <c r="CN52" s="31"/>
      <c r="CO52" s="31">
        <v>0.014</v>
      </c>
      <c r="CP52" s="31">
        <v>0.002</v>
      </c>
      <c r="CQ52" s="31"/>
      <c r="CR52" s="31"/>
      <c r="CS52" s="31"/>
      <c r="CT52" s="31">
        <v>0.01</v>
      </c>
      <c r="CU52" s="31"/>
      <c r="CV52" s="31">
        <v>0.006</v>
      </c>
      <c r="CW52" s="31"/>
      <c r="CX52" s="31"/>
    </row>
    <row r="53" ht="14.25" customHeight="1">
      <c r="A53" s="21" t="s">
        <v>180</v>
      </c>
      <c r="B53" s="22" t="s">
        <v>181</v>
      </c>
      <c r="C53" s="22"/>
      <c r="D53" s="23">
        <v>0.001</v>
      </c>
      <c r="E53" s="23">
        <v>0.001</v>
      </c>
      <c r="G53" s="23">
        <v>0.004</v>
      </c>
      <c r="H53" s="23">
        <v>0.002</v>
      </c>
      <c r="I53" s="23">
        <v>0.004</v>
      </c>
      <c r="J53" s="23">
        <v>0.012</v>
      </c>
      <c r="K53" s="23">
        <v>0.002</v>
      </c>
      <c r="L53" s="23">
        <v>0.018</v>
      </c>
      <c r="M53" s="23">
        <v>0.002</v>
      </c>
      <c r="N53" s="23">
        <v>0.002</v>
      </c>
      <c r="O53" s="23">
        <v>0.009</v>
      </c>
      <c r="P53" s="23">
        <v>0.063</v>
      </c>
      <c r="Q53" s="23">
        <v>0.01</v>
      </c>
      <c r="R53" s="23">
        <v>0.005</v>
      </c>
      <c r="S53" s="23">
        <v>0.005</v>
      </c>
      <c r="U53" s="23">
        <v>0.002</v>
      </c>
      <c r="V53" s="23">
        <v>0.004</v>
      </c>
      <c r="W53" s="23">
        <v>0.006</v>
      </c>
      <c r="AA53" s="23">
        <v>0.008</v>
      </c>
      <c r="AC53" s="23">
        <v>0.003</v>
      </c>
      <c r="AD53" s="23">
        <v>0.019</v>
      </c>
      <c r="AE53" s="23">
        <v>0.002</v>
      </c>
      <c r="AF53" s="23">
        <v>0.012</v>
      </c>
      <c r="AG53" s="23">
        <v>0.025</v>
      </c>
      <c r="AH53" s="23">
        <v>0.031</v>
      </c>
      <c r="AL53" s="23">
        <v>0.01</v>
      </c>
      <c r="AO53" s="23">
        <v>0.002</v>
      </c>
      <c r="AP53" s="23">
        <v>0.002</v>
      </c>
      <c r="AQ53" s="23">
        <v>0.011</v>
      </c>
      <c r="AR53" s="23">
        <v>0.002</v>
      </c>
      <c r="AS53" s="23">
        <v>0.005</v>
      </c>
      <c r="AU53" s="23">
        <v>0.01</v>
      </c>
      <c r="AV53" s="23">
        <v>0.01</v>
      </c>
      <c r="AY53" s="23">
        <v>0.019</v>
      </c>
      <c r="BA53" s="23">
        <v>0.006</v>
      </c>
      <c r="BB53" s="23">
        <v>0.004</v>
      </c>
      <c r="BC53" s="23">
        <v>0.005</v>
      </c>
      <c r="BP53" s="23">
        <v>0.014</v>
      </c>
      <c r="BS53" s="23">
        <v>0.027</v>
      </c>
      <c r="BV53" s="23">
        <v>0.046</v>
      </c>
      <c r="BW53" s="23">
        <v>0.067</v>
      </c>
      <c r="BX53" s="23">
        <v>0.012</v>
      </c>
      <c r="BY53" s="23">
        <v>0.036</v>
      </c>
      <c r="BZ53" s="23">
        <v>0.016</v>
      </c>
      <c r="CA53" s="23">
        <v>0.007</v>
      </c>
      <c r="CB53" s="23">
        <v>0.013</v>
      </c>
      <c r="CI53" s="23">
        <v>0.008</v>
      </c>
      <c r="CJ53" s="23">
        <v>0.004</v>
      </c>
      <c r="CL53" s="23">
        <v>0.003</v>
      </c>
      <c r="CO53" s="23">
        <v>0.015</v>
      </c>
      <c r="CT53" s="23">
        <v>0.01</v>
      </c>
      <c r="CV53" s="23">
        <v>0.005</v>
      </c>
    </row>
    <row r="54" ht="14.25" customHeight="1">
      <c r="A54" s="31" t="s">
        <v>182</v>
      </c>
      <c r="B54" s="33" t="s">
        <v>183</v>
      </c>
      <c r="C54" s="32"/>
      <c r="D54" s="31">
        <v>0.006</v>
      </c>
      <c r="E54" s="31">
        <v>0.007</v>
      </c>
      <c r="F54" s="31"/>
      <c r="G54" s="31">
        <v>0.008</v>
      </c>
      <c r="H54" s="31">
        <v>0.005</v>
      </c>
      <c r="I54" s="31">
        <v>0.008</v>
      </c>
      <c r="J54" s="31">
        <v>0.026</v>
      </c>
      <c r="K54" s="31">
        <v>0.011</v>
      </c>
      <c r="L54" s="31">
        <v>0.049</v>
      </c>
      <c r="M54" s="31">
        <v>0.005</v>
      </c>
      <c r="N54" s="31">
        <v>0.005</v>
      </c>
      <c r="O54" s="31">
        <v>0.049</v>
      </c>
      <c r="P54" s="31">
        <v>0.201</v>
      </c>
      <c r="Q54" s="31">
        <v>0.031</v>
      </c>
      <c r="R54" s="31">
        <v>0.009</v>
      </c>
      <c r="S54" s="31">
        <v>0.008</v>
      </c>
      <c r="T54" s="31"/>
      <c r="U54" s="31">
        <v>0.018</v>
      </c>
      <c r="V54" s="31">
        <v>0.006</v>
      </c>
      <c r="W54" s="31">
        <v>0.02</v>
      </c>
      <c r="X54" s="31"/>
      <c r="Y54" s="31"/>
      <c r="Z54" s="31"/>
      <c r="AA54" s="31">
        <v>0.013</v>
      </c>
      <c r="AB54" s="31"/>
      <c r="AC54" s="31">
        <v>0.052</v>
      </c>
      <c r="AD54" s="31">
        <v>0.062</v>
      </c>
      <c r="AE54" s="31">
        <v>0.03</v>
      </c>
      <c r="AF54" s="31">
        <v>0.019</v>
      </c>
      <c r="AG54" s="31">
        <v>0.03</v>
      </c>
      <c r="AH54" s="31">
        <v>0.044</v>
      </c>
      <c r="AI54" s="31"/>
      <c r="AJ54" s="31"/>
      <c r="AK54" s="31"/>
      <c r="AL54" s="31">
        <v>0.024</v>
      </c>
      <c r="AM54" s="31"/>
      <c r="AN54" s="31"/>
      <c r="AO54" s="31">
        <v>0.014</v>
      </c>
      <c r="AP54" s="31">
        <v>0.008</v>
      </c>
      <c r="AQ54" s="31">
        <v>0.052</v>
      </c>
      <c r="AR54" s="31">
        <v>0.015</v>
      </c>
      <c r="AS54" s="31">
        <v>0.015</v>
      </c>
      <c r="AT54" s="31"/>
      <c r="AU54" s="31">
        <v>0.019</v>
      </c>
      <c r="AV54" s="31">
        <v>0.013</v>
      </c>
      <c r="AW54" s="31">
        <v>0.012</v>
      </c>
      <c r="AX54" s="31"/>
      <c r="AY54" s="31">
        <v>0.065</v>
      </c>
      <c r="AZ54" s="31"/>
      <c r="BA54" s="31">
        <v>0.019</v>
      </c>
      <c r="BB54" s="31">
        <v>0.012</v>
      </c>
      <c r="BC54" s="31">
        <v>0.016</v>
      </c>
      <c r="BD54" s="31"/>
      <c r="BE54" s="31"/>
      <c r="BF54" s="31"/>
      <c r="BG54" s="31"/>
      <c r="BH54" s="31"/>
      <c r="BI54" s="31"/>
      <c r="BJ54" s="31"/>
      <c r="BK54" s="31"/>
      <c r="BL54" s="31"/>
      <c r="BM54" s="31"/>
      <c r="BN54" s="31">
        <v>0.027</v>
      </c>
      <c r="BO54" s="31"/>
      <c r="BP54" s="31">
        <v>0.021</v>
      </c>
      <c r="BQ54" s="31"/>
      <c r="BR54" s="31"/>
      <c r="BS54" s="31">
        <v>0.097</v>
      </c>
      <c r="BT54" s="31"/>
      <c r="BU54" s="31"/>
      <c r="BV54" s="31">
        <v>0.048</v>
      </c>
      <c r="BW54" s="31">
        <v>0.05</v>
      </c>
      <c r="BX54" s="31">
        <v>0.018</v>
      </c>
      <c r="BY54" s="31">
        <v>0.076</v>
      </c>
      <c r="BZ54" s="31">
        <v>0.033</v>
      </c>
      <c r="CA54" s="31">
        <v>0.01</v>
      </c>
      <c r="CB54" s="31">
        <v>0.026</v>
      </c>
      <c r="CC54" s="31">
        <v>0.029</v>
      </c>
      <c r="CD54" s="31"/>
      <c r="CE54" s="31"/>
      <c r="CF54" s="31"/>
      <c r="CG54" s="31"/>
      <c r="CH54" s="31"/>
      <c r="CI54" s="31">
        <v>0.026</v>
      </c>
      <c r="CJ54" s="31">
        <v>0.015</v>
      </c>
      <c r="CK54" s="31"/>
      <c r="CL54" s="31">
        <v>0.036</v>
      </c>
      <c r="CM54" s="31"/>
      <c r="CN54" s="31"/>
      <c r="CO54" s="31">
        <v>0.04</v>
      </c>
      <c r="CP54" s="31">
        <v>0.009</v>
      </c>
      <c r="CQ54" s="31"/>
      <c r="CR54" s="31"/>
      <c r="CS54" s="31"/>
      <c r="CT54" s="31">
        <v>0.026</v>
      </c>
      <c r="CU54" s="31"/>
      <c r="CV54" s="31">
        <v>0.021</v>
      </c>
      <c r="CW54" s="31"/>
      <c r="CX54" s="31"/>
    </row>
    <row r="55" ht="14.25" customHeight="1">
      <c r="A55" s="21" t="s">
        <v>184</v>
      </c>
      <c r="C55" s="22"/>
      <c r="D55" s="23">
        <v>0.001</v>
      </c>
      <c r="E55" s="23">
        <v>0.001</v>
      </c>
      <c r="G55" s="23">
        <v>0.005</v>
      </c>
      <c r="H55" s="23">
        <v>0.003</v>
      </c>
      <c r="I55" s="23">
        <v>0.005</v>
      </c>
      <c r="J55" s="23">
        <v>0.017</v>
      </c>
      <c r="K55" s="23">
        <v>0.002</v>
      </c>
      <c r="L55" s="23">
        <v>0.016</v>
      </c>
      <c r="M55" s="23">
        <v>0.002</v>
      </c>
      <c r="N55" s="23">
        <v>0.002</v>
      </c>
      <c r="O55" s="23">
        <v>0.009</v>
      </c>
      <c r="P55" s="23">
        <v>0.121</v>
      </c>
      <c r="Q55" s="23">
        <v>0.016</v>
      </c>
      <c r="R55" s="23">
        <v>0.004</v>
      </c>
      <c r="S55" s="23">
        <v>0.003</v>
      </c>
      <c r="U55" s="23">
        <v>0.015</v>
      </c>
      <c r="V55" s="23">
        <v>0.003</v>
      </c>
      <c r="W55" s="23">
        <v>0.01</v>
      </c>
      <c r="AA55" s="23">
        <v>0.008</v>
      </c>
      <c r="AC55" s="23">
        <v>0.029</v>
      </c>
      <c r="AD55" s="23">
        <v>0.039</v>
      </c>
      <c r="AE55" s="23">
        <v>0.017</v>
      </c>
      <c r="AF55" s="23">
        <v>0.014</v>
      </c>
      <c r="AG55" s="23">
        <v>0.023</v>
      </c>
      <c r="AH55" s="23">
        <v>0.034</v>
      </c>
      <c r="AL55" s="23">
        <v>0.014</v>
      </c>
      <c r="AO55" s="23">
        <v>0.008</v>
      </c>
      <c r="AP55" s="23">
        <v>0.003</v>
      </c>
      <c r="AQ55" s="23">
        <v>0.021</v>
      </c>
      <c r="AR55" s="23">
        <v>0.012</v>
      </c>
      <c r="AS55" s="23">
        <v>0.01</v>
      </c>
      <c r="AU55" s="23">
        <v>0.01</v>
      </c>
      <c r="AV55" s="23">
        <v>0.011</v>
      </c>
      <c r="AW55" s="23">
        <v>0.003</v>
      </c>
      <c r="AY55" s="23">
        <v>0.012</v>
      </c>
      <c r="BA55" s="23">
        <v>0.022</v>
      </c>
      <c r="BB55" s="23">
        <v>0.014</v>
      </c>
      <c r="BC55" s="23">
        <v>0.019</v>
      </c>
      <c r="BN55" s="23">
        <v>0.016</v>
      </c>
      <c r="BP55" s="23">
        <v>0.019</v>
      </c>
      <c r="BS55" s="23">
        <v>0.049</v>
      </c>
      <c r="BV55" s="23">
        <v>0.016</v>
      </c>
      <c r="BW55" s="23">
        <v>0.015</v>
      </c>
      <c r="BX55" s="23">
        <v>0.032</v>
      </c>
      <c r="BY55" s="23">
        <v>0.041</v>
      </c>
      <c r="BZ55" s="23">
        <v>0.018</v>
      </c>
      <c r="CA55" s="23">
        <v>0.017</v>
      </c>
      <c r="CB55" s="23">
        <v>0.016</v>
      </c>
      <c r="CC55" s="23">
        <v>0.023</v>
      </c>
      <c r="CI55" s="23">
        <v>0.009</v>
      </c>
      <c r="CJ55" s="23">
        <v>0.005</v>
      </c>
      <c r="CL55" s="23">
        <v>0.032</v>
      </c>
      <c r="CO55" s="23">
        <v>0.051</v>
      </c>
      <c r="CP55" s="23">
        <v>0.005</v>
      </c>
      <c r="CT55" s="23">
        <v>0.013</v>
      </c>
      <c r="CV55" s="23">
        <v>0.007</v>
      </c>
    </row>
    <row r="56" ht="14.25" customHeight="1">
      <c r="A56" s="31" t="s">
        <v>185</v>
      </c>
      <c r="B56" s="32" t="s">
        <v>186</v>
      </c>
      <c r="C56" s="32"/>
      <c r="D56" s="31">
        <v>0.012</v>
      </c>
      <c r="E56" s="31">
        <v>0.012</v>
      </c>
      <c r="F56" s="31"/>
      <c r="G56" s="31">
        <v>0.013</v>
      </c>
      <c r="H56" s="31">
        <v>0.008</v>
      </c>
      <c r="I56" s="31">
        <v>0.013</v>
      </c>
      <c r="J56" s="31">
        <v>0.043</v>
      </c>
      <c r="K56" s="31">
        <v>0.017</v>
      </c>
      <c r="L56" s="31">
        <v>0.066</v>
      </c>
      <c r="M56" s="31">
        <v>0.007</v>
      </c>
      <c r="N56" s="31">
        <v>0.007</v>
      </c>
      <c r="O56" s="31">
        <v>0.047</v>
      </c>
      <c r="P56" s="31">
        <v>0.282</v>
      </c>
      <c r="Q56" s="31">
        <v>0.04</v>
      </c>
      <c r="R56" s="31">
        <v>0.011</v>
      </c>
      <c r="S56" s="31">
        <v>0.01</v>
      </c>
      <c r="T56" s="31"/>
      <c r="U56" s="31">
        <v>0.021</v>
      </c>
      <c r="V56" s="31">
        <v>0.008</v>
      </c>
      <c r="W56" s="31">
        <v>0.026</v>
      </c>
      <c r="X56" s="31"/>
      <c r="Y56" s="31"/>
      <c r="Z56" s="31"/>
      <c r="AA56" s="31">
        <v>0.015</v>
      </c>
      <c r="AB56" s="31"/>
      <c r="AC56" s="31">
        <v>0.047</v>
      </c>
      <c r="AD56" s="31">
        <v>0.078</v>
      </c>
      <c r="AE56" s="31">
        <v>0.026</v>
      </c>
      <c r="AF56" s="31">
        <v>0.022</v>
      </c>
      <c r="AG56" s="31">
        <v>0.046</v>
      </c>
      <c r="AH56" s="31">
        <v>0.057</v>
      </c>
      <c r="AI56" s="31"/>
      <c r="AJ56" s="31"/>
      <c r="AK56" s="31"/>
      <c r="AL56" s="31">
        <v>0.024</v>
      </c>
      <c r="AM56" s="31"/>
      <c r="AN56" s="31"/>
      <c r="AO56" s="31">
        <v>0.016</v>
      </c>
      <c r="AP56" s="31">
        <v>0.009</v>
      </c>
      <c r="AQ56" s="31">
        <v>0.056</v>
      </c>
      <c r="AR56" s="31">
        <v>0.016</v>
      </c>
      <c r="AS56" s="31">
        <v>0.018</v>
      </c>
      <c r="AT56" s="31"/>
      <c r="AU56" s="31">
        <v>0.022</v>
      </c>
      <c r="AV56" s="31">
        <v>0.017</v>
      </c>
      <c r="AW56" s="31">
        <v>0.01</v>
      </c>
      <c r="AX56" s="31"/>
      <c r="AY56" s="31">
        <v>0.083</v>
      </c>
      <c r="AZ56" s="31"/>
      <c r="BA56" s="31">
        <v>0.019</v>
      </c>
      <c r="BB56" s="31">
        <v>0.012</v>
      </c>
      <c r="BC56" s="31">
        <v>0.016</v>
      </c>
      <c r="BD56" s="31"/>
      <c r="BE56" s="31"/>
      <c r="BF56" s="31"/>
      <c r="BG56" s="31"/>
      <c r="BH56" s="31"/>
      <c r="BI56" s="31"/>
      <c r="BJ56" s="31"/>
      <c r="BK56" s="31"/>
      <c r="BL56" s="31"/>
      <c r="BM56" s="31"/>
      <c r="BN56" s="31">
        <v>0.042</v>
      </c>
      <c r="BO56" s="31"/>
      <c r="BP56" s="31">
        <v>0.024</v>
      </c>
      <c r="BQ56" s="31"/>
      <c r="BR56" s="31"/>
      <c r="BS56" s="31">
        <v>0.107</v>
      </c>
      <c r="BT56" s="31"/>
      <c r="BU56" s="31"/>
      <c r="BV56" s="31">
        <v>0.066</v>
      </c>
      <c r="BW56" s="31">
        <v>0.071</v>
      </c>
      <c r="BX56" s="31">
        <v>0.028</v>
      </c>
      <c r="BY56" s="31">
        <v>0.122</v>
      </c>
      <c r="BZ56" s="31">
        <v>0.053</v>
      </c>
      <c r="CA56" s="31">
        <v>0.015</v>
      </c>
      <c r="CB56" s="31">
        <v>0.03</v>
      </c>
      <c r="CC56" s="31">
        <v>0.038</v>
      </c>
      <c r="CD56" s="31"/>
      <c r="CE56" s="31"/>
      <c r="CF56" s="31"/>
      <c r="CG56" s="31"/>
      <c r="CH56" s="31"/>
      <c r="CI56" s="31">
        <v>0.031</v>
      </c>
      <c r="CJ56" s="31">
        <v>0.018</v>
      </c>
      <c r="CK56" s="31"/>
      <c r="CL56" s="31">
        <v>0.045</v>
      </c>
      <c r="CM56" s="31"/>
      <c r="CN56" s="31"/>
      <c r="CO56" s="31">
        <v>0.033</v>
      </c>
      <c r="CP56" s="31">
        <v>0.01</v>
      </c>
      <c r="CQ56" s="31"/>
      <c r="CR56" s="31"/>
      <c r="CS56" s="31"/>
      <c r="CT56" s="31">
        <v>0.026</v>
      </c>
      <c r="CU56" s="31"/>
      <c r="CV56" s="31">
        <v>0.013</v>
      </c>
      <c r="CW56" s="31"/>
      <c r="CX56" s="31"/>
    </row>
    <row r="57" ht="14.25" customHeight="1">
      <c r="A57" s="34" t="s">
        <v>187</v>
      </c>
      <c r="B57" s="35"/>
      <c r="C57" s="35"/>
      <c r="D57" s="34">
        <v>0.006</v>
      </c>
      <c r="E57" s="34">
        <v>0.006</v>
      </c>
      <c r="F57" s="34"/>
      <c r="G57" s="34">
        <v>0.009</v>
      </c>
      <c r="H57" s="34">
        <v>0.006</v>
      </c>
      <c r="I57" s="34">
        <v>0.009</v>
      </c>
      <c r="J57" s="34">
        <v>0.029</v>
      </c>
      <c r="K57" s="34">
        <v>0.01</v>
      </c>
      <c r="L57" s="34">
        <v>0.032</v>
      </c>
      <c r="M57" s="34">
        <v>0.003</v>
      </c>
      <c r="N57" s="34">
        <v>0.003</v>
      </c>
      <c r="O57" s="34">
        <v>0.049</v>
      </c>
      <c r="P57" s="34">
        <v>0.176</v>
      </c>
      <c r="Q57" s="34">
        <v>0.065</v>
      </c>
      <c r="R57" s="34">
        <v>0.047</v>
      </c>
      <c r="S57" s="34">
        <v>0.046</v>
      </c>
      <c r="T57" s="34"/>
      <c r="U57" s="34">
        <v>0.068</v>
      </c>
      <c r="V57" s="34">
        <v>0.034</v>
      </c>
      <c r="W57" s="34">
        <v>0.043</v>
      </c>
      <c r="X57" s="34"/>
      <c r="Y57" s="34"/>
      <c r="Z57" s="34"/>
      <c r="AA57" s="34">
        <v>0.087</v>
      </c>
      <c r="AB57" s="34"/>
      <c r="AC57" s="34">
        <v>0.045</v>
      </c>
      <c r="AD57" s="34">
        <v>0.066</v>
      </c>
      <c r="AE57" s="34">
        <v>0.028</v>
      </c>
      <c r="AF57" s="34">
        <v>0.018</v>
      </c>
      <c r="AG57" s="34">
        <v>0.109</v>
      </c>
      <c r="AH57" s="34">
        <v>0.081</v>
      </c>
      <c r="AI57" s="34"/>
      <c r="AJ57" s="34"/>
      <c r="AK57" s="34"/>
      <c r="AL57" s="34">
        <v>0.018</v>
      </c>
      <c r="AM57" s="34"/>
      <c r="AN57" s="34"/>
      <c r="AO57" s="34">
        <v>0.009</v>
      </c>
      <c r="AP57" s="34">
        <v>0.006</v>
      </c>
      <c r="AQ57" s="34">
        <v>0.037</v>
      </c>
      <c r="AR57" s="34">
        <v>0.059</v>
      </c>
      <c r="AS57" s="34">
        <v>0.014</v>
      </c>
      <c r="AT57" s="34"/>
      <c r="AU57" s="34">
        <v>0.13</v>
      </c>
      <c r="AV57" s="34">
        <v>0.046</v>
      </c>
      <c r="AW57" s="34">
        <v>0.047</v>
      </c>
      <c r="AX57" s="34"/>
      <c r="AY57" s="34">
        <v>0.413</v>
      </c>
      <c r="AZ57" s="34"/>
      <c r="BA57" s="34">
        <v>0.028</v>
      </c>
      <c r="BB57" s="34">
        <v>0.018</v>
      </c>
      <c r="BC57" s="34">
        <v>0.024</v>
      </c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>
        <v>0.031</v>
      </c>
      <c r="BO57" s="34"/>
      <c r="BP57" s="34">
        <v>0.019</v>
      </c>
      <c r="BQ57" s="34"/>
      <c r="BR57" s="34"/>
      <c r="BS57" s="34">
        <v>0.088</v>
      </c>
      <c r="BT57" s="34"/>
      <c r="BU57" s="34"/>
      <c r="BV57" s="34">
        <v>0.06</v>
      </c>
      <c r="BW57" s="34">
        <v>0.136</v>
      </c>
      <c r="BX57" s="34">
        <v>0.017</v>
      </c>
      <c r="BY57" s="34">
        <v>0.077</v>
      </c>
      <c r="BZ57" s="34">
        <v>0.033</v>
      </c>
      <c r="CA57" s="34">
        <v>0.009</v>
      </c>
      <c r="CB57" s="34">
        <v>0.025</v>
      </c>
      <c r="CC57" s="34">
        <v>0.067</v>
      </c>
      <c r="CD57" s="34"/>
      <c r="CE57" s="34"/>
      <c r="CF57" s="34"/>
      <c r="CG57" s="34"/>
      <c r="CH57" s="34"/>
      <c r="CI57" s="34">
        <v>0.037</v>
      </c>
      <c r="CJ57" s="34">
        <v>0.022</v>
      </c>
      <c r="CK57" s="34"/>
      <c r="CL57" s="34">
        <v>0.056</v>
      </c>
      <c r="CM57" s="34"/>
      <c r="CN57" s="34"/>
      <c r="CO57" s="34">
        <v>0.047</v>
      </c>
      <c r="CP57" s="34">
        <v>0.01</v>
      </c>
      <c r="CQ57" s="34"/>
      <c r="CR57" s="34"/>
      <c r="CS57" s="34"/>
      <c r="CT57" s="34">
        <v>0.026</v>
      </c>
      <c r="CU57" s="34"/>
      <c r="CV57" s="34">
        <v>0.009</v>
      </c>
      <c r="CW57" s="34"/>
      <c r="CX57" s="34"/>
    </row>
    <row r="58" ht="14.25" customHeight="1">
      <c r="A58" s="34" t="s">
        <v>188</v>
      </c>
      <c r="B58" s="35" t="s">
        <v>189</v>
      </c>
      <c r="C58" s="35"/>
      <c r="D58" s="34">
        <v>0.005</v>
      </c>
      <c r="E58" s="34">
        <v>0.005</v>
      </c>
      <c r="F58" s="34"/>
      <c r="G58" s="34">
        <v>0.004</v>
      </c>
      <c r="H58" s="34">
        <v>0.003</v>
      </c>
      <c r="I58" s="34">
        <v>0.004</v>
      </c>
      <c r="J58" s="34">
        <v>0.015</v>
      </c>
      <c r="K58" s="34">
        <v>0.002</v>
      </c>
      <c r="L58" s="34">
        <v>0.02</v>
      </c>
      <c r="M58" s="34">
        <v>0.002</v>
      </c>
      <c r="N58" s="34">
        <v>0.002</v>
      </c>
      <c r="O58" s="34">
        <v>0.077</v>
      </c>
      <c r="P58" s="34">
        <v>0.333</v>
      </c>
      <c r="Q58" s="34">
        <v>0.018</v>
      </c>
      <c r="R58" s="34">
        <v>0.003</v>
      </c>
      <c r="S58" s="34">
        <v>0.003</v>
      </c>
      <c r="T58" s="34"/>
      <c r="U58" s="34">
        <v>0.011</v>
      </c>
      <c r="V58" s="34">
        <v>0.002</v>
      </c>
      <c r="W58" s="34">
        <v>0.011</v>
      </c>
      <c r="X58" s="34"/>
      <c r="Y58" s="34"/>
      <c r="Z58" s="34"/>
      <c r="AA58" s="34">
        <v>0.008</v>
      </c>
      <c r="AB58" s="34"/>
      <c r="AC58" s="34">
        <v>0.027</v>
      </c>
      <c r="AD58" s="34">
        <v>0.047</v>
      </c>
      <c r="AE58" s="34">
        <v>0.012</v>
      </c>
      <c r="AF58" s="34">
        <v>0.013</v>
      </c>
      <c r="AG58" s="34">
        <v>0.02</v>
      </c>
      <c r="AH58" s="34">
        <v>0.027</v>
      </c>
      <c r="AI58" s="34"/>
      <c r="AJ58" s="34"/>
      <c r="AK58" s="34"/>
      <c r="AL58" s="34">
        <v>0.015</v>
      </c>
      <c r="AM58" s="34"/>
      <c r="AN58" s="34"/>
      <c r="AO58" s="34">
        <v>0.009</v>
      </c>
      <c r="AP58" s="34">
        <v>0.006</v>
      </c>
      <c r="AQ58" s="34">
        <v>0.027</v>
      </c>
      <c r="AR58" s="34">
        <v>0.006</v>
      </c>
      <c r="AS58" s="34">
        <v>0.005</v>
      </c>
      <c r="AT58" s="34"/>
      <c r="AU58" s="34">
        <v>0.022</v>
      </c>
      <c r="AV58" s="34">
        <v>0.023</v>
      </c>
      <c r="AW58" s="34">
        <v>0.007</v>
      </c>
      <c r="AX58" s="34"/>
      <c r="AY58" s="34">
        <v>0.072</v>
      </c>
      <c r="AZ58" s="34"/>
      <c r="BA58" s="34">
        <v>0.012</v>
      </c>
      <c r="BB58" s="34">
        <v>0.008</v>
      </c>
      <c r="BC58" s="34">
        <v>0.011</v>
      </c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>
        <v>0.019</v>
      </c>
      <c r="BO58" s="34"/>
      <c r="BP58" s="34">
        <v>0.01</v>
      </c>
      <c r="BQ58" s="34"/>
      <c r="BR58" s="34"/>
      <c r="BS58" s="34">
        <v>0.049</v>
      </c>
      <c r="BT58" s="34"/>
      <c r="BU58" s="34"/>
      <c r="BV58" s="34">
        <v>0.029</v>
      </c>
      <c r="BW58" s="34">
        <v>0.032</v>
      </c>
      <c r="BX58" s="34">
        <v>0.011</v>
      </c>
      <c r="BY58" s="34">
        <v>0.037</v>
      </c>
      <c r="BZ58" s="34">
        <v>0.016</v>
      </c>
      <c r="CA58" s="34">
        <v>0.006</v>
      </c>
      <c r="CB58" s="34">
        <v>0.012</v>
      </c>
      <c r="CC58" s="34">
        <v>0.023</v>
      </c>
      <c r="CD58" s="34"/>
      <c r="CE58" s="34"/>
      <c r="CF58" s="34"/>
      <c r="CG58" s="34"/>
      <c r="CH58" s="34"/>
      <c r="CI58" s="34">
        <v>0.011</v>
      </c>
      <c r="CJ58" s="34">
        <v>0.006</v>
      </c>
      <c r="CK58" s="34"/>
      <c r="CL58" s="34">
        <v>0.018</v>
      </c>
      <c r="CM58" s="34"/>
      <c r="CN58" s="34"/>
      <c r="CO58" s="34">
        <v>0.015</v>
      </c>
      <c r="CP58" s="34">
        <v>0.005</v>
      </c>
      <c r="CQ58" s="34"/>
      <c r="CR58" s="34"/>
      <c r="CS58" s="34"/>
      <c r="CT58" s="34">
        <v>0.013</v>
      </c>
      <c r="CU58" s="34"/>
      <c r="CV58" s="34">
        <v>0.008</v>
      </c>
      <c r="CW58" s="34"/>
      <c r="CX58" s="34"/>
    </row>
    <row r="59" ht="14.25" customHeight="1">
      <c r="A59" s="21" t="s">
        <v>190</v>
      </c>
      <c r="B59" s="22"/>
      <c r="C59" s="22"/>
      <c r="D59" s="23">
        <v>0.011</v>
      </c>
      <c r="E59" s="23">
        <v>0.012</v>
      </c>
      <c r="G59" s="23">
        <v>0.01</v>
      </c>
      <c r="H59" s="23">
        <v>0.007</v>
      </c>
      <c r="I59" s="23">
        <v>0.01</v>
      </c>
      <c r="J59" s="23">
        <v>0.033</v>
      </c>
      <c r="K59" s="23">
        <v>0.014</v>
      </c>
      <c r="L59" s="23">
        <v>0.062</v>
      </c>
      <c r="M59" s="23">
        <v>0.006</v>
      </c>
      <c r="N59" s="23">
        <v>0.006</v>
      </c>
      <c r="O59" s="23">
        <v>0.04</v>
      </c>
      <c r="P59" s="23">
        <v>0.222</v>
      </c>
      <c r="Q59" s="23">
        <v>0.05</v>
      </c>
      <c r="R59" s="23">
        <v>0.015</v>
      </c>
      <c r="S59" s="23">
        <v>0.015</v>
      </c>
      <c r="U59" s="23">
        <v>0.028</v>
      </c>
      <c r="V59" s="23">
        <v>0.011</v>
      </c>
      <c r="W59" s="23">
        <v>0.033</v>
      </c>
      <c r="AA59" s="23">
        <v>0.024</v>
      </c>
      <c r="AC59" s="23">
        <v>0.068</v>
      </c>
      <c r="AD59" s="23">
        <v>0.11</v>
      </c>
      <c r="AE59" s="23">
        <v>0.035</v>
      </c>
      <c r="AF59" s="23">
        <v>0.028</v>
      </c>
      <c r="AG59" s="23">
        <v>0.04</v>
      </c>
      <c r="AH59" s="23">
        <v>0.053</v>
      </c>
      <c r="AL59" s="23">
        <v>0.026</v>
      </c>
      <c r="AO59" s="23">
        <v>0.028</v>
      </c>
      <c r="AP59" s="23">
        <v>0.014</v>
      </c>
      <c r="AQ59" s="23">
        <v>0.066</v>
      </c>
      <c r="AR59" s="23">
        <v>0.017</v>
      </c>
      <c r="AS59" s="23">
        <v>0.044</v>
      </c>
      <c r="AU59" s="23">
        <v>0.022</v>
      </c>
      <c r="AV59" s="23">
        <v>0.026</v>
      </c>
      <c r="AW59" s="23">
        <v>0.086</v>
      </c>
      <c r="AY59" s="23">
        <v>0.105</v>
      </c>
      <c r="BA59" s="23">
        <v>0.033</v>
      </c>
      <c r="BB59" s="23">
        <v>0.021</v>
      </c>
      <c r="BC59" s="23">
        <v>0.028</v>
      </c>
      <c r="BN59" s="23">
        <v>0.082</v>
      </c>
      <c r="BP59" s="23">
        <v>0.033</v>
      </c>
      <c r="BS59" s="23">
        <v>0.109</v>
      </c>
      <c r="BV59" s="23">
        <v>0.078</v>
      </c>
      <c r="BW59" s="23">
        <v>0.083</v>
      </c>
      <c r="BX59" s="23">
        <v>0.045</v>
      </c>
      <c r="BY59" s="23">
        <v>0.134</v>
      </c>
      <c r="BZ59" s="23">
        <v>0.058</v>
      </c>
      <c r="CA59" s="23">
        <v>0.024</v>
      </c>
      <c r="CB59" s="23">
        <v>0.029</v>
      </c>
      <c r="CC59" s="23">
        <v>0.043</v>
      </c>
      <c r="CI59" s="23">
        <v>0.031</v>
      </c>
      <c r="CJ59" s="23">
        <v>0.018</v>
      </c>
      <c r="CL59" s="23">
        <v>0.049</v>
      </c>
      <c r="CO59" s="23">
        <v>0.03</v>
      </c>
      <c r="CP59" s="23">
        <v>0.014</v>
      </c>
      <c r="CT59" s="23">
        <v>0.052</v>
      </c>
      <c r="CV59" s="23">
        <v>0.017</v>
      </c>
    </row>
    <row r="60" ht="14.25" customHeight="1">
      <c r="A60" s="21" t="s">
        <v>191</v>
      </c>
      <c r="B60" s="22"/>
      <c r="C60" s="22"/>
      <c r="D60" s="23">
        <v>0.07</v>
      </c>
      <c r="E60" s="23">
        <v>0.074</v>
      </c>
      <c r="G60" s="23">
        <v>0.049</v>
      </c>
      <c r="H60" s="23">
        <v>0.032</v>
      </c>
      <c r="I60" s="23">
        <v>0.048</v>
      </c>
      <c r="J60" s="23">
        <v>0.162</v>
      </c>
      <c r="K60" s="23">
        <v>0.105</v>
      </c>
      <c r="L60" s="23">
        <v>0.368</v>
      </c>
      <c r="M60" s="23">
        <v>0.037</v>
      </c>
      <c r="N60" s="23">
        <v>0.038</v>
      </c>
      <c r="O60" s="23">
        <v>0.124</v>
      </c>
      <c r="P60" s="23">
        <v>0.503</v>
      </c>
      <c r="Q60" s="23">
        <v>0.114</v>
      </c>
      <c r="R60" s="23">
        <v>0.075</v>
      </c>
      <c r="S60" s="23">
        <v>0.073</v>
      </c>
      <c r="U60" s="23">
        <v>0.129</v>
      </c>
      <c r="V60" s="23">
        <v>0.053</v>
      </c>
      <c r="W60" s="23">
        <v>0.074</v>
      </c>
      <c r="AA60" s="23">
        <v>0.138</v>
      </c>
      <c r="AC60" s="23">
        <v>0.314</v>
      </c>
      <c r="AD60" s="23">
        <v>0.937</v>
      </c>
      <c r="AE60" s="23">
        <v>0.163</v>
      </c>
      <c r="AF60" s="23">
        <v>0.418</v>
      </c>
      <c r="AG60" s="23">
        <v>0.119</v>
      </c>
      <c r="AH60" s="23">
        <v>0.126</v>
      </c>
      <c r="AL60" s="23">
        <v>0.569</v>
      </c>
      <c r="AO60" s="23">
        <v>0.352</v>
      </c>
      <c r="AP60" s="23">
        <v>0.122</v>
      </c>
      <c r="AQ60" s="23">
        <v>0.801</v>
      </c>
      <c r="AR60" s="23">
        <v>0.039</v>
      </c>
      <c r="AS60" s="23">
        <v>0.088</v>
      </c>
      <c r="AU60" s="23">
        <v>0.038</v>
      </c>
      <c r="AV60" s="23">
        <v>0.077</v>
      </c>
      <c r="AW60" s="23">
        <v>0.022</v>
      </c>
      <c r="AY60" s="23">
        <v>0.11</v>
      </c>
      <c r="BA60" s="23">
        <v>0.149</v>
      </c>
      <c r="BB60" s="23">
        <v>0.096</v>
      </c>
      <c r="BC60" s="23">
        <v>0.127</v>
      </c>
      <c r="BN60" s="23">
        <v>0.068</v>
      </c>
      <c r="BP60" s="23">
        <v>0.121</v>
      </c>
      <c r="BS60" s="23">
        <v>0.236</v>
      </c>
      <c r="BV60" s="23">
        <v>0.22</v>
      </c>
      <c r="BW60" s="23">
        <v>0.213</v>
      </c>
      <c r="BX60" s="23">
        <v>0.176</v>
      </c>
      <c r="BY60" s="23">
        <v>0.645</v>
      </c>
      <c r="BZ60" s="23">
        <v>0.279</v>
      </c>
      <c r="CA60" s="23">
        <v>0.094</v>
      </c>
      <c r="CB60" s="23">
        <v>0.057</v>
      </c>
      <c r="CC60" s="23">
        <v>0.092</v>
      </c>
      <c r="CI60" s="23">
        <v>0.057</v>
      </c>
      <c r="CJ60" s="23">
        <v>0.033</v>
      </c>
      <c r="CL60" s="23">
        <v>0.188</v>
      </c>
      <c r="CO60" s="23">
        <v>0.058</v>
      </c>
      <c r="CP60" s="23">
        <v>0.049</v>
      </c>
      <c r="CT60" s="23">
        <v>0.104</v>
      </c>
      <c r="CV60" s="23">
        <v>0.568</v>
      </c>
    </row>
    <row r="61" ht="14.25" customHeight="1">
      <c r="A61" s="21" t="s">
        <v>192</v>
      </c>
      <c r="B61" s="22"/>
      <c r="C61" s="22"/>
      <c r="D61" s="23">
        <v>0.025</v>
      </c>
      <c r="E61" s="23">
        <v>0.026</v>
      </c>
      <c r="G61" s="23">
        <v>0.029</v>
      </c>
      <c r="H61" s="23">
        <v>0.019</v>
      </c>
      <c r="I61" s="23">
        <v>0.029</v>
      </c>
      <c r="J61" s="23">
        <v>0.097</v>
      </c>
      <c r="K61" s="23">
        <v>0.03</v>
      </c>
      <c r="L61" s="23">
        <v>0.135</v>
      </c>
      <c r="M61" s="23">
        <v>0.013</v>
      </c>
      <c r="N61" s="23">
        <v>0.014</v>
      </c>
      <c r="O61" s="23">
        <v>0.152</v>
      </c>
      <c r="P61" s="23">
        <v>0.399</v>
      </c>
      <c r="Q61" s="23">
        <v>0.094</v>
      </c>
      <c r="R61" s="23">
        <v>0.033</v>
      </c>
      <c r="S61" s="23">
        <v>0.032</v>
      </c>
      <c r="U61" s="23">
        <v>0.061</v>
      </c>
      <c r="V61" s="23">
        <v>0.024</v>
      </c>
      <c r="W61" s="23">
        <v>0.062</v>
      </c>
      <c r="AA61" s="23">
        <v>0.197</v>
      </c>
      <c r="AC61" s="23">
        <v>0.157</v>
      </c>
      <c r="AD61" s="23">
        <v>0.188</v>
      </c>
      <c r="AE61" s="23">
        <v>0.072</v>
      </c>
      <c r="AF61" s="23">
        <v>0.056</v>
      </c>
      <c r="AG61" s="23">
        <v>0.129</v>
      </c>
      <c r="AH61" s="23">
        <v>0.184</v>
      </c>
      <c r="AL61" s="23">
        <v>0.083</v>
      </c>
      <c r="AO61" s="23">
        <v>0.035</v>
      </c>
      <c r="AP61" s="23">
        <v>0.018</v>
      </c>
      <c r="AQ61" s="23">
        <v>0.114</v>
      </c>
      <c r="AR61" s="23">
        <v>0.063</v>
      </c>
      <c r="AS61" s="23">
        <v>0.153</v>
      </c>
      <c r="AU61" s="23">
        <v>0.081</v>
      </c>
      <c r="AV61" s="23">
        <v>0.131</v>
      </c>
      <c r="AW61" s="23">
        <v>0.11</v>
      </c>
      <c r="AY61" s="23">
        <v>0.164</v>
      </c>
      <c r="BA61" s="23">
        <v>0.098</v>
      </c>
      <c r="BB61" s="23">
        <v>0.063</v>
      </c>
      <c r="BC61" s="23">
        <v>0.083</v>
      </c>
      <c r="BN61" s="23">
        <v>0.096</v>
      </c>
      <c r="BP61" s="23">
        <v>0.079</v>
      </c>
      <c r="BS61" s="23">
        <v>0.287</v>
      </c>
      <c r="BV61" s="23">
        <v>0.265</v>
      </c>
      <c r="BW61" s="23">
        <v>0.359</v>
      </c>
      <c r="BX61" s="23">
        <v>0.072</v>
      </c>
      <c r="BY61" s="23">
        <v>0.295</v>
      </c>
      <c r="BZ61" s="23">
        <v>0.127</v>
      </c>
      <c r="CA61" s="23">
        <v>0.039</v>
      </c>
      <c r="CB61" s="23">
        <v>0.076</v>
      </c>
      <c r="CC61" s="23">
        <v>0.093</v>
      </c>
      <c r="CI61" s="23">
        <v>0.091</v>
      </c>
      <c r="CJ61" s="23">
        <v>0.052</v>
      </c>
      <c r="CL61" s="23">
        <v>0.146</v>
      </c>
      <c r="CO61" s="23">
        <v>0.096</v>
      </c>
      <c r="CP61" s="23">
        <v>0.033</v>
      </c>
      <c r="CT61" s="23">
        <v>0.182</v>
      </c>
      <c r="CV61" s="23">
        <v>0.034</v>
      </c>
    </row>
    <row r="62" ht="14.25" customHeight="1">
      <c r="A62" s="21" t="s">
        <v>193</v>
      </c>
      <c r="B62" s="22"/>
      <c r="C62" s="22"/>
      <c r="D62" s="23">
        <v>0.009</v>
      </c>
      <c r="E62" s="23">
        <v>0.009</v>
      </c>
      <c r="G62" s="23">
        <v>0.011</v>
      </c>
      <c r="H62" s="23">
        <v>0.007</v>
      </c>
      <c r="I62" s="23">
        <v>0.011</v>
      </c>
      <c r="J62" s="23">
        <v>0.037</v>
      </c>
      <c r="K62" s="23">
        <v>0.013</v>
      </c>
      <c r="L62" s="23">
        <v>0.054</v>
      </c>
      <c r="M62" s="23">
        <v>0.005</v>
      </c>
      <c r="N62" s="23">
        <v>0.006</v>
      </c>
      <c r="O62" s="23">
        <v>0.038</v>
      </c>
      <c r="P62" s="23">
        <v>0.19</v>
      </c>
      <c r="Q62" s="23">
        <v>0.094</v>
      </c>
      <c r="R62" s="23">
        <v>0.009</v>
      </c>
      <c r="S62" s="23">
        <v>0.009</v>
      </c>
      <c r="U62" s="23">
        <v>0.019</v>
      </c>
      <c r="V62" s="23">
        <v>0.007</v>
      </c>
      <c r="W62" s="23">
        <v>0.062</v>
      </c>
      <c r="AA62" s="23">
        <v>0.015</v>
      </c>
      <c r="AC62" s="23">
        <v>0.04</v>
      </c>
      <c r="AD62" s="23">
        <v>0.07</v>
      </c>
      <c r="AE62" s="23">
        <v>0.022</v>
      </c>
      <c r="AF62" s="23">
        <v>0.021</v>
      </c>
      <c r="AG62" s="23">
        <v>0.046</v>
      </c>
      <c r="AH62" s="23">
        <v>0.06</v>
      </c>
      <c r="AL62" s="23">
        <v>0.023</v>
      </c>
      <c r="AO62" s="23">
        <v>0.009</v>
      </c>
      <c r="AP62" s="23">
        <v>0.006</v>
      </c>
      <c r="AQ62" s="23">
        <v>0.047</v>
      </c>
      <c r="AR62" s="23">
        <v>0.01</v>
      </c>
      <c r="AS62" s="23">
        <v>0.016</v>
      </c>
      <c r="AU62" s="23">
        <v>0.016</v>
      </c>
      <c r="AV62" s="23">
        <v>0.019</v>
      </c>
      <c r="AW62" s="23">
        <v>0.012</v>
      </c>
      <c r="AY62" s="23">
        <v>0.08</v>
      </c>
      <c r="BA62" s="23">
        <v>0.026</v>
      </c>
      <c r="BB62" s="23">
        <v>0.017</v>
      </c>
      <c r="BC62" s="23">
        <v>0.022</v>
      </c>
      <c r="BN62" s="23">
        <v>0.034</v>
      </c>
      <c r="BP62" s="23">
        <v>0.024</v>
      </c>
      <c r="BS62" s="23">
        <v>0.104</v>
      </c>
      <c r="BV62" s="23">
        <v>0.09</v>
      </c>
      <c r="BW62" s="23">
        <v>0.101</v>
      </c>
      <c r="BX62" s="23">
        <v>0.025</v>
      </c>
      <c r="BY62" s="23">
        <v>0.108</v>
      </c>
      <c r="BZ62" s="23">
        <v>0.047</v>
      </c>
      <c r="CA62" s="23">
        <v>0.014</v>
      </c>
      <c r="CB62" s="23">
        <v>0.025</v>
      </c>
      <c r="CC62" s="23">
        <v>0.049</v>
      </c>
      <c r="CI62" s="23">
        <v>0.031</v>
      </c>
      <c r="CJ62" s="23">
        <v>0.017</v>
      </c>
      <c r="CL62" s="23">
        <v>0.048</v>
      </c>
      <c r="CO62" s="23">
        <v>0.036</v>
      </c>
      <c r="CP62" s="23">
        <v>0.018</v>
      </c>
      <c r="CT62" s="23">
        <v>0.039</v>
      </c>
      <c r="CV62" s="23">
        <v>0.011</v>
      </c>
    </row>
    <row r="63" ht="14.25" customHeight="1">
      <c r="A63" s="21" t="s">
        <v>194</v>
      </c>
      <c r="B63" s="22"/>
      <c r="C63" s="22"/>
      <c r="D63" s="23">
        <v>0.006</v>
      </c>
      <c r="E63" s="23">
        <v>0.006</v>
      </c>
      <c r="G63" s="23">
        <v>0.01</v>
      </c>
      <c r="H63" s="23">
        <v>0.006</v>
      </c>
      <c r="I63" s="23">
        <v>0.009</v>
      </c>
      <c r="J63" s="23">
        <v>0.032</v>
      </c>
      <c r="K63" s="23">
        <v>0.021</v>
      </c>
      <c r="L63" s="23">
        <v>0.051</v>
      </c>
      <c r="M63" s="23">
        <v>0.005</v>
      </c>
      <c r="N63" s="23">
        <v>0.005</v>
      </c>
      <c r="O63" s="23">
        <v>0.028</v>
      </c>
      <c r="P63" s="23">
        <v>0.229</v>
      </c>
      <c r="Q63" s="23">
        <v>0.046</v>
      </c>
      <c r="R63" s="23">
        <v>0.044</v>
      </c>
      <c r="S63" s="23">
        <v>0.043</v>
      </c>
      <c r="U63" s="23">
        <v>0.074</v>
      </c>
      <c r="V63" s="23">
        <v>0.031</v>
      </c>
      <c r="W63" s="23">
        <v>0.03</v>
      </c>
      <c r="AA63" s="23">
        <v>0.063</v>
      </c>
      <c r="AC63" s="23">
        <v>0.101</v>
      </c>
      <c r="AD63" s="23">
        <v>0.821</v>
      </c>
      <c r="AE63" s="23">
        <v>0.043</v>
      </c>
      <c r="AF63" s="23">
        <v>0.018</v>
      </c>
      <c r="AG63" s="23">
        <v>0.028</v>
      </c>
      <c r="AH63" s="23">
        <v>0.044</v>
      </c>
      <c r="AL63" s="23">
        <v>0.039</v>
      </c>
      <c r="AO63" s="23">
        <v>0.027</v>
      </c>
      <c r="AP63" s="23">
        <v>0.017</v>
      </c>
      <c r="AQ63" s="23">
        <v>0.13</v>
      </c>
      <c r="AR63" s="23">
        <v>0.024</v>
      </c>
      <c r="AS63" s="23">
        <v>0.012</v>
      </c>
      <c r="AU63" s="23">
        <v>0.08</v>
      </c>
      <c r="AV63" s="23">
        <v>0.021</v>
      </c>
      <c r="AW63" s="23">
        <v>0.016</v>
      </c>
      <c r="AY63" s="23">
        <v>0.254</v>
      </c>
      <c r="BA63" s="23">
        <v>0.02</v>
      </c>
      <c r="BB63" s="23">
        <v>0.013</v>
      </c>
      <c r="BC63" s="23">
        <v>0.018</v>
      </c>
      <c r="BN63" s="23">
        <v>0.029</v>
      </c>
      <c r="BP63" s="23">
        <v>0.017</v>
      </c>
      <c r="BS63" s="23">
        <v>0.098</v>
      </c>
      <c r="BV63" s="23">
        <v>0.111</v>
      </c>
      <c r="BW63" s="23">
        <v>0.13</v>
      </c>
      <c r="BX63" s="23">
        <v>0.049</v>
      </c>
      <c r="BY63" s="23">
        <v>0.61</v>
      </c>
      <c r="BZ63" s="23">
        <v>0.263</v>
      </c>
      <c r="CA63" s="23">
        <v>0.026</v>
      </c>
      <c r="CB63" s="23">
        <v>0.022</v>
      </c>
      <c r="CC63" s="23">
        <v>0.04</v>
      </c>
      <c r="CI63" s="23">
        <v>0.028</v>
      </c>
      <c r="CJ63" s="23">
        <v>0.015</v>
      </c>
      <c r="CL63" s="23">
        <v>0.031</v>
      </c>
      <c r="CO63" s="23">
        <v>0.025</v>
      </c>
      <c r="CP63" s="23">
        <v>0.01</v>
      </c>
      <c r="CT63" s="23">
        <v>0.026</v>
      </c>
      <c r="CV63" s="23">
        <v>0.01</v>
      </c>
    </row>
    <row r="64" ht="14.25" customHeight="1">
      <c r="A64" s="21" t="s">
        <v>195</v>
      </c>
      <c r="B64" s="22"/>
      <c r="C64" s="22"/>
      <c r="D64" s="23">
        <v>0.01</v>
      </c>
      <c r="E64" s="23">
        <v>0.011</v>
      </c>
      <c r="G64" s="23">
        <v>0.011</v>
      </c>
      <c r="H64" s="23">
        <v>0.007</v>
      </c>
      <c r="I64" s="23">
        <v>0.011</v>
      </c>
      <c r="J64" s="23">
        <v>0.038</v>
      </c>
      <c r="K64" s="23">
        <v>0.015</v>
      </c>
      <c r="L64" s="23">
        <v>0.067</v>
      </c>
      <c r="M64" s="23">
        <v>0.007</v>
      </c>
      <c r="N64" s="23">
        <v>0.007</v>
      </c>
      <c r="O64" s="23">
        <v>0.04</v>
      </c>
      <c r="P64" s="23">
        <v>0.226</v>
      </c>
      <c r="Q64" s="23">
        <v>0.032</v>
      </c>
      <c r="R64" s="23">
        <v>0.013</v>
      </c>
      <c r="S64" s="23">
        <v>0.013</v>
      </c>
      <c r="U64" s="23">
        <v>0.033</v>
      </c>
      <c r="V64" s="23">
        <v>0.009</v>
      </c>
      <c r="W64" s="23">
        <v>0.021</v>
      </c>
      <c r="AA64" s="23">
        <v>0.028</v>
      </c>
      <c r="AC64" s="23">
        <v>0.083</v>
      </c>
      <c r="AD64" s="23">
        <v>0.087</v>
      </c>
      <c r="AE64" s="23">
        <v>0.041</v>
      </c>
      <c r="AF64" s="23">
        <v>0.032</v>
      </c>
      <c r="AG64" s="23">
        <v>0.04</v>
      </c>
      <c r="AH64" s="23">
        <v>0.053</v>
      </c>
      <c r="AL64" s="23">
        <v>0.03</v>
      </c>
      <c r="AO64" s="23">
        <v>0.023</v>
      </c>
      <c r="AP64" s="23">
        <v>0.01</v>
      </c>
      <c r="AQ64" s="23">
        <v>0.059</v>
      </c>
      <c r="AR64" s="23">
        <v>0.016</v>
      </c>
      <c r="AS64" s="23">
        <v>0.023</v>
      </c>
      <c r="AU64" s="23">
        <v>0.022</v>
      </c>
      <c r="AV64" s="23">
        <v>0.03</v>
      </c>
      <c r="AW64" s="23">
        <v>0.013</v>
      </c>
      <c r="AY64" s="23">
        <v>0.07</v>
      </c>
      <c r="BA64" s="23">
        <v>0.025</v>
      </c>
      <c r="BB64" s="23">
        <v>0.016</v>
      </c>
      <c r="BC64" s="23">
        <v>0.021</v>
      </c>
      <c r="BN64" s="23">
        <v>0.035</v>
      </c>
      <c r="BP64" s="23">
        <v>0.035</v>
      </c>
      <c r="BS64" s="23">
        <v>0.114</v>
      </c>
      <c r="BV64" s="23">
        <v>0.062</v>
      </c>
      <c r="BW64" s="23">
        <v>0.057</v>
      </c>
      <c r="BX64" s="23">
        <v>0.037</v>
      </c>
      <c r="BY64" s="23">
        <v>0.128</v>
      </c>
      <c r="BZ64" s="23">
        <v>0.055</v>
      </c>
      <c r="CA64" s="23">
        <v>0.02</v>
      </c>
      <c r="CB64" s="23">
        <v>0.022</v>
      </c>
      <c r="CC64" s="23">
        <v>0.031</v>
      </c>
      <c r="CI64" s="23">
        <v>0.022</v>
      </c>
      <c r="CJ64" s="23">
        <v>0.013</v>
      </c>
      <c r="CL64" s="23">
        <v>0.051</v>
      </c>
      <c r="CO64" s="23">
        <v>0.032</v>
      </c>
      <c r="CP64" s="23">
        <v>0.015</v>
      </c>
      <c r="CT64" s="23">
        <v>0.039</v>
      </c>
      <c r="CV64" s="23">
        <v>0.018</v>
      </c>
    </row>
    <row r="65" ht="14.25" customHeight="1">
      <c r="A65" s="21"/>
      <c r="B65" s="22"/>
      <c r="C65" s="22"/>
    </row>
    <row r="66" ht="14.25" customHeight="1">
      <c r="A66" s="36" t="s">
        <v>196</v>
      </c>
      <c r="B66" s="37"/>
      <c r="C66" s="38"/>
    </row>
    <row r="67" ht="14.25" customHeight="1">
      <c r="A67" s="39"/>
      <c r="C67" s="40"/>
    </row>
    <row r="68" ht="14.25" customHeight="1">
      <c r="A68" s="39"/>
      <c r="C68" s="40"/>
    </row>
    <row r="69" ht="14.25" customHeight="1">
      <c r="A69" s="39"/>
      <c r="C69" s="40"/>
    </row>
    <row r="70" ht="14.25" customHeight="1">
      <c r="A70" s="41"/>
      <c r="B70" s="42"/>
      <c r="C70" s="43"/>
    </row>
    <row r="71" ht="14.25" customHeight="1">
      <c r="A71" s="44" t="s">
        <v>197</v>
      </c>
      <c r="B71" s="21"/>
      <c r="C71" s="21"/>
    </row>
    <row r="72" ht="14.25" customHeight="1">
      <c r="A72" s="44" t="s">
        <v>198</v>
      </c>
      <c r="B72" s="21"/>
      <c r="C72" s="21"/>
    </row>
    <row r="73" ht="14.25" customHeight="1">
      <c r="A73" s="21"/>
      <c r="B73" s="21"/>
      <c r="C73" s="21"/>
    </row>
    <row r="74" ht="15.0" customHeight="1">
      <c r="A74" s="36" t="s">
        <v>199</v>
      </c>
      <c r="B74" s="37"/>
      <c r="C74" s="38"/>
    </row>
    <row r="75" ht="15.0" customHeight="1">
      <c r="A75" s="41"/>
      <c r="B75" s="42"/>
      <c r="C75" s="43"/>
    </row>
    <row r="76" ht="15.0" customHeight="1">
      <c r="A76" s="44" t="s">
        <v>200</v>
      </c>
      <c r="B76" s="22"/>
      <c r="C76" s="22"/>
    </row>
    <row r="77" ht="14.25" customHeight="1">
      <c r="B77" s="22"/>
      <c r="C77" s="22"/>
    </row>
    <row r="78" ht="14.25" customHeight="1">
      <c r="A78" s="45" t="s">
        <v>201</v>
      </c>
      <c r="B78" s="37"/>
      <c r="C78" s="38"/>
    </row>
    <row r="79" ht="14.25" customHeight="1">
      <c r="A79" s="39"/>
      <c r="C79" s="40"/>
    </row>
    <row r="80" ht="14.25" customHeight="1">
      <c r="A80" s="41"/>
      <c r="B80" s="42"/>
      <c r="C80" s="43"/>
    </row>
    <row r="81" ht="14.25" customHeight="1">
      <c r="A81" s="44" t="s">
        <v>202</v>
      </c>
      <c r="B81" s="22"/>
      <c r="C81" s="22"/>
    </row>
    <row r="82" ht="14.25" customHeight="1">
      <c r="A82" s="21"/>
      <c r="B82" s="22"/>
      <c r="C82" s="22"/>
    </row>
    <row r="83" ht="14.25" customHeight="1">
      <c r="A83" s="21"/>
      <c r="B83" s="22"/>
      <c r="C83" s="22"/>
    </row>
    <row r="84" ht="14.25" customHeight="1">
      <c r="A84" s="21"/>
      <c r="B84" s="22"/>
      <c r="C84" s="22"/>
    </row>
    <row r="85" ht="14.25" customHeight="1">
      <c r="A85" s="21"/>
      <c r="B85" s="22"/>
      <c r="C85" s="22"/>
    </row>
    <row r="86" ht="14.25" customHeight="1">
      <c r="A86" s="21"/>
      <c r="B86" s="22"/>
      <c r="C86" s="22"/>
    </row>
    <row r="87" ht="14.25" customHeight="1">
      <c r="A87" s="21"/>
      <c r="B87" s="22"/>
      <c r="C87" s="22"/>
    </row>
    <row r="88" ht="14.25" customHeight="1">
      <c r="A88" s="21"/>
      <c r="B88" s="22"/>
      <c r="C88" s="22"/>
    </row>
    <row r="89" ht="14.25" customHeight="1">
      <c r="A89" s="21"/>
      <c r="B89" s="22"/>
      <c r="C89" s="22"/>
    </row>
    <row r="90" ht="14.25" customHeight="1">
      <c r="A90" s="21"/>
      <c r="B90" s="22"/>
      <c r="C90" s="22"/>
    </row>
    <row r="91" ht="14.25" customHeight="1">
      <c r="A91" s="21"/>
      <c r="B91" s="22"/>
      <c r="C91" s="22"/>
    </row>
    <row r="92" ht="14.25" customHeight="1">
      <c r="A92" s="21"/>
      <c r="B92" s="22"/>
      <c r="C92" s="22"/>
    </row>
    <row r="93" ht="14.25" customHeight="1">
      <c r="A93" s="21"/>
      <c r="B93" s="22"/>
      <c r="C93" s="22"/>
    </row>
    <row r="94" ht="14.25" customHeight="1">
      <c r="A94" s="21"/>
      <c r="B94" s="22"/>
      <c r="C94" s="22"/>
    </row>
    <row r="95" ht="14.25" customHeight="1">
      <c r="A95" s="21"/>
      <c r="B95" s="22"/>
      <c r="C95" s="22"/>
    </row>
    <row r="96" ht="14.25" customHeight="1">
      <c r="A96" s="21"/>
      <c r="B96" s="22"/>
      <c r="C96" s="22"/>
    </row>
    <row r="97" ht="14.25" customHeight="1">
      <c r="A97" s="21"/>
      <c r="B97" s="22"/>
      <c r="C97" s="22"/>
    </row>
    <row r="98" ht="14.25" customHeight="1">
      <c r="A98" s="21"/>
      <c r="B98" s="22"/>
      <c r="C98" s="22"/>
    </row>
    <row r="99" ht="14.25" customHeight="1">
      <c r="A99" s="21"/>
      <c r="B99" s="22"/>
      <c r="C99" s="22"/>
    </row>
    <row r="100" ht="14.25" customHeight="1">
      <c r="A100" s="21"/>
      <c r="B100" s="22"/>
      <c r="C100" s="22"/>
    </row>
    <row r="101" ht="14.25" customHeight="1">
      <c r="A101" s="21"/>
      <c r="B101" s="22"/>
      <c r="C101" s="22"/>
    </row>
    <row r="102" ht="14.25" customHeight="1">
      <c r="A102" s="21"/>
      <c r="B102" s="22"/>
      <c r="C102" s="22"/>
    </row>
    <row r="103" ht="14.25" customHeight="1">
      <c r="A103" s="21"/>
      <c r="B103" s="22"/>
      <c r="C103" s="22"/>
    </row>
    <row r="104" ht="14.25" customHeight="1">
      <c r="A104" s="21"/>
      <c r="B104" s="22"/>
      <c r="C104" s="22"/>
    </row>
    <row r="105" ht="14.25" customHeight="1">
      <c r="A105" s="21"/>
      <c r="B105" s="22"/>
      <c r="C105" s="22"/>
    </row>
    <row r="106" ht="14.25" customHeight="1">
      <c r="A106" s="21"/>
      <c r="B106" s="22"/>
      <c r="C106" s="22"/>
    </row>
    <row r="107" ht="14.25" customHeight="1">
      <c r="A107" s="21"/>
      <c r="B107" s="22"/>
      <c r="C107" s="22"/>
    </row>
    <row r="108" ht="14.25" customHeight="1">
      <c r="A108" s="21"/>
      <c r="B108" s="22"/>
      <c r="C108" s="22"/>
    </row>
    <row r="109" ht="14.25" customHeight="1">
      <c r="A109" s="21"/>
      <c r="B109" s="22"/>
      <c r="C109" s="22"/>
    </row>
    <row r="110" ht="14.25" customHeight="1">
      <c r="A110" s="21"/>
      <c r="B110" s="22"/>
      <c r="C110" s="22"/>
    </row>
    <row r="111" ht="14.25" customHeight="1">
      <c r="A111" s="21"/>
      <c r="B111" s="22"/>
      <c r="C111" s="22"/>
    </row>
    <row r="112" ht="14.25" customHeight="1">
      <c r="A112" s="21"/>
      <c r="B112" s="22"/>
      <c r="C112" s="22"/>
    </row>
    <row r="113" ht="14.25" customHeight="1">
      <c r="A113" s="21"/>
      <c r="B113" s="22"/>
      <c r="C113" s="22"/>
    </row>
    <row r="114" ht="14.25" customHeight="1">
      <c r="A114" s="21"/>
      <c r="B114" s="22"/>
      <c r="C114" s="22"/>
    </row>
    <row r="115" ht="14.25" customHeight="1">
      <c r="A115" s="21"/>
      <c r="B115" s="22"/>
      <c r="C115" s="22"/>
    </row>
    <row r="116" ht="14.25" customHeight="1">
      <c r="A116" s="21"/>
      <c r="B116" s="22"/>
      <c r="C116" s="22"/>
    </row>
    <row r="117" ht="14.25" customHeight="1">
      <c r="A117" s="21"/>
      <c r="B117" s="22"/>
      <c r="C117" s="22"/>
    </row>
    <row r="118" ht="14.25" customHeight="1">
      <c r="A118" s="21"/>
      <c r="B118" s="22"/>
      <c r="C118" s="22"/>
    </row>
    <row r="119" ht="14.25" customHeight="1">
      <c r="A119" s="21"/>
      <c r="B119" s="22"/>
      <c r="C119" s="22"/>
    </row>
    <row r="120" ht="14.25" customHeight="1">
      <c r="A120" s="21"/>
      <c r="B120" s="22"/>
      <c r="C120" s="22"/>
    </row>
    <row r="121" ht="14.25" customHeight="1">
      <c r="A121" s="21"/>
      <c r="B121" s="22"/>
      <c r="C121" s="22"/>
    </row>
    <row r="122" ht="14.25" customHeight="1">
      <c r="A122" s="21"/>
      <c r="B122" s="22"/>
      <c r="C122" s="22"/>
    </row>
    <row r="123" ht="14.25" customHeight="1">
      <c r="A123" s="21"/>
      <c r="B123" s="22"/>
      <c r="C123" s="22"/>
    </row>
    <row r="124" ht="14.25" customHeight="1">
      <c r="A124" s="21"/>
      <c r="B124" s="22"/>
      <c r="C124" s="22"/>
    </row>
    <row r="125" ht="14.25" customHeight="1">
      <c r="A125" s="21"/>
      <c r="B125" s="22"/>
      <c r="C125" s="22"/>
    </row>
    <row r="126" ht="14.25" customHeight="1">
      <c r="A126" s="21"/>
      <c r="B126" s="22"/>
      <c r="C126" s="22"/>
    </row>
    <row r="127" ht="14.25" customHeight="1">
      <c r="A127" s="21"/>
      <c r="B127" s="22"/>
      <c r="C127" s="22"/>
    </row>
    <row r="128" ht="14.25" customHeight="1">
      <c r="A128" s="21"/>
      <c r="B128" s="22"/>
      <c r="C128" s="22"/>
    </row>
    <row r="129" ht="14.25" customHeight="1">
      <c r="A129" s="21"/>
      <c r="B129" s="22"/>
      <c r="C129" s="22"/>
    </row>
    <row r="130" ht="14.25" customHeight="1">
      <c r="A130" s="21"/>
      <c r="B130" s="22"/>
      <c r="C130" s="22"/>
    </row>
    <row r="131" ht="14.25" customHeight="1">
      <c r="A131" s="21"/>
      <c r="B131" s="22"/>
      <c r="C131" s="22"/>
    </row>
    <row r="132" ht="14.25" customHeight="1">
      <c r="A132" s="21"/>
      <c r="B132" s="22"/>
      <c r="C132" s="22"/>
    </row>
    <row r="133" ht="14.25" customHeight="1">
      <c r="A133" s="21"/>
      <c r="B133" s="22"/>
      <c r="C133" s="22"/>
    </row>
    <row r="134" ht="14.25" customHeight="1">
      <c r="A134" s="21"/>
      <c r="B134" s="22"/>
      <c r="C134" s="22"/>
    </row>
    <row r="135" ht="14.25" customHeight="1">
      <c r="A135" s="21"/>
      <c r="B135" s="22"/>
      <c r="C135" s="22"/>
    </row>
    <row r="136" ht="14.25" customHeight="1">
      <c r="A136" s="21"/>
      <c r="B136" s="22"/>
      <c r="C136" s="22"/>
    </row>
    <row r="137" ht="14.25" customHeight="1">
      <c r="A137" s="21"/>
      <c r="B137" s="22"/>
      <c r="C137" s="22"/>
    </row>
    <row r="138" ht="14.25" customHeight="1">
      <c r="A138" s="21"/>
      <c r="B138" s="22"/>
      <c r="C138" s="22"/>
    </row>
    <row r="139" ht="14.25" customHeight="1">
      <c r="A139" s="21"/>
      <c r="B139" s="22"/>
      <c r="C139" s="22"/>
    </row>
    <row r="140" ht="14.25" customHeight="1">
      <c r="A140" s="21"/>
      <c r="B140" s="22"/>
      <c r="C140" s="22"/>
    </row>
    <row r="141" ht="14.25" customHeight="1">
      <c r="A141" s="21"/>
      <c r="B141" s="22"/>
      <c r="C141" s="22"/>
    </row>
    <row r="142" ht="14.25" customHeight="1">
      <c r="A142" s="21"/>
      <c r="B142" s="22"/>
      <c r="C142" s="22"/>
    </row>
    <row r="143" ht="14.25" customHeight="1">
      <c r="A143" s="21"/>
      <c r="B143" s="22"/>
      <c r="C143" s="22"/>
    </row>
    <row r="144" ht="14.25" customHeight="1">
      <c r="A144" s="21"/>
      <c r="B144" s="22"/>
      <c r="C144" s="22"/>
    </row>
    <row r="145" ht="14.25" customHeight="1">
      <c r="A145" s="21"/>
      <c r="B145" s="22"/>
      <c r="C145" s="22"/>
    </row>
    <row r="146" ht="14.25" customHeight="1">
      <c r="A146" s="21"/>
      <c r="B146" s="22"/>
      <c r="C146" s="22"/>
    </row>
    <row r="147" ht="14.25" customHeight="1">
      <c r="A147" s="21"/>
      <c r="B147" s="22"/>
      <c r="C147" s="22"/>
    </row>
    <row r="148" ht="14.25" customHeight="1">
      <c r="A148" s="21"/>
      <c r="B148" s="22"/>
      <c r="C148" s="22"/>
    </row>
    <row r="149" ht="14.25" customHeight="1">
      <c r="A149" s="21"/>
      <c r="B149" s="22"/>
      <c r="C149" s="22"/>
    </row>
    <row r="150" ht="14.25" customHeight="1">
      <c r="A150" s="21"/>
      <c r="B150" s="22"/>
      <c r="C150" s="22"/>
    </row>
    <row r="151" ht="14.25" customHeight="1">
      <c r="A151" s="21"/>
      <c r="B151" s="22"/>
      <c r="C151" s="22"/>
    </row>
    <row r="152" ht="14.25" customHeight="1">
      <c r="A152" s="21"/>
      <c r="B152" s="22"/>
      <c r="C152" s="22"/>
    </row>
    <row r="153" ht="14.25" customHeight="1">
      <c r="A153" s="21"/>
      <c r="B153" s="22"/>
      <c r="C153" s="22"/>
    </row>
    <row r="154" ht="14.25" customHeight="1">
      <c r="A154" s="21"/>
      <c r="B154" s="22"/>
      <c r="C154" s="22"/>
    </row>
    <row r="155" ht="14.25" customHeight="1">
      <c r="A155" s="21"/>
      <c r="B155" s="22"/>
      <c r="C155" s="22"/>
    </row>
    <row r="156" ht="14.25" customHeight="1">
      <c r="A156" s="21"/>
      <c r="B156" s="22"/>
      <c r="C156" s="22"/>
    </row>
    <row r="157" ht="14.25" customHeight="1">
      <c r="A157" s="21"/>
      <c r="B157" s="22"/>
      <c r="C157" s="22"/>
    </row>
    <row r="158" ht="14.25" customHeight="1">
      <c r="A158" s="21"/>
      <c r="B158" s="22"/>
      <c r="C158" s="22"/>
    </row>
    <row r="159" ht="14.25" customHeight="1">
      <c r="A159" s="21"/>
      <c r="B159" s="22"/>
      <c r="C159" s="22"/>
    </row>
    <row r="160" ht="14.25" customHeight="1">
      <c r="A160" s="21"/>
      <c r="B160" s="22"/>
      <c r="C160" s="22"/>
    </row>
    <row r="161" ht="14.25" customHeight="1">
      <c r="A161" s="21"/>
      <c r="B161" s="22"/>
      <c r="C161" s="22"/>
    </row>
    <row r="162" ht="14.25" customHeight="1">
      <c r="A162" s="21"/>
      <c r="B162" s="22"/>
      <c r="C162" s="22"/>
    </row>
    <row r="163" ht="14.25" customHeight="1">
      <c r="A163" s="21"/>
      <c r="B163" s="22"/>
      <c r="C163" s="22"/>
    </row>
    <row r="164" ht="14.25" customHeight="1">
      <c r="A164" s="21"/>
      <c r="B164" s="22"/>
      <c r="C164" s="22"/>
    </row>
    <row r="165" ht="14.25" customHeight="1">
      <c r="A165" s="21"/>
      <c r="B165" s="22"/>
      <c r="C165" s="22"/>
    </row>
    <row r="166" ht="14.25" customHeight="1">
      <c r="A166" s="21"/>
      <c r="B166" s="22"/>
      <c r="C166" s="22"/>
    </row>
    <row r="167" ht="14.25" customHeight="1">
      <c r="A167" s="21"/>
      <c r="B167" s="22"/>
      <c r="C167" s="22"/>
    </row>
    <row r="168" ht="14.25" customHeight="1">
      <c r="A168" s="21"/>
      <c r="B168" s="22"/>
      <c r="C168" s="22"/>
    </row>
    <row r="169" ht="14.25" customHeight="1">
      <c r="A169" s="21"/>
      <c r="B169" s="22"/>
      <c r="C169" s="22"/>
    </row>
    <row r="170" ht="14.25" customHeight="1">
      <c r="A170" s="21"/>
      <c r="B170" s="22"/>
      <c r="C170" s="22"/>
    </row>
    <row r="171" ht="14.25" customHeight="1">
      <c r="A171" s="21"/>
      <c r="B171" s="22"/>
      <c r="C171" s="22"/>
    </row>
    <row r="172" ht="14.25" customHeight="1">
      <c r="A172" s="21"/>
      <c r="B172" s="22"/>
      <c r="C172" s="22"/>
    </row>
    <row r="173" ht="14.25" customHeight="1">
      <c r="A173" s="21"/>
      <c r="B173" s="22"/>
      <c r="C173" s="22"/>
    </row>
    <row r="174" ht="14.25" customHeight="1">
      <c r="A174" s="21"/>
      <c r="B174" s="22"/>
      <c r="C174" s="22"/>
    </row>
    <row r="175" ht="14.25" customHeight="1">
      <c r="A175" s="21"/>
      <c r="B175" s="22"/>
      <c r="C175" s="22"/>
    </row>
    <row r="176" ht="14.25" customHeight="1">
      <c r="A176" s="21"/>
      <c r="B176" s="22"/>
      <c r="C176" s="22"/>
    </row>
    <row r="177" ht="14.25" customHeight="1">
      <c r="A177" s="21"/>
      <c r="B177" s="22"/>
      <c r="C177" s="22"/>
    </row>
    <row r="178" ht="14.25" customHeight="1">
      <c r="A178" s="21"/>
      <c r="B178" s="22"/>
      <c r="C178" s="22"/>
    </row>
    <row r="179" ht="14.25" customHeight="1">
      <c r="A179" s="21"/>
      <c r="B179" s="22"/>
      <c r="C179" s="22"/>
    </row>
    <row r="180" ht="14.25" customHeight="1">
      <c r="A180" s="21"/>
      <c r="B180" s="22"/>
      <c r="C180" s="22"/>
    </row>
    <row r="181" ht="14.25" customHeight="1">
      <c r="A181" s="21"/>
      <c r="B181" s="22"/>
      <c r="C181" s="22"/>
    </row>
    <row r="182" ht="14.25" customHeight="1">
      <c r="A182" s="21"/>
      <c r="B182" s="22"/>
      <c r="C182" s="22"/>
    </row>
    <row r="183" ht="14.25" customHeight="1">
      <c r="A183" s="21"/>
      <c r="B183" s="22"/>
      <c r="C183" s="22"/>
    </row>
    <row r="184" ht="14.25" customHeight="1">
      <c r="A184" s="21"/>
      <c r="B184" s="22"/>
      <c r="C184" s="22"/>
    </row>
    <row r="185" ht="14.25" customHeight="1">
      <c r="A185" s="21"/>
      <c r="B185" s="22"/>
      <c r="C185" s="22"/>
    </row>
    <row r="186" ht="14.25" customHeight="1">
      <c r="A186" s="21"/>
      <c r="B186" s="22"/>
      <c r="C186" s="22"/>
    </row>
    <row r="187" ht="14.25" customHeight="1">
      <c r="A187" s="21"/>
      <c r="B187" s="22"/>
      <c r="C187" s="22"/>
    </row>
    <row r="188" ht="14.25" customHeight="1">
      <c r="A188" s="21"/>
      <c r="B188" s="22"/>
      <c r="C188" s="22"/>
    </row>
    <row r="189" ht="14.25" customHeight="1">
      <c r="A189" s="21"/>
      <c r="B189" s="22"/>
      <c r="C189" s="22"/>
    </row>
    <row r="190" ht="14.25" customHeight="1">
      <c r="A190" s="21"/>
      <c r="B190" s="22"/>
      <c r="C190" s="22"/>
    </row>
    <row r="191" ht="14.25" customHeight="1">
      <c r="A191" s="21"/>
      <c r="B191" s="22"/>
      <c r="C191" s="22"/>
    </row>
    <row r="192" ht="14.25" customHeight="1">
      <c r="A192" s="21"/>
      <c r="B192" s="22"/>
      <c r="C192" s="22"/>
    </row>
    <row r="193" ht="14.25" customHeight="1">
      <c r="A193" s="21"/>
      <c r="B193" s="22"/>
      <c r="C193" s="22"/>
    </row>
    <row r="194" ht="14.25" customHeight="1">
      <c r="A194" s="21"/>
      <c r="B194" s="22"/>
      <c r="C194" s="22"/>
    </row>
    <row r="195" ht="14.25" customHeight="1">
      <c r="A195" s="21"/>
      <c r="B195" s="22"/>
      <c r="C195" s="22"/>
    </row>
    <row r="196" ht="14.25" customHeight="1">
      <c r="A196" s="21"/>
      <c r="B196" s="22"/>
      <c r="C196" s="22"/>
    </row>
    <row r="197" ht="14.25" customHeight="1">
      <c r="A197" s="21"/>
      <c r="B197" s="22"/>
      <c r="C197" s="22"/>
    </row>
    <row r="198" ht="14.25" customHeight="1">
      <c r="A198" s="21"/>
      <c r="B198" s="22"/>
      <c r="C198" s="22"/>
    </row>
    <row r="199" ht="14.25" customHeight="1">
      <c r="A199" s="21"/>
      <c r="B199" s="22"/>
      <c r="C199" s="22"/>
    </row>
    <row r="200" ht="14.25" customHeight="1">
      <c r="A200" s="21"/>
      <c r="B200" s="22"/>
      <c r="C200" s="22"/>
    </row>
    <row r="201" ht="14.25" customHeight="1">
      <c r="A201" s="21"/>
      <c r="B201" s="22"/>
      <c r="C201" s="22"/>
    </row>
    <row r="202" ht="14.25" customHeight="1">
      <c r="A202" s="21"/>
      <c r="B202" s="22"/>
      <c r="C202" s="22"/>
    </row>
    <row r="203" ht="14.25" customHeight="1">
      <c r="A203" s="21"/>
      <c r="B203" s="22"/>
      <c r="C203" s="22"/>
    </row>
    <row r="204" ht="14.25" customHeight="1">
      <c r="A204" s="21"/>
      <c r="B204" s="22"/>
      <c r="C204" s="22"/>
    </row>
    <row r="205" ht="14.25" customHeight="1">
      <c r="A205" s="21"/>
      <c r="B205" s="22"/>
      <c r="C205" s="22"/>
    </row>
    <row r="206" ht="14.25" customHeight="1">
      <c r="A206" s="21"/>
      <c r="B206" s="22"/>
      <c r="C206" s="22"/>
    </row>
    <row r="207" ht="14.25" customHeight="1">
      <c r="A207" s="21"/>
      <c r="B207" s="22"/>
      <c r="C207" s="22"/>
    </row>
    <row r="208" ht="14.25" customHeight="1">
      <c r="A208" s="21"/>
      <c r="B208" s="22"/>
      <c r="C208" s="22"/>
    </row>
    <row r="209" ht="14.25" customHeight="1">
      <c r="A209" s="21"/>
      <c r="B209" s="22"/>
      <c r="C209" s="22"/>
    </row>
    <row r="210" ht="14.25" customHeight="1">
      <c r="A210" s="21"/>
      <c r="B210" s="22"/>
      <c r="C210" s="22"/>
    </row>
    <row r="211" ht="14.25" customHeight="1">
      <c r="A211" s="21"/>
      <c r="B211" s="22"/>
      <c r="C211" s="22"/>
    </row>
    <row r="212" ht="14.25" customHeight="1">
      <c r="A212" s="21"/>
      <c r="B212" s="22"/>
      <c r="C212" s="22"/>
    </row>
    <row r="213" ht="14.25" customHeight="1">
      <c r="A213" s="21"/>
      <c r="B213" s="22"/>
      <c r="C213" s="22"/>
    </row>
    <row r="214" ht="14.25" customHeight="1">
      <c r="A214" s="21"/>
      <c r="B214" s="22"/>
      <c r="C214" s="22"/>
    </row>
    <row r="215" ht="14.25" customHeight="1">
      <c r="A215" s="21"/>
      <c r="B215" s="22"/>
      <c r="C215" s="22"/>
    </row>
    <row r="216" ht="14.25" customHeight="1">
      <c r="A216" s="21"/>
      <c r="B216" s="22"/>
      <c r="C216" s="22"/>
    </row>
    <row r="217" ht="14.25" customHeight="1">
      <c r="A217" s="21"/>
      <c r="B217" s="22"/>
      <c r="C217" s="22"/>
    </row>
    <row r="218" ht="14.25" customHeight="1">
      <c r="A218" s="21"/>
      <c r="B218" s="22"/>
      <c r="C218" s="22"/>
    </row>
    <row r="219" ht="14.25" customHeight="1">
      <c r="A219" s="21"/>
      <c r="B219" s="22"/>
      <c r="C219" s="22"/>
    </row>
    <row r="220" ht="14.25" customHeight="1">
      <c r="A220" s="21"/>
      <c r="B220" s="22"/>
      <c r="C220" s="22"/>
    </row>
    <row r="221" ht="14.25" customHeight="1">
      <c r="A221" s="21"/>
      <c r="B221" s="22"/>
      <c r="C221" s="22"/>
    </row>
    <row r="222" ht="14.25" customHeight="1">
      <c r="A222" s="21"/>
      <c r="B222" s="22"/>
      <c r="C222" s="22"/>
    </row>
    <row r="223" ht="14.25" customHeight="1">
      <c r="A223" s="21"/>
      <c r="B223" s="22"/>
      <c r="C223" s="22"/>
    </row>
    <row r="224" ht="14.25" customHeight="1">
      <c r="A224" s="21"/>
      <c r="B224" s="22"/>
      <c r="C224" s="22"/>
    </row>
    <row r="225" ht="14.25" customHeight="1">
      <c r="A225" s="21"/>
      <c r="B225" s="22"/>
      <c r="C225" s="22"/>
    </row>
    <row r="226" ht="14.25" customHeight="1">
      <c r="A226" s="21"/>
      <c r="B226" s="22"/>
      <c r="C226" s="22"/>
    </row>
    <row r="227" ht="14.25" customHeight="1">
      <c r="A227" s="21"/>
      <c r="B227" s="22"/>
      <c r="C227" s="22"/>
    </row>
    <row r="228" ht="14.25" customHeight="1">
      <c r="A228" s="21"/>
      <c r="B228" s="22"/>
      <c r="C228" s="22"/>
    </row>
    <row r="229" ht="14.25" customHeight="1">
      <c r="A229" s="21"/>
      <c r="B229" s="22"/>
      <c r="C229" s="22"/>
    </row>
    <row r="230" ht="14.25" customHeight="1">
      <c r="A230" s="21"/>
      <c r="B230" s="22"/>
      <c r="C230" s="22"/>
    </row>
    <row r="231" ht="14.25" customHeight="1">
      <c r="A231" s="21"/>
      <c r="B231" s="22"/>
      <c r="C231" s="22"/>
    </row>
    <row r="232" ht="14.25" customHeight="1">
      <c r="A232" s="21"/>
      <c r="B232" s="22"/>
      <c r="C232" s="22"/>
    </row>
    <row r="233" ht="14.25" customHeight="1">
      <c r="A233" s="21"/>
      <c r="B233" s="22"/>
      <c r="C233" s="22"/>
    </row>
    <row r="234" ht="14.25" customHeight="1">
      <c r="A234" s="21"/>
      <c r="B234" s="22"/>
      <c r="C234" s="22"/>
    </row>
    <row r="235" ht="14.25" customHeight="1">
      <c r="A235" s="21"/>
      <c r="B235" s="22"/>
      <c r="C235" s="22"/>
    </row>
    <row r="236" ht="14.25" customHeight="1">
      <c r="A236" s="21"/>
      <c r="B236" s="22"/>
      <c r="C236" s="22"/>
    </row>
    <row r="237" ht="14.25" customHeight="1">
      <c r="A237" s="21"/>
      <c r="B237" s="22"/>
      <c r="C237" s="22"/>
    </row>
    <row r="238" ht="14.25" customHeight="1">
      <c r="A238" s="21"/>
      <c r="B238" s="22"/>
      <c r="C238" s="22"/>
    </row>
    <row r="239" ht="14.25" customHeight="1">
      <c r="A239" s="21"/>
      <c r="B239" s="22"/>
      <c r="C239" s="22"/>
    </row>
    <row r="240" ht="14.25" customHeight="1">
      <c r="A240" s="21"/>
      <c r="B240" s="22"/>
      <c r="C240" s="22"/>
    </row>
    <row r="241" ht="14.25" customHeight="1">
      <c r="A241" s="21"/>
      <c r="B241" s="22"/>
      <c r="C241" s="22"/>
    </row>
    <row r="242" ht="14.25" customHeight="1">
      <c r="A242" s="21"/>
      <c r="B242" s="22"/>
      <c r="C242" s="22"/>
    </row>
    <row r="243" ht="14.25" customHeight="1">
      <c r="A243" s="21"/>
      <c r="B243" s="22"/>
      <c r="C243" s="22"/>
    </row>
    <row r="244" ht="14.25" customHeight="1">
      <c r="A244" s="21"/>
      <c r="B244" s="22"/>
      <c r="C244" s="22"/>
    </row>
    <row r="245" ht="14.25" customHeight="1">
      <c r="A245" s="21"/>
      <c r="B245" s="22"/>
      <c r="C245" s="22"/>
    </row>
    <row r="246" ht="14.25" customHeight="1">
      <c r="A246" s="21"/>
      <c r="B246" s="22"/>
      <c r="C246" s="22"/>
    </row>
    <row r="247" ht="14.25" customHeight="1">
      <c r="A247" s="21"/>
      <c r="B247" s="22"/>
      <c r="C247" s="22"/>
    </row>
    <row r="248" ht="14.25" customHeight="1">
      <c r="A248" s="21"/>
      <c r="B248" s="22"/>
      <c r="C248" s="22"/>
    </row>
    <row r="249" ht="14.25" customHeight="1">
      <c r="A249" s="21"/>
      <c r="B249" s="22"/>
      <c r="C249" s="22"/>
    </row>
    <row r="250" ht="14.25" customHeight="1">
      <c r="A250" s="21"/>
      <c r="B250" s="22"/>
      <c r="C250" s="22"/>
    </row>
    <row r="251" ht="14.25" customHeight="1">
      <c r="A251" s="21"/>
      <c r="B251" s="22"/>
      <c r="C251" s="22"/>
    </row>
    <row r="252" ht="14.25" customHeight="1">
      <c r="A252" s="21"/>
      <c r="B252" s="22"/>
      <c r="C252" s="22"/>
    </row>
    <row r="253" ht="14.25" customHeight="1">
      <c r="A253" s="21"/>
      <c r="B253" s="22"/>
      <c r="C253" s="22"/>
    </row>
    <row r="254" ht="14.25" customHeight="1">
      <c r="A254" s="21"/>
      <c r="B254" s="22"/>
      <c r="C254" s="22"/>
    </row>
    <row r="255" ht="14.25" customHeight="1">
      <c r="A255" s="21"/>
      <c r="B255" s="22"/>
      <c r="C255" s="22"/>
    </row>
    <row r="256" ht="14.25" customHeight="1">
      <c r="A256" s="21"/>
      <c r="B256" s="22"/>
      <c r="C256" s="22"/>
    </row>
    <row r="257" ht="14.25" customHeight="1">
      <c r="A257" s="21"/>
      <c r="B257" s="22"/>
      <c r="C257" s="22"/>
    </row>
    <row r="258" ht="14.25" customHeight="1">
      <c r="A258" s="21"/>
      <c r="B258" s="22"/>
      <c r="C258" s="22"/>
    </row>
    <row r="259" ht="14.25" customHeight="1">
      <c r="A259" s="21"/>
      <c r="B259" s="22"/>
      <c r="C259" s="22"/>
    </row>
    <row r="260" ht="14.25" customHeight="1">
      <c r="A260" s="21"/>
      <c r="B260" s="22"/>
      <c r="C260" s="22"/>
    </row>
    <row r="261" ht="14.25" customHeight="1">
      <c r="A261" s="21"/>
      <c r="B261" s="22"/>
      <c r="C261" s="22"/>
    </row>
    <row r="262" ht="14.25" customHeight="1">
      <c r="A262" s="21"/>
      <c r="B262" s="22"/>
      <c r="C262" s="22"/>
    </row>
    <row r="263" ht="14.25" customHeight="1">
      <c r="A263" s="21"/>
      <c r="B263" s="22"/>
      <c r="C263" s="22"/>
    </row>
    <row r="264" ht="14.25" customHeight="1">
      <c r="A264" s="21"/>
      <c r="B264" s="22"/>
      <c r="C264" s="22"/>
    </row>
    <row r="265" ht="14.25" customHeight="1">
      <c r="A265" s="21"/>
      <c r="B265" s="22"/>
      <c r="C265" s="22"/>
    </row>
    <row r="266" ht="14.25" customHeight="1">
      <c r="A266" s="21"/>
      <c r="B266" s="22"/>
      <c r="C266" s="22"/>
    </row>
    <row r="267" ht="14.25" customHeight="1">
      <c r="A267" s="21"/>
      <c r="B267" s="22"/>
      <c r="C267" s="22"/>
    </row>
    <row r="268" ht="14.25" customHeight="1">
      <c r="A268" s="21"/>
      <c r="B268" s="22"/>
      <c r="C268" s="22"/>
    </row>
    <row r="269" ht="14.25" customHeight="1">
      <c r="A269" s="21"/>
      <c r="B269" s="22"/>
      <c r="C269" s="22"/>
    </row>
    <row r="270" ht="14.25" customHeight="1">
      <c r="A270" s="21"/>
      <c r="B270" s="22"/>
      <c r="C270" s="22"/>
    </row>
    <row r="271" ht="14.25" customHeight="1">
      <c r="A271" s="21"/>
      <c r="B271" s="22"/>
      <c r="C271" s="22"/>
    </row>
    <row r="272" ht="14.25" customHeight="1">
      <c r="A272" s="21"/>
      <c r="B272" s="22"/>
      <c r="C272" s="22"/>
    </row>
    <row r="273" ht="14.25" customHeight="1">
      <c r="A273" s="21"/>
      <c r="B273" s="22"/>
      <c r="C273" s="22"/>
    </row>
    <row r="274" ht="14.25" customHeight="1">
      <c r="A274" s="21"/>
      <c r="B274" s="22"/>
      <c r="C274" s="22"/>
    </row>
    <row r="275" ht="14.25" customHeight="1">
      <c r="A275" s="21"/>
      <c r="B275" s="22"/>
      <c r="C275" s="22"/>
    </row>
    <row r="276" ht="14.25" customHeight="1">
      <c r="A276" s="21"/>
      <c r="B276" s="22"/>
      <c r="C276" s="22"/>
    </row>
    <row r="277" ht="14.25" customHeight="1">
      <c r="A277" s="21"/>
      <c r="B277" s="22"/>
      <c r="C277" s="22"/>
    </row>
    <row r="278" ht="14.25" customHeight="1">
      <c r="A278" s="21"/>
      <c r="B278" s="22"/>
      <c r="C278" s="22"/>
    </row>
    <row r="279" ht="14.25" customHeight="1">
      <c r="A279" s="21"/>
      <c r="B279" s="22"/>
      <c r="C279" s="22"/>
    </row>
    <row r="280" ht="14.25" customHeight="1">
      <c r="A280" s="21"/>
      <c r="B280" s="22"/>
      <c r="C280" s="22"/>
    </row>
    <row r="281" ht="14.25" customHeight="1">
      <c r="A281" s="21"/>
      <c r="B281" s="22"/>
      <c r="C281" s="22"/>
    </row>
    <row r="282" ht="14.25" customHeight="1">
      <c r="A282" s="21"/>
      <c r="B282" s="22"/>
      <c r="C282" s="22"/>
    </row>
    <row r="283" ht="14.25" customHeight="1">
      <c r="A283" s="21"/>
      <c r="B283" s="22"/>
      <c r="C283" s="22"/>
    </row>
    <row r="284" ht="14.25" customHeight="1">
      <c r="A284" s="21"/>
      <c r="B284" s="22"/>
      <c r="C284" s="22"/>
    </row>
    <row r="285" ht="14.25" customHeight="1">
      <c r="A285" s="21"/>
      <c r="B285" s="22"/>
      <c r="C285" s="22"/>
    </row>
    <row r="286" ht="14.25" customHeight="1">
      <c r="A286" s="21"/>
      <c r="B286" s="22"/>
      <c r="C286" s="22"/>
    </row>
    <row r="287" ht="14.25" customHeight="1">
      <c r="A287" s="21"/>
      <c r="B287" s="22"/>
      <c r="C287" s="22"/>
    </row>
    <row r="288" ht="14.25" customHeight="1">
      <c r="A288" s="21"/>
      <c r="B288" s="22"/>
      <c r="C288" s="22"/>
    </row>
    <row r="289" ht="14.25" customHeight="1">
      <c r="A289" s="21"/>
      <c r="B289" s="22"/>
      <c r="C289" s="22"/>
    </row>
    <row r="290" ht="14.25" customHeight="1">
      <c r="A290" s="21"/>
      <c r="B290" s="22"/>
      <c r="C290" s="22"/>
    </row>
    <row r="291" ht="14.25" customHeight="1">
      <c r="A291" s="21"/>
      <c r="B291" s="22"/>
      <c r="C291" s="22"/>
    </row>
    <row r="292" ht="14.25" customHeight="1">
      <c r="A292" s="21"/>
      <c r="B292" s="22"/>
      <c r="C292" s="22"/>
    </row>
    <row r="293" ht="14.25" customHeight="1">
      <c r="A293" s="21"/>
      <c r="B293" s="22"/>
      <c r="C293" s="22"/>
    </row>
    <row r="294" ht="14.25" customHeight="1">
      <c r="A294" s="21"/>
      <c r="B294" s="22"/>
      <c r="C294" s="22"/>
    </row>
    <row r="295" ht="14.25" customHeight="1">
      <c r="A295" s="21"/>
      <c r="B295" s="22"/>
      <c r="C295" s="22"/>
    </row>
    <row r="296" ht="14.25" customHeight="1">
      <c r="A296" s="21"/>
      <c r="B296" s="22"/>
      <c r="C296" s="22"/>
    </row>
    <row r="297" ht="14.25" customHeight="1">
      <c r="A297" s="21"/>
      <c r="B297" s="22"/>
      <c r="C297" s="22"/>
    </row>
    <row r="298" ht="14.25" customHeight="1">
      <c r="A298" s="21"/>
      <c r="B298" s="22"/>
      <c r="C298" s="22"/>
    </row>
    <row r="299" ht="14.25" customHeight="1">
      <c r="A299" s="21"/>
      <c r="B299" s="22"/>
      <c r="C299" s="22"/>
    </row>
    <row r="300" ht="14.25" customHeight="1">
      <c r="A300" s="21"/>
      <c r="B300" s="22"/>
      <c r="C300" s="22"/>
    </row>
    <row r="301" ht="14.25" customHeight="1">
      <c r="A301" s="21"/>
      <c r="B301" s="22"/>
      <c r="C301" s="22"/>
    </row>
    <row r="302" ht="14.25" customHeight="1">
      <c r="A302" s="21"/>
      <c r="B302" s="22"/>
      <c r="C302" s="22"/>
    </row>
    <row r="303" ht="14.25" customHeight="1">
      <c r="A303" s="21"/>
      <c r="B303" s="22"/>
      <c r="C303" s="22"/>
    </row>
    <row r="304" ht="14.25" customHeight="1">
      <c r="A304" s="21"/>
      <c r="B304" s="22"/>
      <c r="C304" s="22"/>
    </row>
    <row r="305" ht="14.25" customHeight="1">
      <c r="A305" s="21"/>
      <c r="B305" s="22"/>
      <c r="C305" s="22"/>
    </row>
    <row r="306" ht="14.25" customHeight="1">
      <c r="A306" s="21"/>
      <c r="B306" s="22"/>
      <c r="C306" s="22"/>
    </row>
    <row r="307" ht="14.25" customHeight="1">
      <c r="A307" s="21"/>
      <c r="B307" s="22"/>
      <c r="C307" s="22"/>
    </row>
    <row r="308" ht="14.25" customHeight="1">
      <c r="A308" s="21"/>
      <c r="B308" s="22"/>
      <c r="C308" s="22"/>
    </row>
    <row r="309" ht="14.25" customHeight="1">
      <c r="A309" s="21"/>
      <c r="B309" s="22"/>
      <c r="C309" s="22"/>
    </row>
    <row r="310" ht="14.25" customHeight="1">
      <c r="A310" s="21"/>
      <c r="B310" s="22"/>
      <c r="C310" s="22"/>
    </row>
    <row r="311" ht="14.25" customHeight="1">
      <c r="A311" s="21"/>
      <c r="B311" s="22"/>
      <c r="C311" s="22"/>
    </row>
    <row r="312" ht="14.25" customHeight="1">
      <c r="A312" s="21"/>
      <c r="B312" s="22"/>
      <c r="C312" s="22"/>
    </row>
    <row r="313" ht="14.25" customHeight="1">
      <c r="A313" s="21"/>
      <c r="B313" s="22"/>
      <c r="C313" s="22"/>
    </row>
    <row r="314" ht="14.25" customHeight="1">
      <c r="A314" s="21"/>
      <c r="B314" s="22"/>
      <c r="C314" s="22"/>
    </row>
    <row r="315" ht="14.25" customHeight="1">
      <c r="A315" s="21"/>
      <c r="B315" s="22"/>
      <c r="C315" s="22"/>
    </row>
    <row r="316" ht="14.25" customHeight="1">
      <c r="A316" s="21"/>
      <c r="B316" s="22"/>
      <c r="C316" s="22"/>
    </row>
    <row r="317" ht="14.25" customHeight="1">
      <c r="A317" s="21"/>
      <c r="B317" s="22"/>
      <c r="C317" s="22"/>
    </row>
    <row r="318" ht="14.25" customHeight="1">
      <c r="A318" s="21"/>
      <c r="B318" s="22"/>
      <c r="C318" s="22"/>
    </row>
    <row r="319" ht="14.25" customHeight="1">
      <c r="A319" s="21"/>
      <c r="B319" s="22"/>
      <c r="C319" s="22"/>
    </row>
    <row r="320" ht="14.25" customHeight="1">
      <c r="A320" s="21"/>
      <c r="B320" s="22"/>
      <c r="C320" s="22"/>
    </row>
    <row r="321" ht="14.25" customHeight="1">
      <c r="A321" s="21"/>
      <c r="B321" s="22"/>
      <c r="C321" s="22"/>
    </row>
    <row r="322" ht="14.25" customHeight="1">
      <c r="A322" s="21"/>
      <c r="B322" s="22"/>
      <c r="C322" s="22"/>
    </row>
    <row r="323" ht="14.25" customHeight="1">
      <c r="A323" s="21"/>
      <c r="B323" s="22"/>
      <c r="C323" s="22"/>
    </row>
    <row r="324" ht="14.25" customHeight="1">
      <c r="A324" s="21"/>
      <c r="B324" s="22"/>
      <c r="C324" s="22"/>
    </row>
    <row r="325" ht="14.25" customHeight="1">
      <c r="A325" s="21"/>
      <c r="B325" s="22"/>
      <c r="C325" s="22"/>
    </row>
    <row r="326" ht="14.25" customHeight="1">
      <c r="A326" s="21"/>
      <c r="B326" s="22"/>
      <c r="C326" s="22"/>
    </row>
    <row r="327" ht="14.25" customHeight="1">
      <c r="A327" s="21"/>
      <c r="B327" s="22"/>
      <c r="C327" s="22"/>
    </row>
    <row r="328" ht="14.25" customHeight="1">
      <c r="A328" s="21"/>
      <c r="B328" s="22"/>
      <c r="C328" s="22"/>
    </row>
    <row r="329" ht="14.25" customHeight="1">
      <c r="A329" s="21"/>
      <c r="B329" s="22"/>
      <c r="C329" s="22"/>
    </row>
    <row r="330" ht="14.25" customHeight="1">
      <c r="A330" s="21"/>
      <c r="B330" s="22"/>
      <c r="C330" s="22"/>
    </row>
    <row r="331" ht="14.25" customHeight="1">
      <c r="A331" s="21"/>
      <c r="B331" s="22"/>
      <c r="C331" s="22"/>
    </row>
    <row r="332" ht="14.25" customHeight="1">
      <c r="A332" s="21"/>
      <c r="B332" s="22"/>
      <c r="C332" s="22"/>
    </row>
    <row r="333" ht="14.25" customHeight="1">
      <c r="A333" s="21"/>
      <c r="B333" s="22"/>
      <c r="C333" s="22"/>
    </row>
    <row r="334" ht="14.25" customHeight="1">
      <c r="A334" s="21"/>
      <c r="B334" s="22"/>
      <c r="C334" s="22"/>
    </row>
    <row r="335" ht="14.25" customHeight="1">
      <c r="A335" s="21"/>
      <c r="B335" s="22"/>
      <c r="C335" s="22"/>
    </row>
    <row r="336" ht="14.25" customHeight="1">
      <c r="A336" s="21"/>
      <c r="B336" s="22"/>
      <c r="C336" s="22"/>
    </row>
    <row r="337" ht="14.25" customHeight="1">
      <c r="A337" s="21"/>
      <c r="B337" s="22"/>
      <c r="C337" s="22"/>
    </row>
    <row r="338" ht="14.25" customHeight="1">
      <c r="A338" s="21"/>
      <c r="B338" s="22"/>
      <c r="C338" s="22"/>
    </row>
    <row r="339" ht="14.25" customHeight="1">
      <c r="A339" s="21"/>
      <c r="B339" s="22"/>
      <c r="C339" s="22"/>
    </row>
    <row r="340" ht="14.25" customHeight="1">
      <c r="A340" s="21"/>
      <c r="B340" s="22"/>
      <c r="C340" s="22"/>
    </row>
    <row r="341" ht="14.25" customHeight="1">
      <c r="A341" s="21"/>
      <c r="B341" s="22"/>
      <c r="C341" s="22"/>
    </row>
    <row r="342" ht="14.25" customHeight="1">
      <c r="A342" s="21"/>
      <c r="B342" s="22"/>
      <c r="C342" s="22"/>
    </row>
    <row r="343" ht="14.25" customHeight="1">
      <c r="A343" s="21"/>
      <c r="B343" s="22"/>
      <c r="C343" s="22"/>
    </row>
    <row r="344" ht="14.25" customHeight="1">
      <c r="A344" s="21"/>
      <c r="B344" s="22"/>
      <c r="C344" s="22"/>
    </row>
    <row r="345" ht="14.25" customHeight="1">
      <c r="A345" s="21"/>
      <c r="B345" s="22"/>
      <c r="C345" s="22"/>
    </row>
    <row r="346" ht="14.25" customHeight="1">
      <c r="A346" s="21"/>
      <c r="B346" s="22"/>
      <c r="C346" s="22"/>
    </row>
    <row r="347" ht="14.25" customHeight="1">
      <c r="A347" s="21"/>
      <c r="B347" s="22"/>
      <c r="C347" s="22"/>
    </row>
    <row r="348" ht="14.25" customHeight="1">
      <c r="A348" s="21"/>
      <c r="B348" s="22"/>
      <c r="C348" s="22"/>
    </row>
    <row r="349" ht="14.25" customHeight="1">
      <c r="A349" s="21"/>
      <c r="B349" s="22"/>
      <c r="C349" s="22"/>
    </row>
    <row r="350" ht="14.25" customHeight="1">
      <c r="A350" s="21"/>
      <c r="B350" s="22"/>
      <c r="C350" s="22"/>
    </row>
    <row r="351" ht="14.25" customHeight="1">
      <c r="A351" s="21"/>
      <c r="B351" s="22"/>
      <c r="C351" s="22"/>
    </row>
    <row r="352" ht="14.25" customHeight="1">
      <c r="A352" s="21"/>
      <c r="B352" s="22"/>
      <c r="C352" s="22"/>
    </row>
    <row r="353" ht="14.25" customHeight="1">
      <c r="A353" s="21"/>
      <c r="B353" s="22"/>
      <c r="C353" s="22"/>
    </row>
    <row r="354" ht="14.25" customHeight="1">
      <c r="A354" s="21"/>
      <c r="B354" s="22"/>
      <c r="C354" s="22"/>
    </row>
    <row r="355" ht="14.25" customHeight="1">
      <c r="A355" s="21"/>
      <c r="B355" s="22"/>
      <c r="C355" s="22"/>
    </row>
    <row r="356" ht="14.25" customHeight="1">
      <c r="A356" s="21"/>
      <c r="B356" s="22"/>
      <c r="C356" s="22"/>
    </row>
    <row r="357" ht="14.25" customHeight="1">
      <c r="A357" s="21"/>
      <c r="B357" s="22"/>
      <c r="C357" s="22"/>
    </row>
    <row r="358" ht="14.25" customHeight="1">
      <c r="A358" s="21"/>
      <c r="B358" s="22"/>
      <c r="C358" s="22"/>
    </row>
    <row r="359" ht="14.25" customHeight="1">
      <c r="A359" s="21"/>
      <c r="B359" s="22"/>
      <c r="C359" s="22"/>
    </row>
    <row r="360" ht="14.25" customHeight="1">
      <c r="A360" s="21"/>
      <c r="B360" s="22"/>
      <c r="C360" s="22"/>
    </row>
    <row r="361" ht="14.25" customHeight="1">
      <c r="A361" s="21"/>
      <c r="B361" s="22"/>
      <c r="C361" s="22"/>
    </row>
    <row r="362" ht="14.25" customHeight="1">
      <c r="A362" s="21"/>
      <c r="B362" s="22"/>
      <c r="C362" s="22"/>
    </row>
    <row r="363" ht="14.25" customHeight="1">
      <c r="A363" s="21"/>
      <c r="B363" s="22"/>
      <c r="C363" s="22"/>
    </row>
    <row r="364" ht="14.25" customHeight="1">
      <c r="A364" s="21"/>
      <c r="B364" s="22"/>
      <c r="C364" s="22"/>
    </row>
    <row r="365" ht="14.25" customHeight="1">
      <c r="A365" s="21"/>
      <c r="B365" s="22"/>
      <c r="C365" s="22"/>
    </row>
    <row r="366" ht="14.25" customHeight="1">
      <c r="A366" s="21"/>
      <c r="B366" s="22"/>
      <c r="C366" s="22"/>
    </row>
    <row r="367" ht="14.25" customHeight="1">
      <c r="A367" s="21"/>
      <c r="B367" s="22"/>
      <c r="C367" s="22"/>
    </row>
    <row r="368" ht="14.25" customHeight="1">
      <c r="A368" s="21"/>
      <c r="B368" s="22"/>
      <c r="C368" s="22"/>
    </row>
    <row r="369" ht="14.25" customHeight="1">
      <c r="A369" s="21"/>
      <c r="B369" s="22"/>
      <c r="C369" s="22"/>
    </row>
    <row r="370" ht="14.25" customHeight="1">
      <c r="A370" s="21"/>
      <c r="B370" s="22"/>
      <c r="C370" s="22"/>
    </row>
    <row r="371" ht="14.25" customHeight="1">
      <c r="A371" s="21"/>
      <c r="B371" s="22"/>
      <c r="C371" s="22"/>
    </row>
    <row r="372" ht="14.25" customHeight="1">
      <c r="A372" s="21"/>
      <c r="B372" s="22"/>
      <c r="C372" s="22"/>
    </row>
    <row r="373" ht="14.25" customHeight="1">
      <c r="A373" s="21"/>
      <c r="B373" s="22"/>
      <c r="C373" s="22"/>
    </row>
    <row r="374" ht="14.25" customHeight="1">
      <c r="A374" s="21"/>
      <c r="B374" s="22"/>
      <c r="C374" s="22"/>
    </row>
    <row r="375" ht="14.25" customHeight="1">
      <c r="A375" s="21"/>
      <c r="B375" s="22"/>
      <c r="C375" s="22"/>
    </row>
    <row r="376" ht="14.25" customHeight="1">
      <c r="A376" s="21"/>
      <c r="B376" s="22"/>
      <c r="C376" s="22"/>
    </row>
    <row r="377" ht="14.25" customHeight="1">
      <c r="A377" s="21"/>
      <c r="B377" s="22"/>
      <c r="C377" s="22"/>
    </row>
    <row r="378" ht="14.25" customHeight="1">
      <c r="A378" s="21"/>
      <c r="B378" s="22"/>
      <c r="C378" s="22"/>
    </row>
    <row r="379" ht="14.25" customHeight="1">
      <c r="A379" s="21"/>
      <c r="B379" s="22"/>
      <c r="C379" s="22"/>
    </row>
    <row r="380" ht="14.25" customHeight="1">
      <c r="A380" s="21"/>
      <c r="B380" s="22"/>
      <c r="C380" s="22"/>
    </row>
    <row r="381" ht="14.25" customHeight="1">
      <c r="A381" s="21"/>
      <c r="B381" s="22"/>
      <c r="C381" s="22"/>
    </row>
    <row r="382" ht="14.25" customHeight="1">
      <c r="A382" s="21"/>
      <c r="B382" s="22"/>
      <c r="C382" s="22"/>
    </row>
    <row r="383" ht="14.25" customHeight="1">
      <c r="A383" s="21"/>
      <c r="B383" s="22"/>
      <c r="C383" s="22"/>
    </row>
    <row r="384" ht="14.25" customHeight="1">
      <c r="A384" s="21"/>
      <c r="B384" s="22"/>
      <c r="C384" s="22"/>
    </row>
    <row r="385" ht="14.25" customHeight="1">
      <c r="A385" s="21"/>
      <c r="B385" s="22"/>
      <c r="C385" s="22"/>
    </row>
    <row r="386" ht="14.25" customHeight="1">
      <c r="A386" s="21"/>
      <c r="B386" s="22"/>
      <c r="C386" s="22"/>
    </row>
    <row r="387" ht="14.25" customHeight="1">
      <c r="A387" s="21"/>
      <c r="B387" s="22"/>
      <c r="C387" s="22"/>
    </row>
    <row r="388" ht="14.25" customHeight="1">
      <c r="A388" s="21"/>
      <c r="B388" s="22"/>
      <c r="C388" s="22"/>
    </row>
    <row r="389" ht="14.25" customHeight="1">
      <c r="A389" s="21"/>
      <c r="B389" s="22"/>
      <c r="C389" s="22"/>
    </row>
    <row r="390" ht="14.25" customHeight="1">
      <c r="A390" s="21"/>
      <c r="B390" s="22"/>
      <c r="C390" s="22"/>
    </row>
    <row r="391" ht="14.25" customHeight="1">
      <c r="A391" s="21"/>
      <c r="B391" s="22"/>
      <c r="C391" s="22"/>
    </row>
    <row r="392" ht="14.25" customHeight="1">
      <c r="A392" s="21"/>
      <c r="B392" s="22"/>
      <c r="C392" s="22"/>
    </row>
    <row r="393" ht="14.25" customHeight="1">
      <c r="A393" s="21"/>
      <c r="B393" s="22"/>
      <c r="C393" s="22"/>
    </row>
    <row r="394" ht="14.25" customHeight="1">
      <c r="A394" s="21"/>
      <c r="B394" s="22"/>
      <c r="C394" s="22"/>
    </row>
    <row r="395" ht="14.25" customHeight="1">
      <c r="A395" s="21"/>
      <c r="B395" s="22"/>
      <c r="C395" s="22"/>
    </row>
    <row r="396" ht="14.25" customHeight="1">
      <c r="A396" s="21"/>
      <c r="B396" s="22"/>
      <c r="C396" s="22"/>
    </row>
    <row r="397" ht="14.25" customHeight="1">
      <c r="A397" s="21"/>
      <c r="B397" s="22"/>
      <c r="C397" s="22"/>
    </row>
    <row r="398" ht="14.25" customHeight="1">
      <c r="A398" s="21"/>
      <c r="B398" s="22"/>
      <c r="C398" s="22"/>
    </row>
    <row r="399" ht="14.25" customHeight="1">
      <c r="A399" s="21"/>
      <c r="B399" s="22"/>
      <c r="C399" s="22"/>
    </row>
    <row r="400" ht="14.25" customHeight="1">
      <c r="A400" s="21"/>
      <c r="B400" s="22"/>
      <c r="C400" s="22"/>
    </row>
    <row r="401" ht="14.25" customHeight="1">
      <c r="A401" s="21"/>
      <c r="B401" s="22"/>
      <c r="C401" s="22"/>
    </row>
    <row r="402" ht="14.25" customHeight="1">
      <c r="A402" s="21"/>
      <c r="B402" s="22"/>
      <c r="C402" s="22"/>
    </row>
    <row r="403" ht="14.25" customHeight="1">
      <c r="A403" s="21"/>
      <c r="B403" s="22"/>
      <c r="C403" s="22"/>
    </row>
    <row r="404" ht="14.25" customHeight="1">
      <c r="A404" s="21"/>
      <c r="B404" s="22"/>
      <c r="C404" s="22"/>
    </row>
    <row r="405" ht="14.25" customHeight="1">
      <c r="A405" s="21"/>
      <c r="B405" s="22"/>
      <c r="C405" s="22"/>
    </row>
    <row r="406" ht="14.25" customHeight="1">
      <c r="A406" s="21"/>
      <c r="B406" s="22"/>
      <c r="C406" s="22"/>
    </row>
    <row r="407" ht="14.25" customHeight="1">
      <c r="A407" s="21"/>
      <c r="B407" s="22"/>
      <c r="C407" s="22"/>
    </row>
    <row r="408" ht="14.25" customHeight="1">
      <c r="A408" s="21"/>
      <c r="B408" s="22"/>
      <c r="C408" s="22"/>
    </row>
    <row r="409" ht="14.25" customHeight="1">
      <c r="A409" s="21"/>
      <c r="B409" s="22"/>
      <c r="C409" s="22"/>
    </row>
    <row r="410" ht="14.25" customHeight="1">
      <c r="A410" s="21"/>
      <c r="B410" s="22"/>
      <c r="C410" s="22"/>
    </row>
    <row r="411" ht="14.25" customHeight="1">
      <c r="A411" s="21"/>
      <c r="B411" s="22"/>
      <c r="C411" s="22"/>
    </row>
    <row r="412" ht="14.25" customHeight="1">
      <c r="A412" s="21"/>
      <c r="B412" s="22"/>
      <c r="C412" s="22"/>
    </row>
    <row r="413" ht="14.25" customHeight="1">
      <c r="A413" s="21"/>
      <c r="B413" s="22"/>
      <c r="C413" s="22"/>
    </row>
    <row r="414" ht="14.25" customHeight="1">
      <c r="A414" s="21"/>
      <c r="B414" s="22"/>
      <c r="C414" s="22"/>
    </row>
    <row r="415" ht="14.25" customHeight="1">
      <c r="A415" s="21"/>
      <c r="B415" s="22"/>
      <c r="C415" s="22"/>
    </row>
    <row r="416" ht="14.25" customHeight="1">
      <c r="A416" s="21"/>
      <c r="B416" s="22"/>
      <c r="C416" s="22"/>
    </row>
    <row r="417" ht="14.25" customHeight="1">
      <c r="A417" s="21"/>
      <c r="B417" s="22"/>
      <c r="C417" s="22"/>
    </row>
    <row r="418" ht="14.25" customHeight="1">
      <c r="A418" s="21"/>
      <c r="B418" s="22"/>
      <c r="C418" s="22"/>
    </row>
    <row r="419" ht="14.25" customHeight="1">
      <c r="A419" s="21"/>
      <c r="B419" s="22"/>
      <c r="C419" s="22"/>
    </row>
    <row r="420" ht="14.25" customHeight="1">
      <c r="A420" s="21"/>
      <c r="B420" s="22"/>
      <c r="C420" s="22"/>
    </row>
    <row r="421" ht="14.25" customHeight="1">
      <c r="A421" s="21"/>
      <c r="B421" s="22"/>
      <c r="C421" s="22"/>
    </row>
    <row r="422" ht="14.25" customHeight="1">
      <c r="A422" s="21"/>
      <c r="B422" s="22"/>
      <c r="C422" s="22"/>
    </row>
    <row r="423" ht="14.25" customHeight="1">
      <c r="A423" s="21"/>
      <c r="B423" s="22"/>
      <c r="C423" s="22"/>
    </row>
    <row r="424" ht="14.25" customHeight="1">
      <c r="A424" s="21"/>
      <c r="B424" s="22"/>
      <c r="C424" s="22"/>
    </row>
    <row r="425" ht="14.25" customHeight="1">
      <c r="A425" s="21"/>
      <c r="B425" s="22"/>
      <c r="C425" s="22"/>
    </row>
    <row r="426" ht="14.25" customHeight="1">
      <c r="A426" s="21"/>
      <c r="B426" s="22"/>
      <c r="C426" s="22"/>
    </row>
    <row r="427" ht="14.25" customHeight="1">
      <c r="A427" s="21"/>
      <c r="B427" s="22"/>
      <c r="C427" s="22"/>
    </row>
    <row r="428" ht="14.25" customHeight="1">
      <c r="A428" s="21"/>
      <c r="B428" s="22"/>
      <c r="C428" s="22"/>
    </row>
    <row r="429" ht="14.25" customHeight="1">
      <c r="A429" s="21"/>
      <c r="B429" s="22"/>
      <c r="C429" s="22"/>
    </row>
    <row r="430" ht="14.25" customHeight="1">
      <c r="A430" s="21"/>
      <c r="B430" s="22"/>
      <c r="C430" s="22"/>
    </row>
    <row r="431" ht="14.25" customHeight="1">
      <c r="A431" s="21"/>
      <c r="B431" s="22"/>
      <c r="C431" s="22"/>
    </row>
    <row r="432" ht="14.25" customHeight="1">
      <c r="A432" s="21"/>
      <c r="B432" s="22"/>
      <c r="C432" s="22"/>
    </row>
    <row r="433" ht="14.25" customHeight="1">
      <c r="A433" s="21"/>
      <c r="B433" s="22"/>
      <c r="C433" s="22"/>
    </row>
    <row r="434" ht="14.25" customHeight="1">
      <c r="A434" s="21"/>
      <c r="B434" s="22"/>
      <c r="C434" s="22"/>
    </row>
    <row r="435" ht="14.25" customHeight="1">
      <c r="A435" s="21"/>
      <c r="B435" s="22"/>
      <c r="C435" s="22"/>
    </row>
    <row r="436" ht="14.25" customHeight="1">
      <c r="A436" s="21"/>
      <c r="B436" s="22"/>
      <c r="C436" s="22"/>
    </row>
    <row r="437" ht="14.25" customHeight="1">
      <c r="A437" s="21"/>
      <c r="B437" s="22"/>
      <c r="C437" s="22"/>
    </row>
    <row r="438" ht="14.25" customHeight="1">
      <c r="A438" s="21"/>
      <c r="B438" s="22"/>
      <c r="C438" s="22"/>
    </row>
    <row r="439" ht="14.25" customHeight="1">
      <c r="A439" s="21"/>
      <c r="B439" s="22"/>
      <c r="C439" s="22"/>
    </row>
    <row r="440" ht="14.25" customHeight="1">
      <c r="A440" s="21"/>
      <c r="B440" s="22"/>
      <c r="C440" s="22"/>
    </row>
    <row r="441" ht="14.25" customHeight="1">
      <c r="A441" s="21"/>
      <c r="B441" s="22"/>
      <c r="C441" s="22"/>
    </row>
    <row r="442" ht="14.25" customHeight="1">
      <c r="A442" s="21"/>
      <c r="B442" s="22"/>
      <c r="C442" s="22"/>
    </row>
    <row r="443" ht="14.25" customHeight="1">
      <c r="A443" s="21"/>
      <c r="B443" s="22"/>
      <c r="C443" s="22"/>
    </row>
    <row r="444" ht="14.25" customHeight="1">
      <c r="A444" s="21"/>
      <c r="B444" s="22"/>
      <c r="C444" s="22"/>
    </row>
    <row r="445" ht="14.25" customHeight="1">
      <c r="A445" s="21"/>
      <c r="B445" s="22"/>
      <c r="C445" s="22"/>
    </row>
    <row r="446" ht="14.25" customHeight="1">
      <c r="A446" s="21"/>
      <c r="B446" s="22"/>
      <c r="C446" s="22"/>
    </row>
    <row r="447" ht="14.25" customHeight="1">
      <c r="A447" s="21"/>
      <c r="B447" s="22"/>
      <c r="C447" s="22"/>
    </row>
    <row r="448" ht="14.25" customHeight="1">
      <c r="A448" s="21"/>
      <c r="B448" s="22"/>
      <c r="C448" s="22"/>
    </row>
    <row r="449" ht="14.25" customHeight="1">
      <c r="A449" s="21"/>
      <c r="B449" s="22"/>
      <c r="C449" s="22"/>
    </row>
    <row r="450" ht="14.25" customHeight="1">
      <c r="A450" s="21"/>
      <c r="B450" s="22"/>
      <c r="C450" s="22"/>
    </row>
    <row r="451" ht="14.25" customHeight="1">
      <c r="A451" s="21"/>
      <c r="B451" s="22"/>
      <c r="C451" s="22"/>
    </row>
    <row r="452" ht="14.25" customHeight="1">
      <c r="A452" s="21"/>
      <c r="B452" s="22"/>
      <c r="C452" s="22"/>
    </row>
    <row r="453" ht="14.25" customHeight="1">
      <c r="A453" s="21"/>
      <c r="B453" s="22"/>
      <c r="C453" s="22"/>
    </row>
    <row r="454" ht="14.25" customHeight="1">
      <c r="A454" s="21"/>
      <c r="B454" s="22"/>
      <c r="C454" s="22"/>
    </row>
    <row r="455" ht="14.25" customHeight="1">
      <c r="A455" s="21"/>
      <c r="B455" s="22"/>
      <c r="C455" s="22"/>
    </row>
    <row r="456" ht="14.25" customHeight="1">
      <c r="A456" s="21"/>
      <c r="B456" s="22"/>
      <c r="C456" s="22"/>
    </row>
    <row r="457" ht="14.25" customHeight="1">
      <c r="A457" s="21"/>
      <c r="B457" s="22"/>
      <c r="C457" s="22"/>
    </row>
    <row r="458" ht="14.25" customHeight="1">
      <c r="A458" s="21"/>
      <c r="B458" s="22"/>
      <c r="C458" s="22"/>
    </row>
    <row r="459" ht="14.25" customHeight="1">
      <c r="A459" s="21"/>
      <c r="B459" s="22"/>
      <c r="C459" s="22"/>
    </row>
    <row r="460" ht="14.25" customHeight="1">
      <c r="A460" s="21"/>
      <c r="B460" s="22"/>
      <c r="C460" s="22"/>
    </row>
    <row r="461" ht="14.25" customHeight="1">
      <c r="A461" s="21"/>
      <c r="B461" s="22"/>
      <c r="C461" s="22"/>
    </row>
    <row r="462" ht="14.25" customHeight="1">
      <c r="A462" s="21"/>
      <c r="B462" s="22"/>
      <c r="C462" s="22"/>
    </row>
    <row r="463" ht="14.25" customHeight="1">
      <c r="A463" s="21"/>
      <c r="B463" s="22"/>
      <c r="C463" s="22"/>
    </row>
    <row r="464" ht="14.25" customHeight="1">
      <c r="A464" s="21"/>
      <c r="B464" s="22"/>
      <c r="C464" s="22"/>
    </row>
    <row r="465" ht="14.25" customHeight="1">
      <c r="A465" s="21"/>
      <c r="B465" s="22"/>
      <c r="C465" s="22"/>
    </row>
    <row r="466" ht="14.25" customHeight="1">
      <c r="A466" s="21"/>
      <c r="B466" s="22"/>
      <c r="C466" s="22"/>
    </row>
    <row r="467" ht="14.25" customHeight="1">
      <c r="A467" s="21"/>
      <c r="B467" s="22"/>
      <c r="C467" s="22"/>
    </row>
    <row r="468" ht="14.25" customHeight="1">
      <c r="A468" s="21"/>
      <c r="B468" s="22"/>
      <c r="C468" s="22"/>
    </row>
    <row r="469" ht="14.25" customHeight="1">
      <c r="A469" s="21"/>
      <c r="B469" s="22"/>
      <c r="C469" s="22"/>
    </row>
    <row r="470" ht="14.25" customHeight="1">
      <c r="A470" s="21"/>
      <c r="B470" s="22"/>
      <c r="C470" s="22"/>
    </row>
    <row r="471" ht="14.25" customHeight="1">
      <c r="A471" s="21"/>
      <c r="B471" s="22"/>
      <c r="C471" s="22"/>
    </row>
    <row r="472" ht="14.25" customHeight="1">
      <c r="A472" s="21"/>
      <c r="B472" s="22"/>
      <c r="C472" s="22"/>
    </row>
    <row r="473" ht="14.25" customHeight="1">
      <c r="A473" s="21"/>
      <c r="B473" s="22"/>
      <c r="C473" s="22"/>
    </row>
    <row r="474" ht="14.25" customHeight="1">
      <c r="A474" s="21"/>
      <c r="B474" s="22"/>
      <c r="C474" s="22"/>
    </row>
    <row r="475" ht="14.25" customHeight="1">
      <c r="A475" s="21"/>
      <c r="B475" s="22"/>
      <c r="C475" s="22"/>
    </row>
    <row r="476" ht="14.25" customHeight="1">
      <c r="A476" s="21"/>
      <c r="B476" s="22"/>
      <c r="C476" s="22"/>
    </row>
    <row r="477" ht="14.25" customHeight="1">
      <c r="A477" s="21"/>
      <c r="B477" s="22"/>
      <c r="C477" s="22"/>
    </row>
    <row r="478" ht="14.25" customHeight="1">
      <c r="A478" s="21"/>
      <c r="B478" s="22"/>
      <c r="C478" s="22"/>
    </row>
    <row r="479" ht="14.25" customHeight="1">
      <c r="A479" s="21"/>
      <c r="B479" s="22"/>
      <c r="C479" s="22"/>
    </row>
    <row r="480" ht="14.25" customHeight="1">
      <c r="A480" s="21"/>
      <c r="B480" s="22"/>
      <c r="C480" s="22"/>
    </row>
    <row r="481" ht="14.25" customHeight="1">
      <c r="A481" s="21"/>
      <c r="B481" s="22"/>
      <c r="C481" s="22"/>
    </row>
    <row r="482" ht="14.25" customHeight="1">
      <c r="A482" s="21"/>
      <c r="B482" s="22"/>
      <c r="C482" s="22"/>
    </row>
    <row r="483" ht="14.25" customHeight="1">
      <c r="A483" s="21"/>
      <c r="B483" s="22"/>
      <c r="C483" s="22"/>
    </row>
    <row r="484" ht="14.25" customHeight="1">
      <c r="A484" s="21"/>
      <c r="B484" s="22"/>
      <c r="C484" s="22"/>
    </row>
    <row r="485" ht="14.25" customHeight="1">
      <c r="A485" s="21"/>
      <c r="B485" s="22"/>
      <c r="C485" s="22"/>
    </row>
    <row r="486" ht="14.25" customHeight="1">
      <c r="A486" s="21"/>
      <c r="B486" s="22"/>
      <c r="C486" s="22"/>
    </row>
    <row r="487" ht="14.25" customHeight="1">
      <c r="A487" s="21"/>
      <c r="B487" s="22"/>
      <c r="C487" s="22"/>
    </row>
    <row r="488" ht="14.25" customHeight="1">
      <c r="A488" s="21"/>
      <c r="B488" s="22"/>
      <c r="C488" s="22"/>
    </row>
    <row r="489" ht="14.25" customHeight="1">
      <c r="A489" s="21"/>
      <c r="B489" s="22"/>
      <c r="C489" s="22"/>
    </row>
    <row r="490" ht="14.25" customHeight="1">
      <c r="A490" s="21"/>
      <c r="B490" s="22"/>
      <c r="C490" s="22"/>
    </row>
    <row r="491" ht="14.25" customHeight="1">
      <c r="A491" s="21"/>
      <c r="B491" s="22"/>
      <c r="C491" s="22"/>
    </row>
    <row r="492" ht="14.25" customHeight="1">
      <c r="A492" s="21"/>
      <c r="B492" s="22"/>
      <c r="C492" s="22"/>
    </row>
    <row r="493" ht="14.25" customHeight="1">
      <c r="A493" s="21"/>
      <c r="B493" s="22"/>
      <c r="C493" s="22"/>
    </row>
    <row r="494" ht="14.25" customHeight="1">
      <c r="A494" s="21"/>
      <c r="B494" s="22"/>
      <c r="C494" s="22"/>
    </row>
    <row r="495" ht="14.25" customHeight="1">
      <c r="A495" s="21"/>
      <c r="B495" s="22"/>
      <c r="C495" s="22"/>
    </row>
    <row r="496" ht="14.25" customHeight="1">
      <c r="A496" s="21"/>
      <c r="B496" s="22"/>
      <c r="C496" s="22"/>
    </row>
    <row r="497" ht="14.25" customHeight="1">
      <c r="A497" s="21"/>
      <c r="B497" s="22"/>
      <c r="C497" s="22"/>
    </row>
    <row r="498" ht="14.25" customHeight="1">
      <c r="A498" s="21"/>
      <c r="B498" s="22"/>
      <c r="C498" s="22"/>
    </row>
    <row r="499" ht="14.25" customHeight="1">
      <c r="A499" s="21"/>
      <c r="B499" s="22"/>
      <c r="C499" s="22"/>
    </row>
    <row r="500" ht="14.25" customHeight="1">
      <c r="A500" s="21"/>
      <c r="B500" s="22"/>
      <c r="C500" s="22"/>
    </row>
    <row r="501" ht="14.25" customHeight="1">
      <c r="A501" s="21"/>
      <c r="B501" s="22"/>
      <c r="C501" s="22"/>
    </row>
    <row r="502" ht="14.25" customHeight="1">
      <c r="A502" s="21"/>
      <c r="B502" s="22"/>
      <c r="C502" s="22"/>
    </row>
    <row r="503" ht="14.25" customHeight="1">
      <c r="A503" s="21"/>
      <c r="B503" s="22"/>
      <c r="C503" s="22"/>
    </row>
    <row r="504" ht="14.25" customHeight="1">
      <c r="A504" s="21"/>
      <c r="B504" s="22"/>
      <c r="C504" s="22"/>
    </row>
    <row r="505" ht="14.25" customHeight="1">
      <c r="A505" s="21"/>
      <c r="B505" s="22"/>
      <c r="C505" s="22"/>
    </row>
    <row r="506" ht="14.25" customHeight="1">
      <c r="A506" s="21"/>
      <c r="B506" s="22"/>
      <c r="C506" s="22"/>
    </row>
    <row r="507" ht="14.25" customHeight="1">
      <c r="A507" s="21"/>
      <c r="B507" s="22"/>
      <c r="C507" s="22"/>
    </row>
    <row r="508" ht="14.25" customHeight="1">
      <c r="A508" s="21"/>
      <c r="B508" s="22"/>
      <c r="C508" s="22"/>
    </row>
    <row r="509" ht="14.25" customHeight="1">
      <c r="A509" s="21"/>
      <c r="B509" s="22"/>
      <c r="C509" s="22"/>
    </row>
    <row r="510" ht="14.25" customHeight="1">
      <c r="A510" s="21"/>
      <c r="B510" s="22"/>
      <c r="C510" s="22"/>
    </row>
    <row r="511" ht="14.25" customHeight="1">
      <c r="A511" s="21"/>
      <c r="B511" s="22"/>
      <c r="C511" s="22"/>
    </row>
    <row r="512" ht="14.25" customHeight="1">
      <c r="A512" s="21"/>
      <c r="B512" s="22"/>
      <c r="C512" s="22"/>
    </row>
    <row r="513" ht="14.25" customHeight="1">
      <c r="A513" s="21"/>
      <c r="B513" s="22"/>
      <c r="C513" s="22"/>
    </row>
    <row r="514" ht="14.25" customHeight="1">
      <c r="A514" s="21"/>
      <c r="B514" s="22"/>
      <c r="C514" s="22"/>
    </row>
    <row r="515" ht="14.25" customHeight="1">
      <c r="A515" s="21"/>
      <c r="B515" s="22"/>
      <c r="C515" s="22"/>
    </row>
    <row r="516" ht="14.25" customHeight="1">
      <c r="A516" s="21"/>
      <c r="B516" s="22"/>
      <c r="C516" s="22"/>
    </row>
    <row r="517" ht="14.25" customHeight="1">
      <c r="A517" s="21"/>
      <c r="B517" s="22"/>
      <c r="C517" s="22"/>
    </row>
    <row r="518" ht="14.25" customHeight="1">
      <c r="A518" s="21"/>
      <c r="B518" s="22"/>
      <c r="C518" s="22"/>
    </row>
    <row r="519" ht="14.25" customHeight="1">
      <c r="A519" s="21"/>
      <c r="B519" s="22"/>
      <c r="C519" s="22"/>
    </row>
    <row r="520" ht="14.25" customHeight="1">
      <c r="A520" s="21"/>
      <c r="B520" s="22"/>
      <c r="C520" s="22"/>
    </row>
    <row r="521" ht="14.25" customHeight="1">
      <c r="A521" s="21"/>
      <c r="B521" s="22"/>
      <c r="C521" s="22"/>
    </row>
    <row r="522" ht="14.25" customHeight="1">
      <c r="A522" s="21"/>
      <c r="B522" s="22"/>
      <c r="C522" s="22"/>
    </row>
    <row r="523" ht="14.25" customHeight="1">
      <c r="A523" s="21"/>
      <c r="B523" s="22"/>
      <c r="C523" s="22"/>
    </row>
    <row r="524" ht="14.25" customHeight="1">
      <c r="A524" s="21"/>
      <c r="B524" s="22"/>
      <c r="C524" s="22"/>
    </row>
    <row r="525" ht="14.25" customHeight="1">
      <c r="A525" s="21"/>
      <c r="B525" s="22"/>
      <c r="C525" s="22"/>
    </row>
    <row r="526" ht="14.25" customHeight="1">
      <c r="A526" s="21"/>
      <c r="B526" s="22"/>
      <c r="C526" s="22"/>
    </row>
    <row r="527" ht="14.25" customHeight="1">
      <c r="A527" s="21"/>
      <c r="B527" s="22"/>
      <c r="C527" s="22"/>
    </row>
    <row r="528" ht="14.25" customHeight="1">
      <c r="A528" s="21"/>
      <c r="B528" s="22"/>
      <c r="C528" s="22"/>
    </row>
    <row r="529" ht="14.25" customHeight="1">
      <c r="A529" s="21"/>
      <c r="B529" s="22"/>
      <c r="C529" s="22"/>
    </row>
    <row r="530" ht="14.25" customHeight="1">
      <c r="A530" s="21"/>
      <c r="B530" s="22"/>
      <c r="C530" s="22"/>
    </row>
    <row r="531" ht="14.25" customHeight="1">
      <c r="A531" s="21"/>
      <c r="B531" s="22"/>
      <c r="C531" s="22"/>
    </row>
    <row r="532" ht="14.25" customHeight="1">
      <c r="A532" s="21"/>
      <c r="B532" s="22"/>
      <c r="C532" s="22"/>
    </row>
    <row r="533" ht="14.25" customHeight="1">
      <c r="A533" s="21"/>
      <c r="B533" s="22"/>
      <c r="C533" s="22"/>
    </row>
    <row r="534" ht="14.25" customHeight="1">
      <c r="A534" s="21"/>
      <c r="B534" s="22"/>
      <c r="C534" s="22"/>
    </row>
    <row r="535" ht="14.25" customHeight="1">
      <c r="A535" s="21"/>
      <c r="B535" s="22"/>
      <c r="C535" s="22"/>
    </row>
    <row r="536" ht="14.25" customHeight="1">
      <c r="A536" s="21"/>
      <c r="B536" s="22"/>
      <c r="C536" s="22"/>
    </row>
    <row r="537" ht="14.25" customHeight="1">
      <c r="A537" s="21"/>
      <c r="B537" s="22"/>
      <c r="C537" s="22"/>
    </row>
    <row r="538" ht="14.25" customHeight="1">
      <c r="A538" s="21"/>
      <c r="B538" s="22"/>
      <c r="C538" s="22"/>
    </row>
    <row r="539" ht="14.25" customHeight="1">
      <c r="A539" s="21"/>
      <c r="B539" s="22"/>
      <c r="C539" s="22"/>
    </row>
    <row r="540" ht="14.25" customHeight="1">
      <c r="A540" s="21"/>
      <c r="B540" s="22"/>
      <c r="C540" s="22"/>
    </row>
    <row r="541" ht="14.25" customHeight="1">
      <c r="A541" s="21"/>
      <c r="B541" s="22"/>
      <c r="C541" s="22"/>
    </row>
    <row r="542" ht="14.25" customHeight="1">
      <c r="A542" s="21"/>
      <c r="B542" s="22"/>
      <c r="C542" s="22"/>
    </row>
    <row r="543" ht="14.25" customHeight="1">
      <c r="A543" s="21"/>
      <c r="B543" s="22"/>
      <c r="C543" s="22"/>
    </row>
    <row r="544" ht="14.25" customHeight="1">
      <c r="A544" s="21"/>
      <c r="B544" s="22"/>
      <c r="C544" s="22"/>
    </row>
    <row r="545" ht="14.25" customHeight="1">
      <c r="A545" s="21"/>
      <c r="B545" s="22"/>
      <c r="C545" s="22"/>
    </row>
    <row r="546" ht="14.25" customHeight="1">
      <c r="A546" s="21"/>
      <c r="B546" s="22"/>
      <c r="C546" s="22"/>
    </row>
    <row r="547" ht="14.25" customHeight="1">
      <c r="A547" s="21"/>
      <c r="B547" s="22"/>
      <c r="C547" s="22"/>
    </row>
    <row r="548" ht="14.25" customHeight="1">
      <c r="A548" s="21"/>
      <c r="B548" s="22"/>
      <c r="C548" s="22"/>
    </row>
    <row r="549" ht="14.25" customHeight="1">
      <c r="A549" s="21"/>
      <c r="B549" s="22"/>
      <c r="C549" s="22"/>
    </row>
    <row r="550" ht="14.25" customHeight="1">
      <c r="A550" s="21"/>
      <c r="B550" s="22"/>
      <c r="C550" s="22"/>
    </row>
    <row r="551" ht="14.25" customHeight="1">
      <c r="A551" s="21"/>
      <c r="B551" s="22"/>
      <c r="C551" s="22"/>
    </row>
    <row r="552" ht="14.25" customHeight="1">
      <c r="A552" s="21"/>
      <c r="B552" s="22"/>
      <c r="C552" s="22"/>
    </row>
    <row r="553" ht="14.25" customHeight="1">
      <c r="A553" s="21"/>
      <c r="B553" s="22"/>
      <c r="C553" s="22"/>
    </row>
    <row r="554" ht="14.25" customHeight="1">
      <c r="A554" s="21"/>
      <c r="B554" s="22"/>
      <c r="C554" s="22"/>
    </row>
    <row r="555" ht="14.25" customHeight="1">
      <c r="A555" s="21"/>
      <c r="B555" s="22"/>
      <c r="C555" s="22"/>
    </row>
    <row r="556" ht="14.25" customHeight="1">
      <c r="A556" s="21"/>
      <c r="B556" s="22"/>
      <c r="C556" s="22"/>
    </row>
    <row r="557" ht="14.25" customHeight="1">
      <c r="A557" s="21"/>
      <c r="B557" s="22"/>
      <c r="C557" s="22"/>
    </row>
    <row r="558" ht="14.25" customHeight="1">
      <c r="A558" s="21"/>
      <c r="B558" s="22"/>
      <c r="C558" s="22"/>
    </row>
    <row r="559" ht="14.25" customHeight="1">
      <c r="A559" s="21"/>
      <c r="B559" s="22"/>
      <c r="C559" s="22"/>
    </row>
    <row r="560" ht="14.25" customHeight="1">
      <c r="A560" s="21"/>
      <c r="B560" s="22"/>
      <c r="C560" s="22"/>
    </row>
    <row r="561" ht="14.25" customHeight="1">
      <c r="A561" s="21"/>
      <c r="B561" s="22"/>
      <c r="C561" s="22"/>
    </row>
    <row r="562" ht="14.25" customHeight="1">
      <c r="A562" s="21"/>
      <c r="B562" s="22"/>
      <c r="C562" s="22"/>
    </row>
    <row r="563" ht="14.25" customHeight="1">
      <c r="A563" s="21"/>
      <c r="B563" s="22"/>
      <c r="C563" s="22"/>
    </row>
    <row r="564" ht="14.25" customHeight="1">
      <c r="A564" s="21"/>
      <c r="B564" s="22"/>
      <c r="C564" s="22"/>
    </row>
    <row r="565" ht="14.25" customHeight="1">
      <c r="A565" s="21"/>
      <c r="B565" s="22"/>
      <c r="C565" s="22"/>
    </row>
    <row r="566" ht="14.25" customHeight="1">
      <c r="A566" s="21"/>
      <c r="B566" s="22"/>
      <c r="C566" s="22"/>
    </row>
    <row r="567" ht="14.25" customHeight="1">
      <c r="A567" s="21"/>
      <c r="B567" s="22"/>
      <c r="C567" s="22"/>
    </row>
    <row r="568" ht="14.25" customHeight="1">
      <c r="A568" s="21"/>
      <c r="B568" s="22"/>
      <c r="C568" s="22"/>
    </row>
    <row r="569" ht="14.25" customHeight="1">
      <c r="A569" s="21"/>
      <c r="B569" s="22"/>
      <c r="C569" s="22"/>
    </row>
    <row r="570" ht="14.25" customHeight="1">
      <c r="A570" s="21"/>
      <c r="B570" s="22"/>
      <c r="C570" s="22"/>
    </row>
    <row r="571" ht="14.25" customHeight="1">
      <c r="A571" s="21"/>
      <c r="B571" s="22"/>
      <c r="C571" s="22"/>
    </row>
    <row r="572" ht="14.25" customHeight="1">
      <c r="A572" s="21"/>
      <c r="B572" s="22"/>
      <c r="C572" s="22"/>
    </row>
    <row r="573" ht="14.25" customHeight="1">
      <c r="A573" s="21"/>
      <c r="B573" s="22"/>
      <c r="C573" s="22"/>
    </row>
    <row r="574" ht="14.25" customHeight="1">
      <c r="A574" s="21"/>
      <c r="B574" s="22"/>
      <c r="C574" s="22"/>
    </row>
    <row r="575" ht="14.25" customHeight="1">
      <c r="A575" s="21"/>
      <c r="B575" s="22"/>
      <c r="C575" s="22"/>
    </row>
    <row r="576" ht="14.25" customHeight="1">
      <c r="A576" s="21"/>
      <c r="B576" s="22"/>
      <c r="C576" s="22"/>
    </row>
    <row r="577" ht="14.25" customHeight="1">
      <c r="A577" s="21"/>
      <c r="B577" s="22"/>
      <c r="C577" s="22"/>
    </row>
    <row r="578" ht="14.25" customHeight="1">
      <c r="A578" s="21"/>
      <c r="B578" s="22"/>
      <c r="C578" s="22"/>
    </row>
    <row r="579" ht="14.25" customHeight="1">
      <c r="A579" s="21"/>
      <c r="B579" s="22"/>
      <c r="C579" s="22"/>
    </row>
    <row r="580" ht="14.25" customHeight="1">
      <c r="A580" s="21"/>
      <c r="B580" s="22"/>
      <c r="C580" s="22"/>
    </row>
    <row r="581" ht="14.25" customHeight="1">
      <c r="A581" s="21"/>
      <c r="B581" s="22"/>
      <c r="C581" s="22"/>
    </row>
    <row r="582" ht="14.25" customHeight="1">
      <c r="A582" s="21"/>
      <c r="B582" s="22"/>
      <c r="C582" s="22"/>
    </row>
    <row r="583" ht="14.25" customHeight="1">
      <c r="A583" s="21"/>
      <c r="B583" s="22"/>
      <c r="C583" s="22"/>
    </row>
    <row r="584" ht="14.25" customHeight="1">
      <c r="A584" s="21"/>
      <c r="B584" s="22"/>
      <c r="C584" s="22"/>
    </row>
    <row r="585" ht="14.25" customHeight="1">
      <c r="A585" s="21"/>
      <c r="B585" s="22"/>
      <c r="C585" s="22"/>
    </row>
    <row r="586" ht="14.25" customHeight="1">
      <c r="A586" s="21"/>
      <c r="B586" s="22"/>
      <c r="C586" s="22"/>
    </row>
    <row r="587" ht="14.25" customHeight="1">
      <c r="A587" s="21"/>
      <c r="B587" s="22"/>
      <c r="C587" s="22"/>
    </row>
    <row r="588" ht="14.25" customHeight="1">
      <c r="A588" s="21"/>
      <c r="B588" s="22"/>
      <c r="C588" s="22"/>
    </row>
    <row r="589" ht="14.25" customHeight="1">
      <c r="A589" s="21"/>
      <c r="B589" s="22"/>
      <c r="C589" s="22"/>
    </row>
    <row r="590" ht="14.25" customHeight="1">
      <c r="A590" s="21"/>
      <c r="B590" s="22"/>
      <c r="C590" s="22"/>
    </row>
    <row r="591" ht="14.25" customHeight="1">
      <c r="A591" s="21"/>
      <c r="B591" s="22"/>
      <c r="C591" s="22"/>
    </row>
    <row r="592" ht="14.25" customHeight="1">
      <c r="A592" s="21"/>
      <c r="B592" s="22"/>
      <c r="C592" s="22"/>
    </row>
    <row r="593" ht="14.25" customHeight="1">
      <c r="A593" s="21"/>
      <c r="B593" s="22"/>
      <c r="C593" s="22"/>
    </row>
    <row r="594" ht="14.25" customHeight="1">
      <c r="A594" s="21"/>
      <c r="B594" s="22"/>
      <c r="C594" s="22"/>
    </row>
    <row r="595" ht="14.25" customHeight="1">
      <c r="A595" s="21"/>
      <c r="B595" s="22"/>
      <c r="C595" s="22"/>
    </row>
    <row r="596" ht="14.25" customHeight="1">
      <c r="A596" s="21"/>
      <c r="B596" s="22"/>
      <c r="C596" s="22"/>
    </row>
    <row r="597" ht="14.25" customHeight="1">
      <c r="A597" s="21"/>
      <c r="B597" s="22"/>
      <c r="C597" s="22"/>
    </row>
    <row r="598" ht="14.25" customHeight="1">
      <c r="A598" s="21"/>
      <c r="B598" s="22"/>
      <c r="C598" s="22"/>
    </row>
    <row r="599" ht="14.25" customHeight="1">
      <c r="A599" s="21"/>
      <c r="B599" s="22"/>
      <c r="C599" s="22"/>
    </row>
    <row r="600" ht="14.25" customHeight="1">
      <c r="A600" s="21"/>
      <c r="B600" s="22"/>
      <c r="C600" s="22"/>
    </row>
    <row r="601" ht="14.25" customHeight="1">
      <c r="A601" s="21"/>
      <c r="B601" s="22"/>
      <c r="C601" s="22"/>
    </row>
    <row r="602" ht="14.25" customHeight="1">
      <c r="A602" s="21"/>
      <c r="B602" s="22"/>
      <c r="C602" s="22"/>
    </row>
    <row r="603" ht="14.25" customHeight="1">
      <c r="A603" s="21"/>
      <c r="B603" s="22"/>
      <c r="C603" s="22"/>
    </row>
    <row r="604" ht="14.25" customHeight="1">
      <c r="A604" s="21"/>
      <c r="B604" s="22"/>
      <c r="C604" s="22"/>
    </row>
    <row r="605" ht="14.25" customHeight="1">
      <c r="A605" s="21"/>
      <c r="B605" s="22"/>
      <c r="C605" s="22"/>
    </row>
    <row r="606" ht="14.25" customHeight="1">
      <c r="A606" s="21"/>
      <c r="B606" s="22"/>
      <c r="C606" s="22"/>
    </row>
    <row r="607" ht="14.25" customHeight="1">
      <c r="A607" s="21"/>
      <c r="B607" s="22"/>
      <c r="C607" s="22"/>
    </row>
    <row r="608" ht="14.25" customHeight="1">
      <c r="A608" s="21"/>
      <c r="B608" s="22"/>
      <c r="C608" s="22"/>
    </row>
    <row r="609" ht="14.25" customHeight="1">
      <c r="A609" s="21"/>
      <c r="B609" s="22"/>
      <c r="C609" s="22"/>
    </row>
    <row r="610" ht="14.25" customHeight="1">
      <c r="A610" s="21"/>
      <c r="B610" s="22"/>
      <c r="C610" s="22"/>
    </row>
    <row r="611" ht="14.25" customHeight="1">
      <c r="A611" s="21"/>
      <c r="B611" s="22"/>
      <c r="C611" s="22"/>
    </row>
    <row r="612" ht="14.25" customHeight="1">
      <c r="A612" s="21"/>
      <c r="B612" s="22"/>
      <c r="C612" s="22"/>
    </row>
    <row r="613" ht="14.25" customHeight="1">
      <c r="A613" s="21"/>
      <c r="B613" s="22"/>
      <c r="C613" s="22"/>
    </row>
    <row r="614" ht="14.25" customHeight="1">
      <c r="A614" s="21"/>
      <c r="B614" s="22"/>
      <c r="C614" s="22"/>
    </row>
    <row r="615" ht="14.25" customHeight="1">
      <c r="A615" s="21"/>
      <c r="B615" s="22"/>
      <c r="C615" s="22"/>
    </row>
    <row r="616" ht="14.25" customHeight="1">
      <c r="A616" s="21"/>
      <c r="B616" s="22"/>
      <c r="C616" s="22"/>
    </row>
    <row r="617" ht="14.25" customHeight="1">
      <c r="A617" s="21"/>
      <c r="B617" s="22"/>
      <c r="C617" s="22"/>
    </row>
    <row r="618" ht="14.25" customHeight="1">
      <c r="A618" s="21"/>
      <c r="B618" s="22"/>
      <c r="C618" s="22"/>
    </row>
    <row r="619" ht="14.25" customHeight="1">
      <c r="A619" s="21"/>
      <c r="B619" s="22"/>
      <c r="C619" s="22"/>
    </row>
    <row r="620" ht="14.25" customHeight="1">
      <c r="A620" s="21"/>
      <c r="B620" s="22"/>
      <c r="C620" s="22"/>
    </row>
    <row r="621" ht="14.25" customHeight="1">
      <c r="A621" s="21"/>
      <c r="B621" s="22"/>
      <c r="C621" s="22"/>
    </row>
    <row r="622" ht="14.25" customHeight="1">
      <c r="A622" s="21"/>
      <c r="B622" s="22"/>
      <c r="C622" s="22"/>
    </row>
    <row r="623" ht="14.25" customHeight="1">
      <c r="A623" s="21"/>
      <c r="B623" s="22"/>
      <c r="C623" s="22"/>
    </row>
    <row r="624" ht="14.25" customHeight="1">
      <c r="A624" s="21"/>
      <c r="B624" s="22"/>
      <c r="C624" s="22"/>
    </row>
    <row r="625" ht="14.25" customHeight="1">
      <c r="A625" s="21"/>
      <c r="B625" s="22"/>
      <c r="C625" s="22"/>
    </row>
    <row r="626" ht="14.25" customHeight="1">
      <c r="A626" s="21"/>
      <c r="B626" s="22"/>
      <c r="C626" s="22"/>
    </row>
    <row r="627" ht="14.25" customHeight="1">
      <c r="A627" s="21"/>
      <c r="B627" s="22"/>
      <c r="C627" s="22"/>
    </row>
    <row r="628" ht="14.25" customHeight="1">
      <c r="A628" s="21"/>
      <c r="B628" s="22"/>
      <c r="C628" s="22"/>
    </row>
    <row r="629" ht="14.25" customHeight="1">
      <c r="A629" s="21"/>
      <c r="B629" s="22"/>
      <c r="C629" s="22"/>
    </row>
    <row r="630" ht="14.25" customHeight="1">
      <c r="A630" s="21"/>
      <c r="B630" s="22"/>
      <c r="C630" s="22"/>
    </row>
    <row r="631" ht="14.25" customHeight="1">
      <c r="A631" s="21"/>
      <c r="B631" s="22"/>
      <c r="C631" s="22"/>
    </row>
    <row r="632" ht="14.25" customHeight="1">
      <c r="A632" s="21"/>
      <c r="B632" s="22"/>
      <c r="C632" s="22"/>
    </row>
    <row r="633" ht="14.25" customHeight="1">
      <c r="A633" s="21"/>
      <c r="B633" s="22"/>
      <c r="C633" s="22"/>
    </row>
    <row r="634" ht="14.25" customHeight="1">
      <c r="A634" s="21"/>
      <c r="B634" s="22"/>
      <c r="C634" s="22"/>
    </row>
    <row r="635" ht="14.25" customHeight="1">
      <c r="A635" s="21"/>
      <c r="B635" s="22"/>
      <c r="C635" s="22"/>
    </row>
    <row r="636" ht="14.25" customHeight="1">
      <c r="A636" s="21"/>
      <c r="B636" s="22"/>
      <c r="C636" s="22"/>
    </row>
    <row r="637" ht="14.25" customHeight="1">
      <c r="A637" s="21"/>
      <c r="B637" s="22"/>
      <c r="C637" s="22"/>
    </row>
    <row r="638" ht="14.25" customHeight="1">
      <c r="A638" s="21"/>
      <c r="B638" s="22"/>
      <c r="C638" s="22"/>
    </row>
    <row r="639" ht="14.25" customHeight="1">
      <c r="A639" s="21"/>
      <c r="B639" s="22"/>
      <c r="C639" s="22"/>
    </row>
    <row r="640" ht="14.25" customHeight="1">
      <c r="A640" s="21"/>
      <c r="B640" s="22"/>
      <c r="C640" s="22"/>
    </row>
    <row r="641" ht="14.25" customHeight="1">
      <c r="A641" s="21"/>
      <c r="B641" s="22"/>
      <c r="C641" s="22"/>
    </row>
    <row r="642" ht="14.25" customHeight="1">
      <c r="A642" s="21"/>
      <c r="B642" s="22"/>
      <c r="C642" s="22"/>
    </row>
    <row r="643" ht="14.25" customHeight="1">
      <c r="A643" s="21"/>
      <c r="B643" s="22"/>
      <c r="C643" s="22"/>
    </row>
    <row r="644" ht="14.25" customHeight="1">
      <c r="A644" s="21"/>
      <c r="B644" s="22"/>
      <c r="C644" s="22"/>
    </row>
    <row r="645" ht="14.25" customHeight="1">
      <c r="A645" s="21"/>
      <c r="B645" s="22"/>
      <c r="C645" s="22"/>
    </row>
    <row r="646" ht="14.25" customHeight="1">
      <c r="A646" s="21"/>
      <c r="B646" s="22"/>
      <c r="C646" s="22"/>
    </row>
    <row r="647" ht="14.25" customHeight="1">
      <c r="A647" s="21"/>
      <c r="B647" s="22"/>
      <c r="C647" s="22"/>
    </row>
    <row r="648" ht="14.25" customHeight="1">
      <c r="A648" s="21"/>
      <c r="B648" s="22"/>
      <c r="C648" s="22"/>
    </row>
    <row r="649" ht="14.25" customHeight="1">
      <c r="A649" s="21"/>
      <c r="B649" s="22"/>
      <c r="C649" s="22"/>
    </row>
    <row r="650" ht="14.25" customHeight="1">
      <c r="A650" s="21"/>
      <c r="B650" s="22"/>
      <c r="C650" s="22"/>
    </row>
    <row r="651" ht="14.25" customHeight="1">
      <c r="A651" s="21"/>
      <c r="B651" s="22"/>
      <c r="C651" s="22"/>
    </row>
    <row r="652" ht="14.25" customHeight="1">
      <c r="A652" s="21"/>
      <c r="B652" s="22"/>
      <c r="C652" s="22"/>
    </row>
    <row r="653" ht="14.25" customHeight="1">
      <c r="A653" s="21"/>
      <c r="B653" s="22"/>
      <c r="C653" s="22"/>
    </row>
    <row r="654" ht="14.25" customHeight="1">
      <c r="A654" s="21"/>
      <c r="B654" s="22"/>
      <c r="C654" s="22"/>
    </row>
    <row r="655" ht="14.25" customHeight="1">
      <c r="A655" s="21"/>
      <c r="B655" s="22"/>
      <c r="C655" s="22"/>
    </row>
    <row r="656" ht="14.25" customHeight="1">
      <c r="A656" s="21"/>
      <c r="B656" s="22"/>
      <c r="C656" s="22"/>
    </row>
    <row r="657" ht="14.25" customHeight="1">
      <c r="A657" s="21"/>
      <c r="B657" s="22"/>
      <c r="C657" s="22"/>
    </row>
    <row r="658" ht="14.25" customHeight="1">
      <c r="A658" s="21"/>
      <c r="B658" s="22"/>
      <c r="C658" s="22"/>
    </row>
    <row r="659" ht="14.25" customHeight="1">
      <c r="A659" s="21"/>
      <c r="B659" s="22"/>
      <c r="C659" s="22"/>
    </row>
    <row r="660" ht="14.25" customHeight="1">
      <c r="A660" s="21"/>
      <c r="B660" s="22"/>
      <c r="C660" s="22"/>
    </row>
    <row r="661" ht="14.25" customHeight="1">
      <c r="A661" s="21"/>
      <c r="B661" s="22"/>
      <c r="C661" s="22"/>
    </row>
    <row r="662" ht="14.25" customHeight="1">
      <c r="A662" s="21"/>
      <c r="B662" s="22"/>
      <c r="C662" s="22"/>
    </row>
    <row r="663" ht="14.25" customHeight="1">
      <c r="A663" s="21"/>
      <c r="B663" s="22"/>
      <c r="C663" s="22"/>
    </row>
    <row r="664" ht="14.25" customHeight="1">
      <c r="A664" s="21"/>
      <c r="B664" s="22"/>
      <c r="C664" s="22"/>
    </row>
    <row r="665" ht="14.25" customHeight="1">
      <c r="A665" s="21"/>
      <c r="B665" s="22"/>
      <c r="C665" s="22"/>
    </row>
    <row r="666" ht="14.25" customHeight="1">
      <c r="A666" s="21"/>
      <c r="B666" s="22"/>
      <c r="C666" s="22"/>
    </row>
    <row r="667" ht="14.25" customHeight="1">
      <c r="A667" s="21"/>
      <c r="B667" s="22"/>
      <c r="C667" s="22"/>
    </row>
    <row r="668" ht="14.25" customHeight="1">
      <c r="A668" s="21"/>
      <c r="B668" s="22"/>
      <c r="C668" s="22"/>
    </row>
    <row r="669" ht="14.25" customHeight="1">
      <c r="A669" s="21"/>
      <c r="B669" s="22"/>
      <c r="C669" s="22"/>
    </row>
    <row r="670" ht="14.25" customHeight="1">
      <c r="A670" s="21"/>
      <c r="B670" s="22"/>
      <c r="C670" s="22"/>
    </row>
    <row r="671" ht="14.25" customHeight="1">
      <c r="A671" s="21"/>
      <c r="B671" s="22"/>
      <c r="C671" s="22"/>
    </row>
    <row r="672" ht="14.25" customHeight="1">
      <c r="A672" s="21"/>
      <c r="B672" s="22"/>
      <c r="C672" s="22"/>
    </row>
    <row r="673" ht="14.25" customHeight="1">
      <c r="A673" s="21"/>
      <c r="B673" s="22"/>
      <c r="C673" s="22"/>
    </row>
    <row r="674" ht="14.25" customHeight="1">
      <c r="A674" s="21"/>
      <c r="B674" s="22"/>
      <c r="C674" s="22"/>
    </row>
    <row r="675" ht="14.25" customHeight="1">
      <c r="A675" s="21"/>
      <c r="B675" s="22"/>
      <c r="C675" s="22"/>
    </row>
    <row r="676" ht="14.25" customHeight="1">
      <c r="A676" s="21"/>
      <c r="B676" s="22"/>
      <c r="C676" s="22"/>
    </row>
    <row r="677" ht="14.25" customHeight="1">
      <c r="A677" s="21"/>
      <c r="B677" s="22"/>
      <c r="C677" s="22"/>
    </row>
    <row r="678" ht="14.25" customHeight="1">
      <c r="A678" s="21"/>
      <c r="B678" s="22"/>
      <c r="C678" s="22"/>
    </row>
    <row r="679" ht="14.25" customHeight="1">
      <c r="A679" s="21"/>
      <c r="B679" s="22"/>
      <c r="C679" s="22"/>
    </row>
    <row r="680" ht="14.25" customHeight="1">
      <c r="A680" s="21"/>
      <c r="B680" s="22"/>
      <c r="C680" s="22"/>
    </row>
    <row r="681" ht="14.25" customHeight="1">
      <c r="A681" s="21"/>
      <c r="B681" s="22"/>
      <c r="C681" s="22"/>
    </row>
    <row r="682" ht="14.25" customHeight="1">
      <c r="A682" s="21"/>
      <c r="B682" s="22"/>
      <c r="C682" s="22"/>
    </row>
    <row r="683" ht="14.25" customHeight="1">
      <c r="A683" s="21"/>
      <c r="B683" s="22"/>
      <c r="C683" s="22"/>
    </row>
    <row r="684" ht="14.25" customHeight="1">
      <c r="A684" s="21"/>
      <c r="B684" s="22"/>
      <c r="C684" s="22"/>
    </row>
    <row r="685" ht="14.25" customHeight="1">
      <c r="A685" s="21"/>
      <c r="B685" s="22"/>
      <c r="C685" s="22"/>
    </row>
    <row r="686" ht="14.25" customHeight="1">
      <c r="A686" s="21"/>
      <c r="B686" s="22"/>
      <c r="C686" s="22"/>
    </row>
    <row r="687" ht="14.25" customHeight="1">
      <c r="A687" s="21"/>
      <c r="B687" s="22"/>
      <c r="C687" s="22"/>
    </row>
    <row r="688" ht="14.25" customHeight="1">
      <c r="A688" s="21"/>
      <c r="B688" s="22"/>
      <c r="C688" s="22"/>
    </row>
    <row r="689" ht="14.25" customHeight="1">
      <c r="A689" s="21"/>
      <c r="B689" s="22"/>
      <c r="C689" s="22"/>
    </row>
    <row r="690" ht="14.25" customHeight="1">
      <c r="A690" s="21"/>
      <c r="B690" s="22"/>
      <c r="C690" s="22"/>
    </row>
    <row r="691" ht="14.25" customHeight="1">
      <c r="A691" s="21"/>
      <c r="B691" s="22"/>
      <c r="C691" s="22"/>
    </row>
    <row r="692" ht="14.25" customHeight="1">
      <c r="A692" s="21"/>
      <c r="B692" s="22"/>
      <c r="C692" s="22"/>
    </row>
    <row r="693" ht="14.25" customHeight="1">
      <c r="A693" s="21"/>
      <c r="B693" s="22"/>
      <c r="C693" s="22"/>
    </row>
    <row r="694" ht="14.25" customHeight="1">
      <c r="A694" s="21"/>
      <c r="B694" s="22"/>
      <c r="C694" s="22"/>
    </row>
    <row r="695" ht="14.25" customHeight="1">
      <c r="A695" s="21"/>
      <c r="B695" s="22"/>
      <c r="C695" s="22"/>
    </row>
    <row r="696" ht="14.25" customHeight="1">
      <c r="A696" s="21"/>
      <c r="B696" s="22"/>
      <c r="C696" s="22"/>
    </row>
    <row r="697" ht="14.25" customHeight="1">
      <c r="A697" s="21"/>
      <c r="B697" s="22"/>
      <c r="C697" s="22"/>
    </row>
    <row r="698" ht="14.25" customHeight="1">
      <c r="A698" s="21"/>
      <c r="B698" s="22"/>
      <c r="C698" s="22"/>
    </row>
    <row r="699" ht="14.25" customHeight="1">
      <c r="A699" s="21"/>
      <c r="B699" s="22"/>
      <c r="C699" s="22"/>
    </row>
    <row r="700" ht="14.25" customHeight="1">
      <c r="A700" s="21"/>
      <c r="B700" s="22"/>
      <c r="C700" s="22"/>
    </row>
    <row r="701" ht="14.25" customHeight="1">
      <c r="A701" s="21"/>
      <c r="B701" s="22"/>
      <c r="C701" s="22"/>
    </row>
    <row r="702" ht="14.25" customHeight="1">
      <c r="A702" s="21"/>
      <c r="B702" s="22"/>
      <c r="C702" s="22"/>
    </row>
    <row r="703" ht="14.25" customHeight="1">
      <c r="A703" s="21"/>
      <c r="B703" s="22"/>
      <c r="C703" s="22"/>
    </row>
    <row r="704" ht="14.25" customHeight="1">
      <c r="A704" s="21"/>
      <c r="B704" s="22"/>
      <c r="C704" s="22"/>
    </row>
    <row r="705" ht="14.25" customHeight="1">
      <c r="A705" s="21"/>
      <c r="B705" s="22"/>
      <c r="C705" s="22"/>
    </row>
    <row r="706" ht="14.25" customHeight="1">
      <c r="A706" s="21"/>
      <c r="B706" s="22"/>
      <c r="C706" s="22"/>
    </row>
    <row r="707" ht="14.25" customHeight="1">
      <c r="A707" s="21"/>
      <c r="B707" s="22"/>
      <c r="C707" s="22"/>
    </row>
    <row r="708" ht="14.25" customHeight="1">
      <c r="A708" s="21"/>
      <c r="B708" s="22"/>
      <c r="C708" s="22"/>
    </row>
    <row r="709" ht="14.25" customHeight="1">
      <c r="A709" s="21"/>
      <c r="B709" s="22"/>
      <c r="C709" s="22"/>
    </row>
    <row r="710" ht="14.25" customHeight="1">
      <c r="A710" s="21"/>
      <c r="B710" s="22"/>
      <c r="C710" s="22"/>
    </row>
    <row r="711" ht="14.25" customHeight="1">
      <c r="A711" s="21"/>
      <c r="B711" s="22"/>
      <c r="C711" s="22"/>
    </row>
    <row r="712" ht="14.25" customHeight="1">
      <c r="A712" s="21"/>
      <c r="B712" s="22"/>
      <c r="C712" s="22"/>
    </row>
    <row r="713" ht="14.25" customHeight="1">
      <c r="A713" s="21"/>
      <c r="B713" s="22"/>
      <c r="C713" s="22"/>
    </row>
    <row r="714" ht="14.25" customHeight="1">
      <c r="A714" s="21"/>
      <c r="B714" s="22"/>
      <c r="C714" s="22"/>
    </row>
    <row r="715" ht="14.25" customHeight="1">
      <c r="A715" s="21"/>
      <c r="B715" s="22"/>
      <c r="C715" s="22"/>
    </row>
    <row r="716" ht="14.25" customHeight="1">
      <c r="A716" s="21"/>
      <c r="B716" s="22"/>
      <c r="C716" s="22"/>
    </row>
    <row r="717" ht="14.25" customHeight="1">
      <c r="A717" s="21"/>
      <c r="B717" s="22"/>
      <c r="C717" s="22"/>
    </row>
    <row r="718" ht="14.25" customHeight="1">
      <c r="A718" s="21"/>
      <c r="B718" s="22"/>
      <c r="C718" s="22"/>
    </row>
    <row r="719" ht="14.25" customHeight="1">
      <c r="A719" s="21"/>
      <c r="B719" s="22"/>
      <c r="C719" s="22"/>
    </row>
    <row r="720" ht="14.25" customHeight="1">
      <c r="A720" s="21"/>
      <c r="B720" s="22"/>
      <c r="C720" s="22"/>
    </row>
    <row r="721" ht="14.25" customHeight="1">
      <c r="A721" s="21"/>
      <c r="B721" s="22"/>
      <c r="C721" s="22"/>
    </row>
    <row r="722" ht="14.25" customHeight="1">
      <c r="A722" s="21"/>
      <c r="B722" s="22"/>
      <c r="C722" s="22"/>
    </row>
    <row r="723" ht="14.25" customHeight="1">
      <c r="A723" s="21"/>
      <c r="B723" s="22"/>
      <c r="C723" s="22"/>
    </row>
    <row r="724" ht="14.25" customHeight="1">
      <c r="A724" s="21"/>
      <c r="B724" s="22"/>
      <c r="C724" s="22"/>
    </row>
    <row r="725" ht="14.25" customHeight="1">
      <c r="A725" s="21"/>
      <c r="B725" s="22"/>
      <c r="C725" s="22"/>
    </row>
    <row r="726" ht="14.25" customHeight="1">
      <c r="A726" s="21"/>
      <c r="B726" s="22"/>
      <c r="C726" s="22"/>
    </row>
    <row r="727" ht="14.25" customHeight="1">
      <c r="A727" s="21"/>
      <c r="B727" s="22"/>
      <c r="C727" s="22"/>
    </row>
    <row r="728" ht="14.25" customHeight="1">
      <c r="A728" s="21"/>
      <c r="B728" s="22"/>
      <c r="C728" s="22"/>
    </row>
    <row r="729" ht="14.25" customHeight="1">
      <c r="A729" s="21"/>
      <c r="B729" s="22"/>
      <c r="C729" s="22"/>
    </row>
    <row r="730" ht="14.25" customHeight="1">
      <c r="A730" s="21"/>
      <c r="B730" s="22"/>
      <c r="C730" s="22"/>
    </row>
    <row r="731" ht="14.25" customHeight="1">
      <c r="A731" s="21"/>
      <c r="B731" s="22"/>
      <c r="C731" s="22"/>
    </row>
    <row r="732" ht="14.25" customHeight="1">
      <c r="A732" s="21"/>
      <c r="B732" s="22"/>
      <c r="C732" s="22"/>
    </row>
    <row r="733" ht="14.25" customHeight="1">
      <c r="A733" s="21"/>
      <c r="B733" s="22"/>
      <c r="C733" s="22"/>
    </row>
    <row r="734" ht="14.25" customHeight="1">
      <c r="A734" s="21"/>
      <c r="B734" s="22"/>
      <c r="C734" s="22"/>
    </row>
    <row r="735" ht="14.25" customHeight="1">
      <c r="A735" s="21"/>
      <c r="B735" s="22"/>
      <c r="C735" s="22"/>
    </row>
    <row r="736" ht="14.25" customHeight="1">
      <c r="A736" s="21"/>
      <c r="B736" s="22"/>
      <c r="C736" s="22"/>
    </row>
    <row r="737" ht="14.25" customHeight="1">
      <c r="A737" s="21"/>
      <c r="B737" s="22"/>
      <c r="C737" s="22"/>
    </row>
    <row r="738" ht="14.25" customHeight="1">
      <c r="A738" s="21"/>
      <c r="B738" s="22"/>
      <c r="C738" s="22"/>
    </row>
    <row r="739" ht="14.25" customHeight="1">
      <c r="A739" s="21"/>
      <c r="B739" s="22"/>
      <c r="C739" s="22"/>
    </row>
    <row r="740" ht="14.25" customHeight="1">
      <c r="A740" s="21"/>
      <c r="B740" s="22"/>
      <c r="C740" s="22"/>
    </row>
    <row r="741" ht="14.25" customHeight="1">
      <c r="A741" s="21"/>
      <c r="B741" s="22"/>
      <c r="C741" s="22"/>
    </row>
    <row r="742" ht="14.25" customHeight="1">
      <c r="A742" s="21"/>
      <c r="B742" s="22"/>
      <c r="C742" s="22"/>
    </row>
    <row r="743" ht="14.25" customHeight="1">
      <c r="A743" s="21"/>
      <c r="B743" s="22"/>
      <c r="C743" s="22"/>
    </row>
    <row r="744" ht="14.25" customHeight="1">
      <c r="A744" s="21"/>
      <c r="B744" s="22"/>
      <c r="C744" s="22"/>
    </row>
    <row r="745" ht="14.25" customHeight="1">
      <c r="A745" s="21"/>
      <c r="B745" s="22"/>
      <c r="C745" s="22"/>
    </row>
    <row r="746" ht="14.25" customHeight="1">
      <c r="A746" s="21"/>
      <c r="B746" s="22"/>
      <c r="C746" s="22"/>
    </row>
    <row r="747" ht="14.25" customHeight="1">
      <c r="A747" s="21"/>
      <c r="B747" s="22"/>
      <c r="C747" s="22"/>
    </row>
    <row r="748" ht="14.25" customHeight="1">
      <c r="A748" s="21"/>
      <c r="B748" s="22"/>
      <c r="C748" s="22"/>
    </row>
    <row r="749" ht="14.25" customHeight="1">
      <c r="A749" s="21"/>
      <c r="B749" s="22"/>
      <c r="C749" s="22"/>
    </row>
    <row r="750" ht="14.25" customHeight="1">
      <c r="A750" s="21"/>
      <c r="B750" s="22"/>
      <c r="C750" s="22"/>
    </row>
    <row r="751" ht="14.25" customHeight="1">
      <c r="A751" s="21"/>
      <c r="B751" s="22"/>
      <c r="C751" s="22"/>
    </row>
    <row r="752" ht="14.25" customHeight="1">
      <c r="A752" s="21"/>
      <c r="B752" s="22"/>
      <c r="C752" s="22"/>
    </row>
    <row r="753" ht="14.25" customHeight="1">
      <c r="A753" s="21"/>
      <c r="B753" s="22"/>
      <c r="C753" s="22"/>
    </row>
    <row r="754" ht="14.25" customHeight="1">
      <c r="A754" s="21"/>
      <c r="B754" s="22"/>
      <c r="C754" s="22"/>
    </row>
    <row r="755" ht="14.25" customHeight="1">
      <c r="A755" s="21"/>
      <c r="B755" s="22"/>
      <c r="C755" s="22"/>
    </row>
    <row r="756" ht="14.25" customHeight="1">
      <c r="A756" s="21"/>
      <c r="B756" s="22"/>
      <c r="C756" s="22"/>
    </row>
    <row r="757" ht="14.25" customHeight="1">
      <c r="A757" s="21"/>
      <c r="B757" s="22"/>
      <c r="C757" s="22"/>
    </row>
    <row r="758" ht="14.25" customHeight="1">
      <c r="A758" s="21"/>
      <c r="B758" s="22"/>
      <c r="C758" s="22"/>
    </row>
    <row r="759" ht="14.25" customHeight="1">
      <c r="A759" s="21"/>
      <c r="B759" s="22"/>
      <c r="C759" s="22"/>
    </row>
    <row r="760" ht="14.25" customHeight="1">
      <c r="A760" s="21"/>
      <c r="B760" s="22"/>
      <c r="C760" s="22"/>
    </row>
    <row r="761" ht="14.25" customHeight="1">
      <c r="A761" s="21"/>
      <c r="B761" s="22"/>
      <c r="C761" s="22"/>
    </row>
    <row r="762" ht="14.25" customHeight="1">
      <c r="A762" s="21"/>
      <c r="B762" s="22"/>
      <c r="C762" s="22"/>
    </row>
    <row r="763" ht="14.25" customHeight="1">
      <c r="A763" s="21"/>
      <c r="B763" s="22"/>
      <c r="C763" s="22"/>
    </row>
    <row r="764" ht="14.25" customHeight="1">
      <c r="A764" s="21"/>
      <c r="B764" s="22"/>
      <c r="C764" s="22"/>
    </row>
    <row r="765" ht="14.25" customHeight="1">
      <c r="A765" s="21"/>
      <c r="B765" s="22"/>
      <c r="C765" s="22"/>
    </row>
    <row r="766" ht="14.25" customHeight="1">
      <c r="A766" s="21"/>
      <c r="B766" s="22"/>
      <c r="C766" s="22"/>
    </row>
    <row r="767" ht="14.25" customHeight="1">
      <c r="A767" s="21"/>
      <c r="B767" s="22"/>
      <c r="C767" s="22"/>
    </row>
    <row r="768" ht="14.25" customHeight="1">
      <c r="A768" s="21"/>
      <c r="B768" s="22"/>
      <c r="C768" s="22"/>
    </row>
    <row r="769" ht="14.25" customHeight="1">
      <c r="A769" s="21"/>
      <c r="B769" s="22"/>
      <c r="C769" s="22"/>
    </row>
    <row r="770" ht="14.25" customHeight="1">
      <c r="A770" s="21"/>
      <c r="B770" s="22"/>
      <c r="C770" s="22"/>
    </row>
    <row r="771" ht="14.25" customHeight="1">
      <c r="A771" s="21"/>
      <c r="B771" s="22"/>
      <c r="C771" s="22"/>
    </row>
    <row r="772" ht="14.25" customHeight="1">
      <c r="A772" s="21"/>
      <c r="B772" s="22"/>
      <c r="C772" s="22"/>
    </row>
    <row r="773" ht="14.25" customHeight="1">
      <c r="A773" s="21"/>
      <c r="B773" s="22"/>
      <c r="C773" s="22"/>
    </row>
    <row r="774" ht="14.25" customHeight="1">
      <c r="A774" s="21"/>
      <c r="B774" s="22"/>
      <c r="C774" s="22"/>
    </row>
    <row r="775" ht="14.25" customHeight="1">
      <c r="A775" s="21"/>
      <c r="B775" s="22"/>
      <c r="C775" s="22"/>
    </row>
    <row r="776" ht="14.25" customHeight="1">
      <c r="A776" s="21"/>
      <c r="B776" s="22"/>
      <c r="C776" s="22"/>
    </row>
    <row r="777" ht="14.25" customHeight="1">
      <c r="A777" s="21"/>
      <c r="B777" s="22"/>
      <c r="C777" s="22"/>
    </row>
    <row r="778" ht="14.25" customHeight="1">
      <c r="A778" s="21"/>
      <c r="B778" s="22"/>
      <c r="C778" s="22"/>
    </row>
    <row r="779" ht="14.25" customHeight="1">
      <c r="A779" s="21"/>
      <c r="B779" s="22"/>
      <c r="C779" s="22"/>
    </row>
    <row r="780" ht="14.25" customHeight="1">
      <c r="A780" s="21"/>
      <c r="B780" s="22"/>
      <c r="C780" s="22"/>
    </row>
    <row r="781" ht="14.25" customHeight="1">
      <c r="A781" s="21"/>
      <c r="B781" s="22"/>
      <c r="C781" s="22"/>
    </row>
    <row r="782" ht="14.25" customHeight="1">
      <c r="A782" s="21"/>
      <c r="B782" s="22"/>
      <c r="C782" s="22"/>
    </row>
    <row r="783" ht="14.25" customHeight="1">
      <c r="A783" s="21"/>
      <c r="B783" s="22"/>
      <c r="C783" s="22"/>
    </row>
    <row r="784" ht="14.25" customHeight="1">
      <c r="A784" s="21"/>
      <c r="B784" s="22"/>
      <c r="C784" s="22"/>
    </row>
    <row r="785" ht="14.25" customHeight="1">
      <c r="A785" s="21"/>
      <c r="B785" s="22"/>
      <c r="C785" s="22"/>
    </row>
    <row r="786" ht="14.25" customHeight="1">
      <c r="A786" s="21"/>
      <c r="B786" s="22"/>
      <c r="C786" s="22"/>
    </row>
    <row r="787" ht="14.25" customHeight="1">
      <c r="A787" s="21"/>
      <c r="B787" s="22"/>
      <c r="C787" s="22"/>
    </row>
    <row r="788" ht="14.25" customHeight="1">
      <c r="A788" s="21"/>
      <c r="B788" s="22"/>
      <c r="C788" s="22"/>
    </row>
    <row r="789" ht="14.25" customHeight="1">
      <c r="A789" s="21"/>
      <c r="B789" s="22"/>
      <c r="C789" s="22"/>
    </row>
    <row r="790" ht="14.25" customHeight="1">
      <c r="A790" s="21"/>
      <c r="B790" s="22"/>
      <c r="C790" s="22"/>
    </row>
    <row r="791" ht="14.25" customHeight="1">
      <c r="A791" s="21"/>
      <c r="B791" s="22"/>
      <c r="C791" s="22"/>
    </row>
    <row r="792" ht="14.25" customHeight="1">
      <c r="A792" s="21"/>
      <c r="B792" s="22"/>
      <c r="C792" s="22"/>
    </row>
    <row r="793" ht="14.25" customHeight="1">
      <c r="A793" s="21"/>
      <c r="B793" s="22"/>
      <c r="C793" s="22"/>
    </row>
    <row r="794" ht="14.25" customHeight="1">
      <c r="A794" s="21"/>
      <c r="B794" s="22"/>
      <c r="C794" s="22"/>
    </row>
    <row r="795" ht="14.25" customHeight="1">
      <c r="A795" s="21"/>
      <c r="B795" s="22"/>
      <c r="C795" s="22"/>
    </row>
    <row r="796" ht="14.25" customHeight="1">
      <c r="A796" s="21"/>
      <c r="B796" s="22"/>
      <c r="C796" s="22"/>
    </row>
    <row r="797" ht="14.25" customHeight="1">
      <c r="A797" s="21"/>
      <c r="B797" s="22"/>
      <c r="C797" s="22"/>
    </row>
    <row r="798" ht="14.25" customHeight="1">
      <c r="A798" s="21"/>
      <c r="B798" s="22"/>
      <c r="C798" s="22"/>
    </row>
    <row r="799" ht="14.25" customHeight="1">
      <c r="A799" s="21"/>
      <c r="B799" s="22"/>
      <c r="C799" s="22"/>
    </row>
    <row r="800" ht="14.25" customHeight="1">
      <c r="A800" s="21"/>
      <c r="B800" s="22"/>
      <c r="C800" s="22"/>
    </row>
    <row r="801" ht="14.25" customHeight="1">
      <c r="A801" s="21"/>
      <c r="B801" s="22"/>
      <c r="C801" s="22"/>
    </row>
    <row r="802" ht="14.25" customHeight="1">
      <c r="A802" s="21"/>
      <c r="B802" s="22"/>
      <c r="C802" s="22"/>
    </row>
    <row r="803" ht="14.25" customHeight="1">
      <c r="A803" s="21"/>
      <c r="B803" s="22"/>
      <c r="C803" s="22"/>
    </row>
    <row r="804" ht="14.25" customHeight="1">
      <c r="A804" s="21"/>
      <c r="B804" s="22"/>
      <c r="C804" s="22"/>
    </row>
    <row r="805" ht="14.25" customHeight="1">
      <c r="A805" s="21"/>
      <c r="B805" s="22"/>
      <c r="C805" s="22"/>
    </row>
    <row r="806" ht="14.25" customHeight="1">
      <c r="A806" s="21"/>
      <c r="B806" s="22"/>
      <c r="C806" s="22"/>
    </row>
    <row r="807" ht="14.25" customHeight="1">
      <c r="A807" s="21"/>
      <c r="B807" s="22"/>
      <c r="C807" s="22"/>
    </row>
    <row r="808" ht="14.25" customHeight="1">
      <c r="A808" s="21"/>
      <c r="B808" s="22"/>
      <c r="C808" s="22"/>
    </row>
    <row r="809" ht="14.25" customHeight="1">
      <c r="A809" s="21"/>
      <c r="B809" s="22"/>
      <c r="C809" s="22"/>
    </row>
    <row r="810" ht="14.25" customHeight="1">
      <c r="A810" s="21"/>
      <c r="B810" s="22"/>
      <c r="C810" s="22"/>
    </row>
    <row r="811" ht="14.25" customHeight="1">
      <c r="A811" s="21"/>
      <c r="B811" s="22"/>
      <c r="C811" s="22"/>
    </row>
    <row r="812" ht="14.25" customHeight="1">
      <c r="A812" s="21"/>
      <c r="B812" s="22"/>
      <c r="C812" s="22"/>
    </row>
    <row r="813" ht="14.25" customHeight="1">
      <c r="A813" s="21"/>
      <c r="B813" s="22"/>
      <c r="C813" s="22"/>
    </row>
    <row r="814" ht="14.25" customHeight="1">
      <c r="A814" s="21"/>
      <c r="B814" s="22"/>
      <c r="C814" s="22"/>
    </row>
    <row r="815" ht="14.25" customHeight="1">
      <c r="A815" s="21"/>
      <c r="B815" s="22"/>
      <c r="C815" s="22"/>
    </row>
    <row r="816" ht="14.25" customHeight="1">
      <c r="A816" s="21"/>
      <c r="B816" s="22"/>
      <c r="C816" s="22"/>
    </row>
    <row r="817" ht="14.25" customHeight="1">
      <c r="A817" s="21"/>
      <c r="B817" s="22"/>
      <c r="C817" s="22"/>
    </row>
    <row r="818" ht="14.25" customHeight="1">
      <c r="A818" s="21"/>
      <c r="B818" s="22"/>
      <c r="C818" s="22"/>
    </row>
    <row r="819" ht="14.25" customHeight="1">
      <c r="A819" s="21"/>
      <c r="B819" s="22"/>
      <c r="C819" s="22"/>
    </row>
    <row r="820" ht="14.25" customHeight="1">
      <c r="A820" s="21"/>
      <c r="B820" s="22"/>
      <c r="C820" s="22"/>
    </row>
    <row r="821" ht="14.25" customHeight="1">
      <c r="A821" s="21"/>
      <c r="B821" s="22"/>
      <c r="C821" s="22"/>
    </row>
    <row r="822" ht="14.25" customHeight="1">
      <c r="A822" s="21"/>
      <c r="B822" s="22"/>
      <c r="C822" s="22"/>
    </row>
    <row r="823" ht="14.25" customHeight="1">
      <c r="A823" s="21"/>
      <c r="B823" s="22"/>
      <c r="C823" s="22"/>
    </row>
    <row r="824" ht="14.25" customHeight="1">
      <c r="A824" s="21"/>
      <c r="B824" s="22"/>
      <c r="C824" s="22"/>
    </row>
    <row r="825" ht="14.25" customHeight="1">
      <c r="A825" s="21"/>
      <c r="B825" s="22"/>
      <c r="C825" s="22"/>
    </row>
    <row r="826" ht="14.25" customHeight="1">
      <c r="A826" s="21"/>
      <c r="B826" s="22"/>
      <c r="C826" s="22"/>
    </row>
    <row r="827" ht="14.25" customHeight="1">
      <c r="A827" s="21"/>
      <c r="B827" s="22"/>
      <c r="C827" s="22"/>
    </row>
    <row r="828" ht="14.25" customHeight="1">
      <c r="A828" s="21"/>
      <c r="B828" s="22"/>
      <c r="C828" s="22"/>
    </row>
    <row r="829" ht="14.25" customHeight="1">
      <c r="A829" s="21"/>
      <c r="B829" s="22"/>
      <c r="C829" s="22"/>
    </row>
    <row r="830" ht="14.25" customHeight="1">
      <c r="A830" s="21"/>
      <c r="B830" s="22"/>
      <c r="C830" s="22"/>
    </row>
    <row r="831" ht="14.25" customHeight="1">
      <c r="A831" s="21"/>
      <c r="B831" s="22"/>
      <c r="C831" s="22"/>
    </row>
    <row r="832" ht="14.25" customHeight="1">
      <c r="A832" s="21"/>
      <c r="B832" s="22"/>
      <c r="C832" s="22"/>
    </row>
    <row r="833" ht="14.25" customHeight="1">
      <c r="A833" s="21"/>
      <c r="B833" s="22"/>
      <c r="C833" s="22"/>
    </row>
    <row r="834" ht="14.25" customHeight="1">
      <c r="A834" s="21"/>
      <c r="B834" s="22"/>
      <c r="C834" s="22"/>
    </row>
    <row r="835" ht="14.25" customHeight="1">
      <c r="A835" s="21"/>
      <c r="B835" s="22"/>
      <c r="C835" s="22"/>
    </row>
    <row r="836" ht="14.25" customHeight="1">
      <c r="A836" s="21"/>
      <c r="B836" s="22"/>
      <c r="C836" s="22"/>
    </row>
    <row r="837" ht="14.25" customHeight="1">
      <c r="A837" s="21"/>
      <c r="B837" s="22"/>
      <c r="C837" s="22"/>
    </row>
    <row r="838" ht="14.25" customHeight="1">
      <c r="A838" s="21"/>
      <c r="B838" s="22"/>
      <c r="C838" s="22"/>
    </row>
    <row r="839" ht="14.25" customHeight="1">
      <c r="A839" s="21"/>
      <c r="B839" s="22"/>
      <c r="C839" s="22"/>
    </row>
    <row r="840" ht="14.25" customHeight="1">
      <c r="A840" s="21"/>
      <c r="B840" s="22"/>
      <c r="C840" s="22"/>
    </row>
    <row r="841" ht="14.25" customHeight="1">
      <c r="A841" s="21"/>
      <c r="B841" s="22"/>
      <c r="C841" s="22"/>
    </row>
    <row r="842" ht="14.25" customHeight="1">
      <c r="A842" s="21"/>
      <c r="B842" s="22"/>
      <c r="C842" s="22"/>
    </row>
    <row r="843" ht="14.25" customHeight="1">
      <c r="A843" s="21"/>
      <c r="B843" s="22"/>
      <c r="C843" s="22"/>
    </row>
    <row r="844" ht="14.25" customHeight="1">
      <c r="A844" s="21"/>
      <c r="B844" s="22"/>
      <c r="C844" s="22"/>
    </row>
    <row r="845" ht="14.25" customHeight="1">
      <c r="A845" s="21"/>
      <c r="B845" s="22"/>
      <c r="C845" s="22"/>
    </row>
    <row r="846" ht="14.25" customHeight="1">
      <c r="A846" s="21"/>
      <c r="B846" s="22"/>
      <c r="C846" s="22"/>
    </row>
    <row r="847" ht="14.25" customHeight="1">
      <c r="A847" s="21"/>
      <c r="B847" s="22"/>
      <c r="C847" s="22"/>
    </row>
    <row r="848" ht="14.25" customHeight="1">
      <c r="A848" s="21"/>
      <c r="B848" s="22"/>
      <c r="C848" s="22"/>
    </row>
    <row r="849" ht="14.25" customHeight="1">
      <c r="A849" s="21"/>
      <c r="B849" s="22"/>
      <c r="C849" s="22"/>
    </row>
    <row r="850" ht="14.25" customHeight="1">
      <c r="A850" s="21"/>
      <c r="B850" s="22"/>
      <c r="C850" s="22"/>
    </row>
    <row r="851" ht="14.25" customHeight="1">
      <c r="A851" s="21"/>
      <c r="B851" s="22"/>
      <c r="C851" s="22"/>
    </row>
    <row r="852" ht="14.25" customHeight="1">
      <c r="A852" s="21"/>
      <c r="B852" s="22"/>
      <c r="C852" s="22"/>
    </row>
    <row r="853" ht="14.25" customHeight="1">
      <c r="A853" s="21"/>
      <c r="B853" s="22"/>
      <c r="C853" s="22"/>
    </row>
    <row r="854" ht="14.25" customHeight="1">
      <c r="A854" s="21"/>
      <c r="B854" s="22"/>
      <c r="C854" s="22"/>
    </row>
    <row r="855" ht="14.25" customHeight="1">
      <c r="A855" s="21"/>
      <c r="B855" s="22"/>
      <c r="C855" s="22"/>
    </row>
    <row r="856" ht="14.25" customHeight="1">
      <c r="A856" s="21"/>
      <c r="B856" s="22"/>
      <c r="C856" s="22"/>
    </row>
    <row r="857" ht="14.25" customHeight="1">
      <c r="A857" s="21"/>
      <c r="B857" s="22"/>
      <c r="C857" s="22"/>
    </row>
    <row r="858" ht="14.25" customHeight="1">
      <c r="A858" s="21"/>
      <c r="B858" s="22"/>
      <c r="C858" s="22"/>
    </row>
    <row r="859" ht="14.25" customHeight="1">
      <c r="A859" s="21"/>
      <c r="B859" s="22"/>
      <c r="C859" s="22"/>
    </row>
    <row r="860" ht="14.25" customHeight="1">
      <c r="A860" s="21"/>
      <c r="B860" s="22"/>
      <c r="C860" s="22"/>
    </row>
    <row r="861" ht="14.25" customHeight="1">
      <c r="A861" s="21"/>
      <c r="B861" s="22"/>
      <c r="C861" s="22"/>
    </row>
    <row r="862" ht="14.25" customHeight="1">
      <c r="A862" s="21"/>
      <c r="B862" s="22"/>
      <c r="C862" s="22"/>
    </row>
    <row r="863" ht="14.25" customHeight="1">
      <c r="A863" s="21"/>
      <c r="B863" s="22"/>
      <c r="C863" s="22"/>
    </row>
    <row r="864" ht="14.25" customHeight="1">
      <c r="A864" s="21"/>
      <c r="B864" s="22"/>
      <c r="C864" s="22"/>
    </row>
    <row r="865" ht="14.25" customHeight="1">
      <c r="A865" s="21"/>
      <c r="B865" s="22"/>
      <c r="C865" s="22"/>
    </row>
    <row r="866" ht="14.25" customHeight="1">
      <c r="A866" s="21"/>
      <c r="B866" s="22"/>
      <c r="C866" s="22"/>
    </row>
    <row r="867" ht="14.25" customHeight="1">
      <c r="A867" s="21"/>
      <c r="B867" s="22"/>
      <c r="C867" s="22"/>
    </row>
    <row r="868" ht="14.25" customHeight="1">
      <c r="A868" s="21"/>
      <c r="B868" s="22"/>
      <c r="C868" s="22"/>
    </row>
    <row r="869" ht="14.25" customHeight="1">
      <c r="A869" s="21"/>
      <c r="B869" s="22"/>
      <c r="C869" s="22"/>
    </row>
    <row r="870" ht="14.25" customHeight="1">
      <c r="A870" s="21"/>
      <c r="B870" s="22"/>
      <c r="C870" s="22"/>
    </row>
    <row r="871" ht="14.25" customHeight="1">
      <c r="A871" s="21"/>
      <c r="B871" s="22"/>
      <c r="C871" s="22"/>
    </row>
    <row r="872" ht="14.25" customHeight="1">
      <c r="A872" s="21"/>
      <c r="B872" s="22"/>
      <c r="C872" s="22"/>
    </row>
    <row r="873" ht="14.25" customHeight="1">
      <c r="A873" s="21"/>
      <c r="B873" s="22"/>
      <c r="C873" s="22"/>
    </row>
    <row r="874" ht="14.25" customHeight="1">
      <c r="A874" s="21"/>
      <c r="B874" s="22"/>
      <c r="C874" s="22"/>
    </row>
    <row r="875" ht="14.25" customHeight="1">
      <c r="A875" s="21"/>
      <c r="B875" s="22"/>
      <c r="C875" s="22"/>
    </row>
    <row r="876" ht="14.25" customHeight="1">
      <c r="A876" s="21"/>
      <c r="B876" s="22"/>
      <c r="C876" s="22"/>
    </row>
    <row r="877" ht="14.25" customHeight="1">
      <c r="A877" s="21"/>
      <c r="B877" s="22"/>
      <c r="C877" s="22"/>
    </row>
    <row r="878" ht="14.25" customHeight="1">
      <c r="A878" s="21"/>
      <c r="B878" s="22"/>
      <c r="C878" s="22"/>
    </row>
    <row r="879" ht="14.25" customHeight="1">
      <c r="A879" s="21"/>
      <c r="B879" s="22"/>
      <c r="C879" s="22"/>
    </row>
    <row r="880" ht="14.25" customHeight="1">
      <c r="A880" s="21"/>
      <c r="B880" s="22"/>
      <c r="C880" s="22"/>
    </row>
    <row r="881" ht="14.25" customHeight="1">
      <c r="A881" s="21"/>
      <c r="B881" s="22"/>
      <c r="C881" s="22"/>
    </row>
    <row r="882" ht="14.25" customHeight="1">
      <c r="A882" s="21"/>
      <c r="B882" s="22"/>
      <c r="C882" s="22"/>
    </row>
    <row r="883" ht="14.25" customHeight="1">
      <c r="A883" s="21"/>
      <c r="B883" s="22"/>
      <c r="C883" s="22"/>
    </row>
    <row r="884" ht="14.25" customHeight="1">
      <c r="A884" s="21"/>
      <c r="B884" s="22"/>
      <c r="C884" s="22"/>
    </row>
    <row r="885" ht="14.25" customHeight="1">
      <c r="A885" s="21"/>
      <c r="B885" s="22"/>
      <c r="C885" s="22"/>
    </row>
    <row r="886" ht="14.25" customHeight="1">
      <c r="A886" s="21"/>
      <c r="B886" s="22"/>
      <c r="C886" s="22"/>
    </row>
    <row r="887" ht="14.25" customHeight="1">
      <c r="A887" s="21"/>
      <c r="B887" s="22"/>
      <c r="C887" s="22"/>
    </row>
    <row r="888" ht="14.25" customHeight="1">
      <c r="A888" s="21"/>
      <c r="B888" s="22"/>
      <c r="C888" s="22"/>
    </row>
    <row r="889" ht="14.25" customHeight="1">
      <c r="A889" s="21"/>
      <c r="B889" s="22"/>
      <c r="C889" s="22"/>
    </row>
    <row r="890" ht="14.25" customHeight="1">
      <c r="A890" s="21"/>
      <c r="B890" s="22"/>
      <c r="C890" s="22"/>
    </row>
    <row r="891" ht="14.25" customHeight="1">
      <c r="A891" s="21"/>
      <c r="B891" s="22"/>
      <c r="C891" s="22"/>
    </row>
    <row r="892" ht="14.25" customHeight="1">
      <c r="A892" s="21"/>
      <c r="B892" s="22"/>
      <c r="C892" s="22"/>
    </row>
    <row r="893" ht="14.25" customHeight="1">
      <c r="A893" s="21"/>
      <c r="B893" s="22"/>
      <c r="C893" s="22"/>
    </row>
    <row r="894" ht="14.25" customHeight="1">
      <c r="A894" s="21"/>
      <c r="B894" s="22"/>
      <c r="C894" s="22"/>
    </row>
    <row r="895" ht="14.25" customHeight="1">
      <c r="A895" s="21"/>
      <c r="B895" s="22"/>
      <c r="C895" s="22"/>
    </row>
    <row r="896" ht="14.25" customHeight="1">
      <c r="A896" s="21"/>
      <c r="B896" s="22"/>
      <c r="C896" s="22"/>
    </row>
    <row r="897" ht="14.25" customHeight="1">
      <c r="A897" s="21"/>
      <c r="B897" s="22"/>
      <c r="C897" s="22"/>
    </row>
    <row r="898" ht="14.25" customHeight="1">
      <c r="A898" s="21"/>
      <c r="B898" s="22"/>
      <c r="C898" s="22"/>
    </row>
    <row r="899" ht="14.25" customHeight="1">
      <c r="A899" s="21"/>
      <c r="B899" s="22"/>
      <c r="C899" s="22"/>
    </row>
    <row r="900" ht="14.25" customHeight="1">
      <c r="A900" s="21"/>
      <c r="B900" s="22"/>
      <c r="C900" s="22"/>
    </row>
    <row r="901" ht="14.25" customHeight="1">
      <c r="A901" s="21"/>
      <c r="B901" s="22"/>
      <c r="C901" s="22"/>
    </row>
    <row r="902" ht="14.25" customHeight="1">
      <c r="A902" s="21"/>
      <c r="B902" s="22"/>
      <c r="C902" s="22"/>
    </row>
    <row r="903" ht="14.25" customHeight="1">
      <c r="A903" s="21"/>
      <c r="B903" s="22"/>
      <c r="C903" s="22"/>
    </row>
    <row r="904" ht="14.25" customHeight="1">
      <c r="A904" s="21"/>
      <c r="B904" s="22"/>
      <c r="C904" s="22"/>
    </row>
    <row r="905" ht="14.25" customHeight="1">
      <c r="A905" s="21"/>
      <c r="B905" s="22"/>
      <c r="C905" s="22"/>
    </row>
    <row r="906" ht="14.25" customHeight="1">
      <c r="A906" s="21"/>
      <c r="B906" s="22"/>
      <c r="C906" s="22"/>
    </row>
    <row r="907" ht="14.25" customHeight="1">
      <c r="A907" s="21"/>
      <c r="B907" s="22"/>
      <c r="C907" s="22"/>
    </row>
    <row r="908" ht="14.25" customHeight="1">
      <c r="A908" s="21"/>
      <c r="B908" s="22"/>
      <c r="C908" s="22"/>
    </row>
    <row r="909" ht="14.25" customHeight="1">
      <c r="A909" s="21"/>
      <c r="B909" s="22"/>
      <c r="C909" s="22"/>
    </row>
    <row r="910" ht="14.25" customHeight="1">
      <c r="A910" s="21"/>
      <c r="B910" s="22"/>
      <c r="C910" s="22"/>
    </row>
    <row r="911" ht="14.25" customHeight="1">
      <c r="A911" s="21"/>
      <c r="B911" s="22"/>
      <c r="C911" s="22"/>
    </row>
    <row r="912" ht="14.25" customHeight="1">
      <c r="A912" s="21"/>
      <c r="B912" s="22"/>
      <c r="C912" s="22"/>
    </row>
    <row r="913" ht="14.25" customHeight="1">
      <c r="A913" s="21"/>
      <c r="B913" s="22"/>
      <c r="C913" s="22"/>
    </row>
    <row r="914" ht="14.25" customHeight="1">
      <c r="A914" s="21"/>
      <c r="B914" s="22"/>
      <c r="C914" s="22"/>
    </row>
    <row r="915" ht="14.25" customHeight="1">
      <c r="A915" s="21"/>
      <c r="B915" s="22"/>
      <c r="C915" s="22"/>
    </row>
    <row r="916" ht="14.25" customHeight="1">
      <c r="A916" s="21"/>
      <c r="B916" s="22"/>
      <c r="C916" s="22"/>
    </row>
    <row r="917" ht="14.25" customHeight="1">
      <c r="A917" s="21"/>
      <c r="B917" s="22"/>
      <c r="C917" s="22"/>
    </row>
    <row r="918" ht="14.25" customHeight="1">
      <c r="A918" s="21"/>
      <c r="B918" s="22"/>
      <c r="C918" s="22"/>
    </row>
    <row r="919" ht="14.25" customHeight="1">
      <c r="A919" s="21"/>
      <c r="B919" s="22"/>
      <c r="C919" s="22"/>
    </row>
    <row r="920" ht="14.25" customHeight="1">
      <c r="A920" s="21"/>
      <c r="B920" s="22"/>
      <c r="C920" s="22"/>
    </row>
    <row r="921" ht="14.25" customHeight="1">
      <c r="A921" s="21"/>
      <c r="B921" s="22"/>
      <c r="C921" s="22"/>
    </row>
    <row r="922" ht="14.25" customHeight="1">
      <c r="A922" s="21"/>
      <c r="B922" s="22"/>
      <c r="C922" s="22"/>
    </row>
    <row r="923" ht="14.25" customHeight="1">
      <c r="A923" s="21"/>
      <c r="B923" s="22"/>
      <c r="C923" s="22"/>
    </row>
    <row r="924" ht="14.25" customHeight="1">
      <c r="A924" s="21"/>
      <c r="B924" s="22"/>
      <c r="C924" s="22"/>
    </row>
    <row r="925" ht="14.25" customHeight="1">
      <c r="A925" s="21"/>
      <c r="B925" s="22"/>
      <c r="C925" s="22"/>
    </row>
    <row r="926" ht="14.25" customHeight="1">
      <c r="A926" s="21"/>
      <c r="B926" s="22"/>
      <c r="C926" s="22"/>
    </row>
    <row r="927" ht="14.25" customHeight="1">
      <c r="A927" s="21"/>
      <c r="B927" s="22"/>
      <c r="C927" s="22"/>
    </row>
    <row r="928" ht="14.25" customHeight="1">
      <c r="A928" s="21"/>
      <c r="B928" s="22"/>
      <c r="C928" s="22"/>
    </row>
    <row r="929" ht="14.25" customHeight="1">
      <c r="A929" s="21"/>
      <c r="B929" s="22"/>
      <c r="C929" s="22"/>
    </row>
    <row r="930" ht="14.25" customHeight="1">
      <c r="A930" s="21"/>
      <c r="B930" s="22"/>
      <c r="C930" s="22"/>
    </row>
    <row r="931" ht="14.25" customHeight="1">
      <c r="A931" s="21"/>
      <c r="B931" s="22"/>
      <c r="C931" s="22"/>
    </row>
    <row r="932" ht="14.25" customHeight="1">
      <c r="A932" s="21"/>
      <c r="B932" s="22"/>
      <c r="C932" s="22"/>
    </row>
    <row r="933" ht="14.25" customHeight="1">
      <c r="A933" s="21"/>
      <c r="B933" s="22"/>
      <c r="C933" s="22"/>
    </row>
    <row r="934" ht="14.25" customHeight="1">
      <c r="A934" s="21"/>
      <c r="B934" s="22"/>
      <c r="C934" s="22"/>
    </row>
    <row r="935" ht="14.25" customHeight="1">
      <c r="A935" s="21"/>
      <c r="B935" s="22"/>
      <c r="C935" s="22"/>
    </row>
    <row r="936" ht="14.25" customHeight="1">
      <c r="A936" s="21"/>
      <c r="B936" s="22"/>
      <c r="C936" s="22"/>
    </row>
    <row r="937" ht="14.25" customHeight="1">
      <c r="A937" s="21"/>
      <c r="B937" s="22"/>
      <c r="C937" s="22"/>
    </row>
    <row r="938" ht="14.25" customHeight="1">
      <c r="A938" s="21"/>
      <c r="B938" s="22"/>
      <c r="C938" s="22"/>
    </row>
    <row r="939" ht="14.25" customHeight="1">
      <c r="A939" s="21"/>
      <c r="B939" s="22"/>
      <c r="C939" s="22"/>
    </row>
    <row r="940" ht="14.25" customHeight="1">
      <c r="A940" s="21"/>
      <c r="B940" s="22"/>
      <c r="C940" s="22"/>
    </row>
    <row r="941" ht="14.25" customHeight="1">
      <c r="A941" s="21"/>
      <c r="B941" s="22"/>
      <c r="C941" s="22"/>
    </row>
    <row r="942" ht="14.25" customHeight="1">
      <c r="A942" s="21"/>
      <c r="B942" s="22"/>
      <c r="C942" s="22"/>
    </row>
    <row r="943" ht="14.25" customHeight="1">
      <c r="A943" s="21"/>
      <c r="B943" s="22"/>
      <c r="C943" s="22"/>
    </row>
    <row r="944" ht="14.25" customHeight="1">
      <c r="A944" s="21"/>
      <c r="B944" s="22"/>
      <c r="C944" s="22"/>
    </row>
    <row r="945" ht="14.25" customHeight="1">
      <c r="A945" s="21"/>
      <c r="B945" s="22"/>
      <c r="C945" s="22"/>
    </row>
    <row r="946" ht="14.25" customHeight="1">
      <c r="A946" s="21"/>
      <c r="B946" s="22"/>
      <c r="C946" s="22"/>
    </row>
    <row r="947" ht="14.25" customHeight="1">
      <c r="A947" s="21"/>
      <c r="B947" s="22"/>
      <c r="C947" s="22"/>
    </row>
    <row r="948" ht="14.25" customHeight="1">
      <c r="A948" s="21"/>
      <c r="B948" s="22"/>
      <c r="C948" s="22"/>
    </row>
    <row r="949" ht="14.25" customHeight="1">
      <c r="A949" s="21"/>
      <c r="B949" s="22"/>
      <c r="C949" s="22"/>
    </row>
    <row r="950" ht="14.25" customHeight="1">
      <c r="A950" s="21"/>
      <c r="B950" s="22"/>
      <c r="C950" s="22"/>
    </row>
    <row r="951" ht="14.25" customHeight="1">
      <c r="A951" s="21"/>
      <c r="B951" s="22"/>
      <c r="C951" s="22"/>
    </row>
    <row r="952" ht="14.25" customHeight="1">
      <c r="A952" s="21"/>
      <c r="B952" s="22"/>
      <c r="C952" s="22"/>
    </row>
    <row r="953" ht="14.25" customHeight="1">
      <c r="A953" s="21"/>
      <c r="B953" s="22"/>
      <c r="C953" s="22"/>
    </row>
    <row r="954" ht="14.25" customHeight="1">
      <c r="A954" s="21"/>
      <c r="B954" s="22"/>
      <c r="C954" s="22"/>
    </row>
    <row r="955" ht="14.25" customHeight="1">
      <c r="A955" s="21"/>
      <c r="B955" s="22"/>
      <c r="C955" s="22"/>
    </row>
    <row r="956" ht="14.25" customHeight="1">
      <c r="A956" s="21"/>
      <c r="B956" s="22"/>
      <c r="C956" s="22"/>
    </row>
    <row r="957" ht="14.25" customHeight="1">
      <c r="A957" s="21"/>
      <c r="B957" s="22"/>
      <c r="C957" s="22"/>
    </row>
    <row r="958" ht="14.25" customHeight="1">
      <c r="A958" s="21"/>
      <c r="B958" s="22"/>
      <c r="C958" s="22"/>
    </row>
    <row r="959" ht="14.25" customHeight="1">
      <c r="A959" s="21"/>
      <c r="B959" s="22"/>
      <c r="C959" s="22"/>
    </row>
    <row r="960" ht="14.25" customHeight="1">
      <c r="A960" s="21"/>
      <c r="B960" s="22"/>
      <c r="C960" s="22"/>
    </row>
    <row r="961" ht="14.25" customHeight="1">
      <c r="A961" s="21"/>
      <c r="B961" s="22"/>
      <c r="C961" s="22"/>
    </row>
    <row r="962" ht="14.25" customHeight="1">
      <c r="A962" s="21"/>
      <c r="B962" s="22"/>
      <c r="C962" s="22"/>
    </row>
    <row r="963" ht="14.25" customHeight="1">
      <c r="A963" s="21"/>
      <c r="B963" s="22"/>
      <c r="C963" s="22"/>
    </row>
    <row r="964" ht="14.25" customHeight="1">
      <c r="A964" s="21"/>
      <c r="B964" s="22"/>
      <c r="C964" s="22"/>
    </row>
    <row r="965" ht="14.25" customHeight="1">
      <c r="A965" s="21"/>
      <c r="B965" s="22"/>
      <c r="C965" s="22"/>
    </row>
    <row r="966" ht="14.25" customHeight="1">
      <c r="A966" s="21"/>
      <c r="B966" s="22"/>
      <c r="C966" s="22"/>
    </row>
    <row r="967" ht="14.25" customHeight="1">
      <c r="A967" s="21"/>
      <c r="B967" s="22"/>
      <c r="C967" s="22"/>
    </row>
    <row r="968" ht="14.25" customHeight="1">
      <c r="A968" s="21"/>
      <c r="B968" s="22"/>
      <c r="C968" s="22"/>
    </row>
    <row r="969" ht="14.25" customHeight="1">
      <c r="A969" s="21"/>
      <c r="B969" s="22"/>
      <c r="C969" s="22"/>
    </row>
    <row r="970" ht="14.25" customHeight="1">
      <c r="A970" s="21"/>
      <c r="B970" s="22"/>
      <c r="C970" s="22"/>
    </row>
    <row r="971" ht="14.25" customHeight="1">
      <c r="A971" s="21"/>
      <c r="B971" s="22"/>
      <c r="C971" s="22"/>
    </row>
    <row r="972" ht="14.25" customHeight="1">
      <c r="A972" s="21"/>
      <c r="B972" s="22"/>
      <c r="C972" s="22"/>
    </row>
    <row r="973" ht="14.25" customHeight="1">
      <c r="A973" s="21"/>
      <c r="B973" s="22"/>
      <c r="C973" s="22"/>
    </row>
    <row r="974" ht="14.25" customHeight="1">
      <c r="A974" s="21"/>
      <c r="B974" s="22"/>
      <c r="C974" s="22"/>
    </row>
    <row r="975" ht="14.25" customHeight="1">
      <c r="A975" s="21"/>
      <c r="B975" s="22"/>
      <c r="C975" s="22"/>
    </row>
    <row r="976" ht="14.25" customHeight="1">
      <c r="A976" s="21"/>
      <c r="B976" s="22"/>
      <c r="C976" s="22"/>
    </row>
    <row r="977" ht="14.25" customHeight="1">
      <c r="A977" s="21"/>
      <c r="B977" s="22"/>
      <c r="C977" s="22"/>
    </row>
    <row r="978" ht="14.25" customHeight="1">
      <c r="A978" s="21"/>
      <c r="B978" s="22"/>
      <c r="C978" s="22"/>
    </row>
    <row r="979" ht="14.25" customHeight="1">
      <c r="A979" s="21"/>
      <c r="B979" s="22"/>
      <c r="C979" s="22"/>
    </row>
    <row r="980" ht="14.25" customHeight="1">
      <c r="A980" s="21"/>
      <c r="B980" s="22"/>
      <c r="C980" s="22"/>
    </row>
    <row r="981" ht="14.25" customHeight="1">
      <c r="A981" s="21"/>
      <c r="B981" s="22"/>
      <c r="C981" s="22"/>
    </row>
    <row r="982" ht="14.25" customHeight="1">
      <c r="A982" s="21"/>
      <c r="B982" s="22"/>
      <c r="C982" s="22"/>
    </row>
    <row r="983" ht="14.25" customHeight="1">
      <c r="A983" s="21"/>
      <c r="B983" s="22"/>
      <c r="C983" s="22"/>
    </row>
    <row r="984" ht="14.25" customHeight="1">
      <c r="A984" s="21"/>
      <c r="B984" s="22"/>
      <c r="C984" s="22"/>
    </row>
    <row r="985" ht="14.25" customHeight="1">
      <c r="A985" s="21"/>
      <c r="B985" s="22"/>
      <c r="C985" s="22"/>
    </row>
    <row r="986" ht="14.25" customHeight="1">
      <c r="A986" s="21"/>
      <c r="B986" s="22"/>
      <c r="C986" s="22"/>
    </row>
    <row r="987" ht="14.25" customHeight="1">
      <c r="A987" s="21"/>
      <c r="B987" s="22"/>
      <c r="C987" s="22"/>
    </row>
    <row r="988" ht="14.25" customHeight="1">
      <c r="A988" s="21"/>
      <c r="B988" s="22"/>
      <c r="C988" s="22"/>
    </row>
    <row r="989" ht="14.25" customHeight="1">
      <c r="A989" s="21"/>
      <c r="B989" s="22"/>
      <c r="C989" s="22"/>
    </row>
    <row r="990" ht="14.25" customHeight="1">
      <c r="A990" s="21"/>
      <c r="B990" s="22"/>
      <c r="C990" s="22"/>
    </row>
    <row r="991" ht="14.25" customHeight="1">
      <c r="A991" s="21"/>
      <c r="B991" s="22"/>
      <c r="C991" s="22"/>
    </row>
    <row r="992" ht="14.25" customHeight="1">
      <c r="A992" s="21"/>
      <c r="B992" s="22"/>
      <c r="C992" s="22"/>
    </row>
    <row r="993" ht="14.25" customHeight="1">
      <c r="A993" s="21"/>
      <c r="B993" s="22"/>
      <c r="C993" s="22"/>
    </row>
    <row r="994" ht="14.25" customHeight="1">
      <c r="A994" s="21"/>
      <c r="B994" s="22"/>
      <c r="C994" s="22"/>
    </row>
    <row r="995" ht="14.25" customHeight="1">
      <c r="A995" s="21"/>
      <c r="B995" s="22"/>
      <c r="C995" s="22"/>
    </row>
    <row r="996" ht="14.25" customHeight="1">
      <c r="A996" s="21"/>
      <c r="B996" s="22"/>
      <c r="C996" s="22"/>
    </row>
    <row r="997" ht="14.25" customHeight="1">
      <c r="A997" s="21"/>
      <c r="B997" s="22"/>
      <c r="C997" s="22"/>
    </row>
    <row r="998" ht="14.25" customHeight="1">
      <c r="A998" s="21"/>
      <c r="B998" s="22"/>
      <c r="C998" s="22"/>
    </row>
    <row r="999" ht="14.25" customHeight="1">
      <c r="A999" s="21"/>
      <c r="B999" s="22"/>
      <c r="C999" s="22"/>
    </row>
    <row r="1000" ht="14.25" customHeight="1">
      <c r="A1000" s="21"/>
      <c r="B1000" s="22"/>
      <c r="C1000" s="22"/>
    </row>
  </sheetData>
  <mergeCells count="37">
    <mergeCell ref="X1:Z1"/>
    <mergeCell ref="AA1:AB1"/>
    <mergeCell ref="AC1:AE1"/>
    <mergeCell ref="AG1:AH1"/>
    <mergeCell ref="AI1:AK1"/>
    <mergeCell ref="AL1:AN1"/>
    <mergeCell ref="AO1:AQ1"/>
    <mergeCell ref="AS1:AT1"/>
    <mergeCell ref="AU1:AW1"/>
    <mergeCell ref="AX1:AZ1"/>
    <mergeCell ref="BA1:BC1"/>
    <mergeCell ref="BD1:BF1"/>
    <mergeCell ref="BG1:BJ1"/>
    <mergeCell ref="BK1:BM1"/>
    <mergeCell ref="CI1:CJ1"/>
    <mergeCell ref="CL1:CN1"/>
    <mergeCell ref="CP1:CQ1"/>
    <mergeCell ref="BN1:BO1"/>
    <mergeCell ref="BP1:BR1"/>
    <mergeCell ref="BT1:BU1"/>
    <mergeCell ref="BV1:BW1"/>
    <mergeCell ref="BX1:CA1"/>
    <mergeCell ref="CC1:CD1"/>
    <mergeCell ref="CG1:CH1"/>
    <mergeCell ref="B2:C2"/>
    <mergeCell ref="A3:C3"/>
    <mergeCell ref="B54:B55"/>
    <mergeCell ref="A66:C70"/>
    <mergeCell ref="A74:C75"/>
    <mergeCell ref="A78:C80"/>
    <mergeCell ref="A1:A2"/>
    <mergeCell ref="B1:C1"/>
    <mergeCell ref="D1:J1"/>
    <mergeCell ref="K1:N1"/>
    <mergeCell ref="O1:P1"/>
    <mergeCell ref="Q1:T1"/>
    <mergeCell ref="U1:W1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5.86"/>
    <col customWidth="1" min="2" max="2" width="11.0"/>
    <col customWidth="1" min="3" max="3" width="9.14"/>
    <col customWidth="1" min="4" max="116" width="8.71"/>
    <col customWidth="1" min="117" max="117" width="9.29"/>
    <col customWidth="1" min="118" max="118" width="8.71"/>
  </cols>
  <sheetData>
    <row r="1" ht="14.25" customHeight="1">
      <c r="A1" s="1"/>
      <c r="B1" s="2" t="s">
        <v>0</v>
      </c>
      <c r="D1" s="3" t="s">
        <v>203</v>
      </c>
      <c r="K1" s="3" t="s">
        <v>204</v>
      </c>
      <c r="O1" s="3" t="s">
        <v>205</v>
      </c>
      <c r="U1" s="3" t="s">
        <v>206</v>
      </c>
      <c r="Z1" s="3" t="s">
        <v>207</v>
      </c>
      <c r="AB1" s="3"/>
      <c r="AC1" s="3"/>
      <c r="AD1" s="3" t="s">
        <v>208</v>
      </c>
      <c r="AF1" s="3" t="s">
        <v>209</v>
      </c>
      <c r="AH1" s="3" t="s">
        <v>210</v>
      </c>
      <c r="AJ1" s="3" t="s">
        <v>211</v>
      </c>
      <c r="AM1" s="3" t="s">
        <v>212</v>
      </c>
      <c r="AO1" s="3" t="s">
        <v>213</v>
      </c>
      <c r="AQ1" s="3" t="s">
        <v>214</v>
      </c>
      <c r="AS1" s="3" t="s">
        <v>215</v>
      </c>
      <c r="AV1" s="3" t="s">
        <v>216</v>
      </c>
      <c r="AY1" s="3" t="s">
        <v>217</v>
      </c>
      <c r="BA1" s="3" t="s">
        <v>218</v>
      </c>
      <c r="BC1" s="3" t="s">
        <v>219</v>
      </c>
      <c r="BE1" s="3" t="s">
        <v>220</v>
      </c>
      <c r="BG1" s="3" t="s">
        <v>221</v>
      </c>
      <c r="BJ1" s="3" t="s">
        <v>222</v>
      </c>
      <c r="BK1" s="3" t="s">
        <v>223</v>
      </c>
      <c r="BL1" s="3" t="s">
        <v>224</v>
      </c>
      <c r="BN1" s="3" t="s">
        <v>225</v>
      </c>
      <c r="BQ1" s="3" t="s">
        <v>226</v>
      </c>
      <c r="BT1" s="3" t="s">
        <v>227</v>
      </c>
      <c r="BV1" s="3" t="s">
        <v>228</v>
      </c>
      <c r="BX1" s="3" t="s">
        <v>229</v>
      </c>
      <c r="BZ1" s="3" t="s">
        <v>230</v>
      </c>
      <c r="CD1" s="3" t="s">
        <v>231</v>
      </c>
      <c r="CE1" s="3" t="s">
        <v>232</v>
      </c>
      <c r="CF1" s="3" t="s">
        <v>233</v>
      </c>
      <c r="CG1" s="3" t="s">
        <v>234</v>
      </c>
      <c r="CI1" s="3" t="s">
        <v>235</v>
      </c>
      <c r="CJ1" s="3" t="s">
        <v>236</v>
      </c>
      <c r="CL1" s="3" t="s">
        <v>237</v>
      </c>
      <c r="CM1" s="3" t="s">
        <v>238</v>
      </c>
      <c r="CP1" s="3" t="s">
        <v>239</v>
      </c>
      <c r="CS1" s="3" t="s">
        <v>240</v>
      </c>
      <c r="CW1" s="3" t="s">
        <v>241</v>
      </c>
      <c r="CZ1" s="3" t="s">
        <v>242</v>
      </c>
      <c r="DB1" s="3" t="s">
        <v>243</v>
      </c>
      <c r="DD1" s="3" t="s">
        <v>244</v>
      </c>
      <c r="DF1" s="3" t="s">
        <v>245</v>
      </c>
      <c r="DH1" s="3" t="s">
        <v>246</v>
      </c>
      <c r="DI1" s="3" t="s">
        <v>247</v>
      </c>
      <c r="DJ1" s="3" t="s">
        <v>248</v>
      </c>
      <c r="DK1" s="3" t="s">
        <v>249</v>
      </c>
      <c r="DL1" s="3" t="s">
        <v>250</v>
      </c>
      <c r="DM1" s="3" t="s">
        <v>251</v>
      </c>
      <c r="DN1" s="3" t="s">
        <v>252</v>
      </c>
    </row>
    <row r="2" ht="14.25" customHeight="1">
      <c r="A2" s="4"/>
      <c r="B2" s="5" t="s">
        <v>44</v>
      </c>
      <c r="C2" s="4"/>
      <c r="D2" s="6" t="s">
        <v>253</v>
      </c>
      <c r="E2" s="6" t="s">
        <v>254</v>
      </c>
      <c r="F2" s="6" t="s">
        <v>255</v>
      </c>
      <c r="G2" s="6" t="s">
        <v>256</v>
      </c>
      <c r="H2" s="7" t="s">
        <v>257</v>
      </c>
      <c r="I2" s="9" t="s">
        <v>258</v>
      </c>
      <c r="J2" s="11" t="s">
        <v>259</v>
      </c>
      <c r="K2" s="6" t="s">
        <v>260</v>
      </c>
      <c r="L2" s="6" t="s">
        <v>261</v>
      </c>
      <c r="M2" s="14" t="s">
        <v>262</v>
      </c>
      <c r="N2" s="14" t="s">
        <v>263</v>
      </c>
      <c r="O2" s="6" t="s">
        <v>253</v>
      </c>
      <c r="P2" s="6" t="s">
        <v>255</v>
      </c>
      <c r="Q2" s="6" t="s">
        <v>256</v>
      </c>
      <c r="R2" s="9" t="s">
        <v>264</v>
      </c>
      <c r="S2" s="10" t="s">
        <v>265</v>
      </c>
      <c r="T2" s="7" t="s">
        <v>266</v>
      </c>
      <c r="U2" s="6" t="s">
        <v>260</v>
      </c>
      <c r="V2" s="7" t="s">
        <v>267</v>
      </c>
      <c r="W2" s="7" t="s">
        <v>268</v>
      </c>
      <c r="X2" s="7" t="s">
        <v>269</v>
      </c>
      <c r="Y2" s="7" t="s">
        <v>270</v>
      </c>
      <c r="Z2" s="6" t="s">
        <v>52</v>
      </c>
      <c r="AA2" s="7" t="s">
        <v>271</v>
      </c>
      <c r="AB2" s="14" t="s">
        <v>272</v>
      </c>
      <c r="AC2" s="14" t="s">
        <v>273</v>
      </c>
      <c r="AD2" s="6" t="s">
        <v>52</v>
      </c>
      <c r="AE2" s="7" t="s">
        <v>271</v>
      </c>
      <c r="AF2" s="6" t="s">
        <v>52</v>
      </c>
      <c r="AG2" s="7" t="s">
        <v>271</v>
      </c>
      <c r="AH2" s="6" t="s">
        <v>52</v>
      </c>
      <c r="AI2" s="7" t="s">
        <v>271</v>
      </c>
      <c r="AJ2" s="6" t="s">
        <v>52</v>
      </c>
      <c r="AK2" s="7" t="s">
        <v>271</v>
      </c>
      <c r="AL2" s="10" t="s">
        <v>274</v>
      </c>
      <c r="AM2" s="6" t="s">
        <v>55</v>
      </c>
      <c r="AN2" s="7" t="s">
        <v>269</v>
      </c>
      <c r="AO2" s="6" t="s">
        <v>55</v>
      </c>
      <c r="AP2" s="7" t="s">
        <v>269</v>
      </c>
      <c r="AQ2" s="6" t="s">
        <v>55</v>
      </c>
      <c r="AR2" s="7" t="s">
        <v>269</v>
      </c>
      <c r="AS2" s="6" t="s">
        <v>52</v>
      </c>
      <c r="AT2" s="7" t="s">
        <v>271</v>
      </c>
      <c r="AU2" s="9" t="s">
        <v>69</v>
      </c>
      <c r="AV2" s="6" t="s">
        <v>52</v>
      </c>
      <c r="AW2" s="7" t="s">
        <v>271</v>
      </c>
      <c r="AX2" s="14" t="s">
        <v>275</v>
      </c>
      <c r="AY2" s="6" t="s">
        <v>55</v>
      </c>
      <c r="AZ2" s="7" t="s">
        <v>269</v>
      </c>
      <c r="BA2" s="6" t="s">
        <v>55</v>
      </c>
      <c r="BB2" s="7" t="s">
        <v>276</v>
      </c>
      <c r="BC2" s="6" t="s">
        <v>277</v>
      </c>
      <c r="BD2" s="7" t="s">
        <v>278</v>
      </c>
      <c r="BE2" s="6" t="s">
        <v>52</v>
      </c>
      <c r="BF2" s="7" t="s">
        <v>271</v>
      </c>
      <c r="BG2" s="6" t="s">
        <v>55</v>
      </c>
      <c r="BH2" s="7" t="s">
        <v>269</v>
      </c>
      <c r="BI2" s="14" t="s">
        <v>275</v>
      </c>
      <c r="BJ2" s="6" t="s">
        <v>55</v>
      </c>
      <c r="BK2" s="6" t="s">
        <v>55</v>
      </c>
      <c r="BL2" s="6" t="s">
        <v>52</v>
      </c>
      <c r="BM2" s="7" t="s">
        <v>271</v>
      </c>
      <c r="BN2" s="6" t="s">
        <v>52</v>
      </c>
      <c r="BO2" s="7" t="s">
        <v>271</v>
      </c>
      <c r="BP2" s="10" t="s">
        <v>279</v>
      </c>
      <c r="BQ2" s="6" t="s">
        <v>55</v>
      </c>
      <c r="BR2" s="7" t="s">
        <v>269</v>
      </c>
      <c r="BS2" s="9" t="s">
        <v>60</v>
      </c>
      <c r="BT2" s="6" t="s">
        <v>256</v>
      </c>
      <c r="BU2" s="6" t="s">
        <v>253</v>
      </c>
      <c r="BV2" s="6" t="s">
        <v>55</v>
      </c>
      <c r="BW2" s="7" t="s">
        <v>269</v>
      </c>
      <c r="BX2" s="6" t="s">
        <v>55</v>
      </c>
      <c r="BY2" s="7" t="s">
        <v>269</v>
      </c>
      <c r="BZ2" s="6" t="s">
        <v>55</v>
      </c>
      <c r="CA2" s="7" t="s">
        <v>269</v>
      </c>
      <c r="CB2" s="10" t="s">
        <v>50</v>
      </c>
      <c r="CC2" s="9" t="s">
        <v>60</v>
      </c>
      <c r="CD2" s="6" t="s">
        <v>55</v>
      </c>
      <c r="CE2" s="6" t="s">
        <v>55</v>
      </c>
      <c r="CF2" s="6" t="s">
        <v>55</v>
      </c>
      <c r="CG2" s="6" t="s">
        <v>55</v>
      </c>
      <c r="CH2" s="7" t="s">
        <v>269</v>
      </c>
      <c r="CI2" s="6" t="s">
        <v>55</v>
      </c>
      <c r="CJ2" s="6" t="s">
        <v>55</v>
      </c>
      <c r="CK2" s="7" t="s">
        <v>269</v>
      </c>
      <c r="CL2" s="6" t="s">
        <v>55</v>
      </c>
      <c r="CM2" s="6" t="s">
        <v>55</v>
      </c>
      <c r="CN2" s="7" t="s">
        <v>269</v>
      </c>
      <c r="CO2" s="10" t="s">
        <v>50</v>
      </c>
      <c r="CP2" s="6" t="s">
        <v>52</v>
      </c>
      <c r="CQ2" s="7" t="s">
        <v>271</v>
      </c>
      <c r="CR2" s="10" t="s">
        <v>50</v>
      </c>
      <c r="CS2" s="6" t="s">
        <v>280</v>
      </c>
      <c r="CT2" s="7" t="s">
        <v>281</v>
      </c>
      <c r="CU2" s="10" t="s">
        <v>50</v>
      </c>
      <c r="CV2" s="9" t="s">
        <v>60</v>
      </c>
      <c r="CW2" s="6" t="s">
        <v>55</v>
      </c>
      <c r="CX2" s="7" t="s">
        <v>282</v>
      </c>
      <c r="CY2" s="7" t="s">
        <v>283</v>
      </c>
      <c r="CZ2" s="6" t="s">
        <v>52</v>
      </c>
      <c r="DA2" s="7" t="s">
        <v>271</v>
      </c>
      <c r="DB2" s="6" t="s">
        <v>55</v>
      </c>
      <c r="DC2" s="7" t="s">
        <v>269</v>
      </c>
      <c r="DD2" s="6" t="s">
        <v>55</v>
      </c>
      <c r="DE2" s="11" t="s">
        <v>59</v>
      </c>
      <c r="DF2" s="6" t="s">
        <v>52</v>
      </c>
      <c r="DG2" s="11" t="s">
        <v>77</v>
      </c>
      <c r="DH2" s="6" t="s">
        <v>52</v>
      </c>
      <c r="DI2" s="6" t="s">
        <v>52</v>
      </c>
      <c r="DJ2" s="6" t="s">
        <v>52</v>
      </c>
      <c r="DK2" s="6" t="s">
        <v>55</v>
      </c>
      <c r="DL2" s="6" t="s">
        <v>55</v>
      </c>
      <c r="DM2" s="6" t="s">
        <v>55</v>
      </c>
      <c r="DN2" s="6" t="s">
        <v>55</v>
      </c>
    </row>
    <row r="3" ht="14.25" customHeight="1">
      <c r="A3" s="15" t="s">
        <v>88</v>
      </c>
      <c r="B3" s="16"/>
      <c r="C3" s="17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  <c r="CE3" s="18"/>
      <c r="CF3" s="18"/>
      <c r="CG3" s="18"/>
      <c r="CH3" s="18"/>
      <c r="CI3" s="18"/>
      <c r="CJ3" s="18"/>
      <c r="CK3" s="18"/>
      <c r="CL3" s="18"/>
      <c r="CM3" s="18"/>
      <c r="CN3" s="18"/>
      <c r="CO3" s="18"/>
      <c r="CP3" s="18"/>
      <c r="CQ3" s="18"/>
      <c r="CR3" s="18"/>
      <c r="CS3" s="18"/>
      <c r="CT3" s="18"/>
      <c r="CU3" s="18"/>
      <c r="CV3" s="18"/>
      <c r="CW3" s="18"/>
      <c r="CX3" s="18"/>
      <c r="CY3" s="18"/>
      <c r="CZ3" s="18"/>
      <c r="DA3" s="18"/>
      <c r="DB3" s="18"/>
      <c r="DC3" s="18"/>
      <c r="DD3" s="18"/>
      <c r="DE3" s="18"/>
      <c r="DF3" s="18"/>
      <c r="DG3" s="18"/>
      <c r="DH3" s="18"/>
      <c r="DI3" s="18"/>
      <c r="DJ3" s="18"/>
      <c r="DK3" s="18"/>
      <c r="DL3" s="18"/>
      <c r="DM3" s="18"/>
      <c r="DN3" s="18"/>
    </row>
    <row r="4" ht="14.25" customHeight="1">
      <c r="A4" s="19" t="s">
        <v>89</v>
      </c>
      <c r="B4" s="20" t="s">
        <v>90</v>
      </c>
      <c r="C4" s="20" t="s">
        <v>91</v>
      </c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 ht="14.25" customHeight="1">
      <c r="A5" s="21" t="s">
        <v>92</v>
      </c>
      <c r="B5" s="22" t="s">
        <v>93</v>
      </c>
      <c r="C5" s="22"/>
      <c r="D5" s="23">
        <v>94.52</v>
      </c>
      <c r="E5" s="23">
        <v>94.78</v>
      </c>
      <c r="F5" s="23">
        <v>95.28</v>
      </c>
      <c r="G5" s="23">
        <v>93.0</v>
      </c>
      <c r="H5" s="23">
        <v>80.63</v>
      </c>
      <c r="I5" s="23">
        <v>93.9</v>
      </c>
      <c r="J5" s="23">
        <v>14.56</v>
      </c>
      <c r="K5" s="23">
        <v>95.23</v>
      </c>
      <c r="L5" s="23">
        <v>96.73</v>
      </c>
      <c r="M5" s="23">
        <v>94.08</v>
      </c>
      <c r="N5" s="23">
        <v>94.33</v>
      </c>
      <c r="O5" s="23">
        <v>92.21</v>
      </c>
      <c r="P5" s="23">
        <v>92.02</v>
      </c>
      <c r="Q5" s="23">
        <v>93.89</v>
      </c>
      <c r="R5" s="23">
        <v>78.95</v>
      </c>
      <c r="S5" s="23">
        <v>93.96</v>
      </c>
      <c r="T5" s="23">
        <v>91.87</v>
      </c>
      <c r="U5" s="23">
        <v>79.34</v>
      </c>
      <c r="V5" s="23">
        <v>75.42</v>
      </c>
      <c r="W5" s="23">
        <v>74.89</v>
      </c>
      <c r="X5" s="23">
        <v>77.46</v>
      </c>
      <c r="Y5" s="23">
        <v>76.98</v>
      </c>
      <c r="Z5" s="23">
        <v>92.18</v>
      </c>
      <c r="AA5" s="23">
        <v>92.57</v>
      </c>
      <c r="AB5" s="23">
        <v>92.52</v>
      </c>
      <c r="AC5" s="23">
        <v>92.5</v>
      </c>
      <c r="AD5" s="23">
        <v>90.39</v>
      </c>
      <c r="AE5" s="23">
        <v>90.84</v>
      </c>
      <c r="AF5" s="23">
        <v>94.39</v>
      </c>
      <c r="AG5" s="23">
        <v>95.24</v>
      </c>
      <c r="AH5" s="23">
        <v>91.0</v>
      </c>
      <c r="AI5" s="23">
        <v>92.0</v>
      </c>
      <c r="AJ5" s="23">
        <v>92.07</v>
      </c>
      <c r="AK5" s="23">
        <v>93.0</v>
      </c>
      <c r="AL5" s="23">
        <v>94.0</v>
      </c>
      <c r="AM5" s="23">
        <v>89.3</v>
      </c>
      <c r="AN5" s="23">
        <v>89.25</v>
      </c>
      <c r="AO5" s="23">
        <v>91.0</v>
      </c>
      <c r="AP5" s="23">
        <v>90.3</v>
      </c>
      <c r="AQ5" s="23">
        <v>86.0</v>
      </c>
      <c r="AR5" s="23">
        <v>88.9</v>
      </c>
      <c r="AS5" s="23">
        <v>88.29</v>
      </c>
      <c r="AT5" s="23">
        <v>90.17</v>
      </c>
      <c r="AU5" s="23">
        <v>88.87</v>
      </c>
      <c r="AV5" s="23">
        <v>87.58</v>
      </c>
      <c r="AW5" s="23">
        <v>87.06</v>
      </c>
      <c r="AX5" s="23">
        <v>81.88</v>
      </c>
      <c r="AY5" s="23">
        <v>94.64</v>
      </c>
      <c r="AZ5" s="23">
        <v>93.7</v>
      </c>
      <c r="BA5" s="23">
        <v>89.76</v>
      </c>
      <c r="BB5" s="23">
        <v>89.21</v>
      </c>
      <c r="BC5" s="23">
        <v>94.79</v>
      </c>
      <c r="BD5" s="23">
        <v>95.22</v>
      </c>
      <c r="BE5" s="23">
        <v>91.6</v>
      </c>
      <c r="BF5" s="23">
        <v>93.69</v>
      </c>
      <c r="BG5" s="23">
        <v>92.41</v>
      </c>
      <c r="BH5" s="23">
        <v>89.67</v>
      </c>
      <c r="BI5" s="23">
        <v>86.9</v>
      </c>
      <c r="BJ5" s="23">
        <v>95.27</v>
      </c>
      <c r="BK5" s="23">
        <v>95.37</v>
      </c>
      <c r="BL5" s="23">
        <v>94.62</v>
      </c>
      <c r="BM5" s="23">
        <v>95.04</v>
      </c>
      <c r="BN5" s="23">
        <v>93.22</v>
      </c>
      <c r="BO5" s="23">
        <v>92.63</v>
      </c>
      <c r="BP5" s="23">
        <v>94.1</v>
      </c>
      <c r="BQ5" s="23">
        <v>91.4</v>
      </c>
      <c r="BR5" s="23">
        <v>91.21</v>
      </c>
      <c r="BS5" s="23">
        <v>93.22</v>
      </c>
      <c r="BT5" s="23">
        <v>94.98</v>
      </c>
      <c r="BU5" s="23">
        <v>95.64</v>
      </c>
      <c r="BV5" s="23">
        <v>93.0</v>
      </c>
      <c r="BW5" s="23">
        <v>93.6</v>
      </c>
      <c r="BX5" s="23">
        <v>95.43</v>
      </c>
      <c r="BY5" s="23">
        <v>94.11</v>
      </c>
      <c r="BZ5" s="23">
        <v>89.11</v>
      </c>
      <c r="CA5" s="23">
        <v>87.86</v>
      </c>
      <c r="CB5" s="23">
        <v>90.22</v>
      </c>
      <c r="CC5" s="23">
        <v>94.1</v>
      </c>
      <c r="CD5" s="23">
        <v>92.32</v>
      </c>
      <c r="CE5" s="23">
        <v>90.5</v>
      </c>
      <c r="CF5" s="23">
        <v>79.8</v>
      </c>
      <c r="CG5" s="23">
        <v>83.0</v>
      </c>
      <c r="CH5" s="23">
        <v>90.8</v>
      </c>
      <c r="CI5" s="23">
        <v>58.58</v>
      </c>
      <c r="CJ5" s="23">
        <v>79.53</v>
      </c>
      <c r="CK5" s="23">
        <v>80.24</v>
      </c>
      <c r="CL5" s="23">
        <v>78.01</v>
      </c>
      <c r="CM5" s="23">
        <v>84.94</v>
      </c>
      <c r="CN5" s="23">
        <v>84.08</v>
      </c>
      <c r="CO5" s="23">
        <v>88.59</v>
      </c>
      <c r="CP5" s="23">
        <v>91.87</v>
      </c>
      <c r="CQ5" s="23">
        <v>93.6</v>
      </c>
      <c r="CR5" s="23">
        <v>95.67</v>
      </c>
      <c r="CS5" s="23">
        <v>89.67</v>
      </c>
      <c r="CT5" s="23">
        <v>93.2</v>
      </c>
      <c r="CU5" s="23">
        <v>92.93</v>
      </c>
      <c r="CV5" s="23">
        <v>94.69</v>
      </c>
      <c r="CW5" s="23">
        <v>77.28</v>
      </c>
      <c r="CX5" s="23">
        <v>80.13</v>
      </c>
      <c r="CY5" s="23">
        <v>75.78</v>
      </c>
      <c r="CZ5" s="23">
        <v>89.66</v>
      </c>
      <c r="DA5" s="23">
        <v>88.88</v>
      </c>
      <c r="DB5" s="23">
        <v>92.66</v>
      </c>
      <c r="DC5" s="23">
        <v>92.65</v>
      </c>
      <c r="DD5" s="23">
        <v>91.32</v>
      </c>
      <c r="DE5" s="23">
        <v>8.68</v>
      </c>
      <c r="DF5" s="23">
        <v>90.67</v>
      </c>
      <c r="DG5" s="23">
        <v>4.68</v>
      </c>
      <c r="DH5" s="23">
        <v>81.58</v>
      </c>
      <c r="DI5" s="23">
        <v>85.03</v>
      </c>
      <c r="DJ5" s="23">
        <v>79.99</v>
      </c>
      <c r="DK5" s="23">
        <v>81.34</v>
      </c>
      <c r="DL5" s="23">
        <v>91.63</v>
      </c>
      <c r="DM5" s="23">
        <v>93.79</v>
      </c>
      <c r="DN5" s="23">
        <v>90.21</v>
      </c>
    </row>
    <row r="6" ht="14.25" customHeight="1">
      <c r="A6" s="21" t="s">
        <v>94</v>
      </c>
      <c r="B6" s="22" t="s">
        <v>95</v>
      </c>
      <c r="C6" s="22"/>
      <c r="D6" s="23">
        <v>18.0</v>
      </c>
      <c r="E6" s="23">
        <v>16.0</v>
      </c>
      <c r="F6" s="23">
        <v>15.0</v>
      </c>
      <c r="G6" s="23">
        <v>23.0</v>
      </c>
      <c r="H6" s="23">
        <v>79.0</v>
      </c>
      <c r="I6" s="23">
        <v>17.0</v>
      </c>
      <c r="J6" s="23">
        <v>258.0</v>
      </c>
      <c r="K6" s="23">
        <v>15.0</v>
      </c>
      <c r="L6" s="23">
        <v>12.0</v>
      </c>
      <c r="M6" s="23">
        <v>11.0</v>
      </c>
      <c r="N6" s="23">
        <v>12.0</v>
      </c>
      <c r="O6" s="23">
        <v>31.0</v>
      </c>
      <c r="P6" s="23">
        <v>27.0</v>
      </c>
      <c r="Q6" s="23">
        <v>20.0</v>
      </c>
      <c r="R6" s="23">
        <v>133.0</v>
      </c>
      <c r="S6" s="23">
        <v>20.0</v>
      </c>
      <c r="T6" s="23">
        <v>26.0</v>
      </c>
      <c r="U6" s="23">
        <v>77.0</v>
      </c>
      <c r="V6" s="23">
        <v>93.0</v>
      </c>
      <c r="W6" s="23">
        <v>93.0</v>
      </c>
      <c r="X6" s="23">
        <v>86.0</v>
      </c>
      <c r="Y6" s="23">
        <v>87.0</v>
      </c>
      <c r="Z6" s="23">
        <v>25.0</v>
      </c>
      <c r="AA6" s="23">
        <v>23.0</v>
      </c>
      <c r="AB6" s="23">
        <v>19.0</v>
      </c>
      <c r="AC6" s="23">
        <v>22.0</v>
      </c>
      <c r="AD6" s="23">
        <v>31.0</v>
      </c>
      <c r="AE6" s="23">
        <v>29.0</v>
      </c>
      <c r="AF6" s="23">
        <v>16.0</v>
      </c>
      <c r="AG6" s="23">
        <v>14.0</v>
      </c>
      <c r="AH6" s="23">
        <v>27.0</v>
      </c>
      <c r="AI6" s="23">
        <v>24.0</v>
      </c>
      <c r="AJ6" s="23">
        <v>25.0</v>
      </c>
      <c r="AK6" s="23">
        <v>23.0</v>
      </c>
      <c r="AL6" s="23">
        <v>19.0</v>
      </c>
      <c r="AM6" s="23">
        <v>34.0</v>
      </c>
      <c r="AN6" s="23">
        <v>35.0</v>
      </c>
      <c r="AO6" s="23">
        <v>27.0</v>
      </c>
      <c r="AP6" s="23">
        <v>29.0</v>
      </c>
      <c r="AQ6" s="23">
        <v>43.0</v>
      </c>
      <c r="AR6" s="23">
        <v>36.0</v>
      </c>
      <c r="AS6" s="23">
        <v>41.0</v>
      </c>
      <c r="AT6" s="23">
        <v>35.0</v>
      </c>
      <c r="AU6" s="23">
        <v>40.0</v>
      </c>
      <c r="AV6" s="23">
        <v>43.0</v>
      </c>
      <c r="AW6" s="23">
        <v>44.0</v>
      </c>
      <c r="AX6" s="23">
        <v>65.0</v>
      </c>
      <c r="AY6" s="23">
        <v>16.0</v>
      </c>
      <c r="AZ6" s="23">
        <v>20.0</v>
      </c>
      <c r="BA6" s="23">
        <v>34.0</v>
      </c>
      <c r="BB6" s="23">
        <v>37.0</v>
      </c>
      <c r="BC6" s="23">
        <v>17.0</v>
      </c>
      <c r="BD6" s="23">
        <v>15.0</v>
      </c>
      <c r="BE6" s="23">
        <v>26.0</v>
      </c>
      <c r="BF6" s="23">
        <v>20.0</v>
      </c>
      <c r="BG6" s="23">
        <v>24.0</v>
      </c>
      <c r="BH6" s="23">
        <v>35.0</v>
      </c>
      <c r="BI6" s="23">
        <v>49.0</v>
      </c>
      <c r="BJ6" s="23">
        <v>16.0</v>
      </c>
      <c r="BK6" s="23">
        <v>14.0</v>
      </c>
      <c r="BL6" s="23">
        <v>18.0</v>
      </c>
      <c r="BM6" s="23">
        <v>17.0</v>
      </c>
      <c r="BN6" s="23">
        <v>20.0</v>
      </c>
      <c r="BO6" s="23">
        <v>22.0</v>
      </c>
      <c r="BP6" s="23">
        <v>18.0</v>
      </c>
      <c r="BQ6" s="23">
        <v>23.0</v>
      </c>
      <c r="BR6" s="23">
        <v>23.0</v>
      </c>
      <c r="BS6" s="23">
        <v>19.0</v>
      </c>
      <c r="BT6" s="23">
        <v>15.0</v>
      </c>
      <c r="BU6" s="23">
        <v>16.0</v>
      </c>
      <c r="BV6" s="23">
        <v>22.0</v>
      </c>
      <c r="BW6" s="23">
        <v>20.0</v>
      </c>
      <c r="BX6" s="23">
        <v>16.0</v>
      </c>
      <c r="BY6" s="23">
        <v>18.0</v>
      </c>
      <c r="BZ6" s="23">
        <v>40.0</v>
      </c>
      <c r="CA6" s="23">
        <v>44.0</v>
      </c>
      <c r="CB6" s="23">
        <v>35.0</v>
      </c>
      <c r="CC6" s="23">
        <v>19.0</v>
      </c>
      <c r="CD6" s="23">
        <v>27.0</v>
      </c>
      <c r="CE6" s="23">
        <v>34.0</v>
      </c>
      <c r="CF6" s="23">
        <v>72.0</v>
      </c>
      <c r="CG6" s="23">
        <v>61.0</v>
      </c>
      <c r="CH6" s="23">
        <v>31.0</v>
      </c>
      <c r="CI6" s="23">
        <v>149.0</v>
      </c>
      <c r="CJ6" s="23">
        <v>75.0</v>
      </c>
      <c r="CK6" s="23">
        <v>71.0</v>
      </c>
      <c r="CL6" s="23">
        <v>73.0</v>
      </c>
      <c r="CM6" s="23">
        <v>47.0</v>
      </c>
      <c r="CN6" s="23">
        <v>53.0</v>
      </c>
      <c r="CO6" s="23">
        <v>38.0</v>
      </c>
      <c r="CP6" s="23">
        <v>28.0</v>
      </c>
      <c r="CQ6" s="23">
        <v>22.0</v>
      </c>
      <c r="CR6" s="23">
        <v>16.0</v>
      </c>
      <c r="CS6" s="23">
        <v>32.0</v>
      </c>
      <c r="CT6" s="23">
        <v>20.0</v>
      </c>
      <c r="CU6" s="23">
        <v>22.0</v>
      </c>
      <c r="CV6" s="23">
        <v>19.0</v>
      </c>
      <c r="CW6" s="23">
        <v>86.0</v>
      </c>
      <c r="CX6" s="23">
        <v>76.0</v>
      </c>
      <c r="CY6" s="23">
        <v>90.0</v>
      </c>
      <c r="CZ6" s="23">
        <v>36.0</v>
      </c>
      <c r="DA6" s="23">
        <v>39.0</v>
      </c>
      <c r="DB6" s="23">
        <v>19.0</v>
      </c>
      <c r="DC6" s="23">
        <v>20.0</v>
      </c>
      <c r="DD6" s="23">
        <v>26.0</v>
      </c>
      <c r="DE6" s="23">
        <v>306.0</v>
      </c>
      <c r="DF6" s="23">
        <v>26.0</v>
      </c>
      <c r="DG6" s="23">
        <v>290.0</v>
      </c>
      <c r="DH6" s="23">
        <v>43.0</v>
      </c>
      <c r="DI6" s="23">
        <v>35.0</v>
      </c>
      <c r="DJ6" s="23">
        <v>45.0</v>
      </c>
      <c r="DK6" s="23">
        <v>49.0</v>
      </c>
      <c r="DL6" s="23">
        <v>32.0</v>
      </c>
      <c r="DM6" s="23">
        <v>17.0</v>
      </c>
      <c r="DN6" s="23">
        <v>31.0</v>
      </c>
    </row>
    <row r="7" ht="14.25" customHeight="1">
      <c r="A7" s="21" t="s">
        <v>96</v>
      </c>
      <c r="B7" s="22" t="s">
        <v>97</v>
      </c>
      <c r="C7" s="22" t="s">
        <v>98</v>
      </c>
      <c r="D7" s="23">
        <v>0.88</v>
      </c>
      <c r="E7" s="23">
        <v>1.16</v>
      </c>
      <c r="F7" s="23">
        <v>0.98</v>
      </c>
      <c r="G7" s="23">
        <v>1.2</v>
      </c>
      <c r="H7" s="23">
        <v>1.96</v>
      </c>
      <c r="I7" s="23">
        <v>0.76</v>
      </c>
      <c r="J7" s="25">
        <v>14.11</v>
      </c>
      <c r="K7" s="23">
        <v>0.65</v>
      </c>
      <c r="L7" s="23">
        <v>0.59</v>
      </c>
      <c r="M7" s="23">
        <v>0.33</v>
      </c>
      <c r="N7" s="23">
        <v>0.6</v>
      </c>
      <c r="O7" s="23">
        <v>0.99</v>
      </c>
      <c r="P7" s="23">
        <v>1.0</v>
      </c>
      <c r="Q7" s="23">
        <v>0.86</v>
      </c>
      <c r="R7" s="23">
        <v>1.04</v>
      </c>
      <c r="S7" s="23">
        <v>1.08</v>
      </c>
      <c r="T7" s="23">
        <v>0.92</v>
      </c>
      <c r="U7" s="23">
        <v>2.02</v>
      </c>
      <c r="V7" s="23">
        <v>1.96</v>
      </c>
      <c r="W7" s="23">
        <v>2.5</v>
      </c>
      <c r="X7" s="23">
        <v>1.71</v>
      </c>
      <c r="Y7" s="23">
        <v>1.87</v>
      </c>
      <c r="Z7" s="23">
        <v>1.28</v>
      </c>
      <c r="AA7" s="23">
        <v>1.27</v>
      </c>
      <c r="AB7" s="23">
        <v>0.91</v>
      </c>
      <c r="AC7" s="23">
        <v>0.9</v>
      </c>
      <c r="AD7" s="23">
        <v>1.43</v>
      </c>
      <c r="AE7" s="23">
        <v>1.51</v>
      </c>
      <c r="AF7" s="23">
        <v>1.2</v>
      </c>
      <c r="AG7" s="23">
        <v>1.5</v>
      </c>
      <c r="AH7" s="23">
        <v>2.0</v>
      </c>
      <c r="AI7" s="23">
        <v>1.8</v>
      </c>
      <c r="AJ7" s="23">
        <v>1.92</v>
      </c>
      <c r="AK7" s="23">
        <v>1.84</v>
      </c>
      <c r="AL7" s="23">
        <v>1.61</v>
      </c>
      <c r="AM7" s="23">
        <v>2.82</v>
      </c>
      <c r="AN7" s="23">
        <v>2.38</v>
      </c>
      <c r="AO7" s="23">
        <v>1.7</v>
      </c>
      <c r="AP7" s="23">
        <v>1.8</v>
      </c>
      <c r="AQ7" s="24">
        <v>3.38</v>
      </c>
      <c r="AR7" s="23">
        <v>2.55</v>
      </c>
      <c r="AS7" s="23">
        <v>0.93</v>
      </c>
      <c r="AT7" s="23">
        <v>0.76</v>
      </c>
      <c r="AU7" s="23">
        <v>0.95</v>
      </c>
      <c r="AV7" s="23">
        <v>1.61</v>
      </c>
      <c r="AW7" s="23">
        <v>1.68</v>
      </c>
      <c r="AX7" s="23">
        <v>0.8</v>
      </c>
      <c r="AY7" s="23">
        <v>1.21</v>
      </c>
      <c r="AZ7" s="23">
        <v>0.91</v>
      </c>
      <c r="BA7" s="23">
        <v>0.95</v>
      </c>
      <c r="BB7" s="23">
        <v>0.89</v>
      </c>
      <c r="BC7" s="23">
        <v>1.21</v>
      </c>
      <c r="BD7" s="23">
        <v>1.14</v>
      </c>
      <c r="BE7" s="23">
        <v>1.0</v>
      </c>
      <c r="BF7" s="23">
        <v>0.72</v>
      </c>
      <c r="BG7" s="23">
        <v>1.01</v>
      </c>
      <c r="BH7" s="23">
        <v>0.83</v>
      </c>
      <c r="BI7" s="23">
        <v>0.9</v>
      </c>
      <c r="BJ7" s="23">
        <v>0.68</v>
      </c>
      <c r="BK7" s="23">
        <v>1.1</v>
      </c>
      <c r="BL7" s="23">
        <v>0.6</v>
      </c>
      <c r="BM7" s="23">
        <v>0.67</v>
      </c>
      <c r="BN7" s="23">
        <v>2.2</v>
      </c>
      <c r="BO7" s="23">
        <v>2.4</v>
      </c>
      <c r="BP7" s="23">
        <v>2.95</v>
      </c>
      <c r="BQ7" s="23">
        <v>2.86</v>
      </c>
      <c r="BR7" s="23">
        <v>2.97</v>
      </c>
      <c r="BS7" s="23">
        <v>2.11</v>
      </c>
      <c r="BT7" s="23">
        <v>1.36</v>
      </c>
      <c r="BU7" s="23">
        <v>1.33</v>
      </c>
      <c r="BV7" s="23">
        <v>2.0</v>
      </c>
      <c r="BW7" s="23">
        <v>1.83</v>
      </c>
      <c r="BX7" s="23">
        <v>0.69</v>
      </c>
      <c r="BY7" s="23">
        <v>0.83</v>
      </c>
      <c r="BZ7" s="23">
        <v>1.1</v>
      </c>
      <c r="CA7" s="23">
        <v>1.36</v>
      </c>
      <c r="CB7" s="23">
        <v>0.89</v>
      </c>
      <c r="CC7" s="23">
        <v>0.85</v>
      </c>
      <c r="CD7" s="23">
        <v>0.97</v>
      </c>
      <c r="CE7" s="23">
        <v>1.9</v>
      </c>
      <c r="CF7" s="23">
        <v>2.5</v>
      </c>
      <c r="CG7" s="23">
        <v>1.5</v>
      </c>
      <c r="CH7" s="23">
        <v>0.81</v>
      </c>
      <c r="CI7" s="25">
        <v>6.36</v>
      </c>
      <c r="CJ7" s="23">
        <v>1.2</v>
      </c>
      <c r="CK7" s="23">
        <v>1.32</v>
      </c>
      <c r="CL7" s="23">
        <v>2.0</v>
      </c>
      <c r="CM7" s="24">
        <v>3.27</v>
      </c>
      <c r="CN7" s="23">
        <v>2.89</v>
      </c>
      <c r="CO7" s="23">
        <v>2.63</v>
      </c>
      <c r="CP7" s="23">
        <v>0.9</v>
      </c>
      <c r="CQ7" s="23">
        <v>0.71</v>
      </c>
      <c r="CR7" s="23">
        <v>1.04</v>
      </c>
      <c r="CS7" s="23">
        <v>1.5</v>
      </c>
      <c r="CT7" s="23">
        <v>1.14</v>
      </c>
      <c r="CU7" s="23">
        <v>2.47</v>
      </c>
      <c r="CV7" s="23">
        <v>1.36</v>
      </c>
      <c r="CW7" s="23">
        <v>1.57</v>
      </c>
      <c r="CX7" s="23">
        <v>1.37</v>
      </c>
      <c r="CY7" s="23">
        <v>2.01</v>
      </c>
      <c r="CZ7" s="23">
        <v>1.2</v>
      </c>
      <c r="DA7" s="23">
        <v>1.29</v>
      </c>
      <c r="DB7" s="23">
        <v>1.8</v>
      </c>
      <c r="DC7" s="23">
        <v>1.88</v>
      </c>
      <c r="DD7" s="23">
        <v>0.54</v>
      </c>
      <c r="DE7" s="25">
        <v>6.21</v>
      </c>
      <c r="DF7" s="25">
        <v>5.92</v>
      </c>
      <c r="DG7" s="26">
        <v>57.47</v>
      </c>
      <c r="DH7" s="23">
        <v>1.68</v>
      </c>
      <c r="DI7" s="25">
        <v>5.81</v>
      </c>
      <c r="DJ7" s="23">
        <v>3.03</v>
      </c>
      <c r="DK7" s="23">
        <v>1.51</v>
      </c>
      <c r="DL7" s="23">
        <v>0.96</v>
      </c>
      <c r="DM7" s="23">
        <v>1.25</v>
      </c>
      <c r="DN7" s="23">
        <v>1.24</v>
      </c>
    </row>
    <row r="8" ht="14.25" customHeight="1">
      <c r="A8" s="21" t="s">
        <v>99</v>
      </c>
      <c r="B8" s="22" t="s">
        <v>100</v>
      </c>
      <c r="C8" s="22"/>
      <c r="D8" s="23">
        <v>0.2</v>
      </c>
      <c r="E8" s="23">
        <v>0.19</v>
      </c>
      <c r="F8" s="23">
        <v>0.26</v>
      </c>
      <c r="G8" s="23">
        <v>0.2</v>
      </c>
      <c r="H8" s="23">
        <v>2.68</v>
      </c>
      <c r="I8" s="23">
        <v>0.05</v>
      </c>
      <c r="J8" s="23">
        <v>2.97</v>
      </c>
      <c r="K8" s="23">
        <v>0.11</v>
      </c>
      <c r="L8" s="23">
        <v>0.16</v>
      </c>
      <c r="M8" s="23">
        <v>0.2</v>
      </c>
      <c r="N8" s="23">
        <v>0.14</v>
      </c>
      <c r="O8" s="23">
        <v>0.3</v>
      </c>
      <c r="P8" s="23">
        <v>0.21</v>
      </c>
      <c r="Q8" s="23">
        <v>0.17</v>
      </c>
      <c r="R8" s="23">
        <v>12.75</v>
      </c>
      <c r="S8" s="23">
        <v>0.21</v>
      </c>
      <c r="T8" s="23">
        <v>0.2</v>
      </c>
      <c r="U8" s="23">
        <v>0.09</v>
      </c>
      <c r="V8" s="23">
        <v>0.1</v>
      </c>
      <c r="W8" s="23">
        <v>0.13</v>
      </c>
      <c r="X8" s="23">
        <v>0.1</v>
      </c>
      <c r="Y8" s="23">
        <v>0.1</v>
      </c>
      <c r="Z8" s="23">
        <v>0.1</v>
      </c>
      <c r="AA8" s="23">
        <v>0.06</v>
      </c>
      <c r="AB8" s="23">
        <v>0.14</v>
      </c>
      <c r="AC8" s="23">
        <v>0.1</v>
      </c>
      <c r="AD8" s="23">
        <v>0.16</v>
      </c>
      <c r="AE8" s="23">
        <v>0.09</v>
      </c>
      <c r="AF8" s="23">
        <v>0.2</v>
      </c>
      <c r="AG8" s="23">
        <v>0.17</v>
      </c>
      <c r="AH8" s="23">
        <v>0.1</v>
      </c>
      <c r="AI8" s="23">
        <v>0.09</v>
      </c>
      <c r="AJ8" s="23">
        <v>0.28</v>
      </c>
      <c r="AK8" s="23">
        <v>0.45</v>
      </c>
      <c r="AL8" s="23">
        <v>0.22</v>
      </c>
      <c r="AM8" s="23">
        <v>0.37</v>
      </c>
      <c r="AN8" s="23">
        <v>0.41</v>
      </c>
      <c r="AO8" s="23">
        <v>0.1</v>
      </c>
      <c r="AP8" s="23">
        <v>0.11</v>
      </c>
      <c r="AQ8" s="23">
        <v>0.3</v>
      </c>
      <c r="AR8" s="23">
        <v>0.5</v>
      </c>
      <c r="AS8" s="23">
        <v>0.24</v>
      </c>
      <c r="AT8" s="23">
        <v>0.18</v>
      </c>
      <c r="AU8" s="23">
        <v>0.15</v>
      </c>
      <c r="AV8" s="23">
        <v>0.17</v>
      </c>
      <c r="AW8" s="23">
        <v>0.18</v>
      </c>
      <c r="AX8" s="23">
        <v>0.08</v>
      </c>
      <c r="AY8" s="23">
        <v>0.18</v>
      </c>
      <c r="AZ8" s="23">
        <v>0.31</v>
      </c>
      <c r="BA8" s="23">
        <v>0.13</v>
      </c>
      <c r="BB8" s="23">
        <v>0.35</v>
      </c>
      <c r="BC8" s="23">
        <v>0.32</v>
      </c>
      <c r="BD8" s="23">
        <v>0.36</v>
      </c>
      <c r="BE8" s="23">
        <v>0.1</v>
      </c>
      <c r="BF8" s="23">
        <v>0.07</v>
      </c>
      <c r="BG8" s="23">
        <v>0.19</v>
      </c>
      <c r="BH8" s="23">
        <v>0.23</v>
      </c>
      <c r="BI8" s="23">
        <v>0.7</v>
      </c>
      <c r="BJ8" s="23">
        <v>0.1</v>
      </c>
      <c r="BK8" s="23">
        <v>0.1</v>
      </c>
      <c r="BL8" s="23">
        <v>0.1</v>
      </c>
      <c r="BM8" s="23">
        <v>0.24</v>
      </c>
      <c r="BN8" s="23">
        <v>0.12</v>
      </c>
      <c r="BO8" s="23">
        <v>0.22</v>
      </c>
      <c r="BP8" s="23">
        <v>0.42</v>
      </c>
      <c r="BQ8" s="23">
        <v>0.39</v>
      </c>
      <c r="BR8" s="23">
        <v>0.26</v>
      </c>
      <c r="BS8" s="23">
        <v>0.37</v>
      </c>
      <c r="BT8" s="23">
        <v>0.15</v>
      </c>
      <c r="BU8" s="23">
        <v>0.22</v>
      </c>
      <c r="BV8" s="23">
        <v>0.7</v>
      </c>
      <c r="BW8" s="23">
        <v>0.64</v>
      </c>
      <c r="BX8" s="23">
        <v>0.17</v>
      </c>
      <c r="BY8" s="23">
        <v>0.16</v>
      </c>
      <c r="BZ8" s="23">
        <v>0.1</v>
      </c>
      <c r="CA8" s="23">
        <v>0.19</v>
      </c>
      <c r="CB8" s="23">
        <v>0.06</v>
      </c>
      <c r="CC8" s="23">
        <v>0.09</v>
      </c>
      <c r="CD8" s="23">
        <v>0.47</v>
      </c>
      <c r="CE8" s="23">
        <v>0.4</v>
      </c>
      <c r="CF8" s="23">
        <v>0.1</v>
      </c>
      <c r="CG8" s="23">
        <v>0.3</v>
      </c>
      <c r="CH8" s="23">
        <v>0.2</v>
      </c>
      <c r="CI8" s="23">
        <v>0.5</v>
      </c>
      <c r="CJ8" s="23">
        <v>0.3</v>
      </c>
      <c r="CK8" s="23">
        <v>0.3</v>
      </c>
      <c r="CL8" s="23">
        <v>0.01</v>
      </c>
      <c r="CM8" s="23">
        <v>0.15</v>
      </c>
      <c r="CN8" s="23">
        <v>0.34</v>
      </c>
      <c r="CO8" s="23">
        <v>0.43</v>
      </c>
      <c r="CP8" s="23">
        <v>0.1</v>
      </c>
      <c r="CQ8" s="23">
        <v>0.08</v>
      </c>
      <c r="CR8" s="23">
        <v>0.16</v>
      </c>
      <c r="CS8" s="23">
        <v>0.3</v>
      </c>
      <c r="CT8" s="23">
        <v>0.23</v>
      </c>
      <c r="CU8" s="23">
        <v>0.31</v>
      </c>
      <c r="CV8" s="23">
        <v>0.3</v>
      </c>
      <c r="CW8" s="23">
        <v>0.05</v>
      </c>
      <c r="CX8" s="23">
        <v>0.14</v>
      </c>
      <c r="CY8" s="23">
        <v>0.15</v>
      </c>
      <c r="CZ8" s="23">
        <v>0.2</v>
      </c>
      <c r="DA8" s="23">
        <v>0.22</v>
      </c>
      <c r="DB8" s="23">
        <v>0.2</v>
      </c>
      <c r="DC8" s="23">
        <v>0.08</v>
      </c>
      <c r="DD8" s="23">
        <v>0.03</v>
      </c>
      <c r="DE8" s="23">
        <v>0.3</v>
      </c>
      <c r="DF8" s="23">
        <v>0.39</v>
      </c>
      <c r="DG8" s="25">
        <v>7.72</v>
      </c>
      <c r="DH8" s="23">
        <v>0.56</v>
      </c>
      <c r="DI8" s="23">
        <v>0.28</v>
      </c>
      <c r="DJ8" s="23">
        <v>0.64</v>
      </c>
      <c r="DK8" s="23">
        <v>0.16</v>
      </c>
      <c r="DL8" s="23">
        <v>1.02</v>
      </c>
      <c r="DM8" s="23">
        <v>0.2</v>
      </c>
      <c r="DN8" s="23">
        <v>0.2</v>
      </c>
    </row>
    <row r="9" ht="14.25" customHeight="1">
      <c r="A9" s="21" t="s">
        <v>101</v>
      </c>
      <c r="B9" s="22" t="s">
        <v>102</v>
      </c>
      <c r="C9" s="22"/>
      <c r="D9" s="23">
        <v>3.89</v>
      </c>
      <c r="E9" s="23">
        <v>3.18</v>
      </c>
      <c r="F9" s="23">
        <v>2.98</v>
      </c>
      <c r="G9" s="23">
        <v>5.1</v>
      </c>
      <c r="H9" s="23">
        <v>13.05</v>
      </c>
      <c r="I9" s="23">
        <v>4.24</v>
      </c>
      <c r="J9" s="23">
        <v>55.76</v>
      </c>
      <c r="K9" s="23">
        <v>3.63</v>
      </c>
      <c r="L9" s="23">
        <v>2.16</v>
      </c>
      <c r="M9" s="23">
        <v>2.26</v>
      </c>
      <c r="N9" s="23">
        <v>2.59</v>
      </c>
      <c r="O9" s="23">
        <v>6.03</v>
      </c>
      <c r="P9" s="23">
        <v>6.32</v>
      </c>
      <c r="Q9" s="23">
        <v>4.64</v>
      </c>
      <c r="R9" s="23">
        <v>6.57</v>
      </c>
      <c r="S9" s="23">
        <v>4.45</v>
      </c>
      <c r="T9" s="23">
        <v>6.11</v>
      </c>
      <c r="U9" s="23">
        <v>17.47</v>
      </c>
      <c r="V9" s="23">
        <v>21.55</v>
      </c>
      <c r="W9" s="23">
        <v>21.15</v>
      </c>
      <c r="X9" s="23">
        <v>20.01</v>
      </c>
      <c r="Y9" s="23">
        <v>20.13</v>
      </c>
      <c r="Z9" s="23">
        <v>5.8</v>
      </c>
      <c r="AA9" s="23">
        <v>5.51</v>
      </c>
      <c r="AB9" s="23">
        <v>4.28</v>
      </c>
      <c r="AC9" s="23">
        <v>4.35</v>
      </c>
      <c r="AD9" s="23">
        <v>7.37</v>
      </c>
      <c r="AE9" s="23">
        <v>6.94</v>
      </c>
      <c r="AF9" s="23">
        <v>3.23</v>
      </c>
      <c r="AG9" s="23">
        <v>2.41</v>
      </c>
      <c r="AH9" s="23">
        <v>6.1</v>
      </c>
      <c r="AI9" s="23">
        <v>5.41</v>
      </c>
      <c r="AJ9" s="23">
        <v>4.97</v>
      </c>
      <c r="AK9" s="23">
        <v>4.11</v>
      </c>
      <c r="AL9" s="23">
        <v>3.75</v>
      </c>
      <c r="AM9" s="23">
        <v>6.64</v>
      </c>
      <c r="AN9" s="23">
        <v>7.18</v>
      </c>
      <c r="AO9" s="23">
        <v>6.2</v>
      </c>
      <c r="AP9" s="23">
        <v>6.69</v>
      </c>
      <c r="AQ9" s="23">
        <v>8.95</v>
      </c>
      <c r="AR9" s="23">
        <v>7.1</v>
      </c>
      <c r="AS9" s="23">
        <v>9.58</v>
      </c>
      <c r="AT9" s="23">
        <v>8.22</v>
      </c>
      <c r="AU9" s="23">
        <v>9.28</v>
      </c>
      <c r="AV9" s="23">
        <v>9.56</v>
      </c>
      <c r="AW9" s="23">
        <v>9.96</v>
      </c>
      <c r="AX9" s="23">
        <v>16.28</v>
      </c>
      <c r="AY9" s="23">
        <v>3.35</v>
      </c>
      <c r="AZ9" s="23">
        <v>4.31</v>
      </c>
      <c r="BA9" s="23">
        <v>8.59</v>
      </c>
      <c r="BB9" s="23">
        <v>8.85</v>
      </c>
      <c r="BC9" s="23">
        <v>3.11</v>
      </c>
      <c r="BD9" s="23">
        <v>2.69</v>
      </c>
      <c r="BE9" s="23">
        <v>6.5</v>
      </c>
      <c r="BF9" s="23">
        <v>4.9</v>
      </c>
      <c r="BG9" s="23">
        <v>5.7</v>
      </c>
      <c r="BH9" s="23">
        <v>8.73</v>
      </c>
      <c r="BI9" s="23">
        <v>9.77</v>
      </c>
      <c r="BJ9" s="23">
        <v>3.4</v>
      </c>
      <c r="BK9" s="23">
        <v>2.63</v>
      </c>
      <c r="BL9" s="23">
        <v>4.1</v>
      </c>
      <c r="BM9" s="23">
        <v>3.43</v>
      </c>
      <c r="BN9" s="23">
        <v>3.88</v>
      </c>
      <c r="BO9" s="23">
        <v>4.11</v>
      </c>
      <c r="BP9" s="23">
        <v>1.92</v>
      </c>
      <c r="BQ9" s="23">
        <v>3.63</v>
      </c>
      <c r="BR9" s="23">
        <v>3.75</v>
      </c>
      <c r="BS9" s="23">
        <v>2.92</v>
      </c>
      <c r="BT9" s="23">
        <v>2.87</v>
      </c>
      <c r="BU9" s="23">
        <v>2.26</v>
      </c>
      <c r="BV9" s="23">
        <v>3.2</v>
      </c>
      <c r="BW9" s="23">
        <v>2.93</v>
      </c>
      <c r="BX9" s="23">
        <v>2.97</v>
      </c>
      <c r="BY9" s="23">
        <v>4.0</v>
      </c>
      <c r="BZ9" s="23">
        <v>9.34</v>
      </c>
      <c r="CA9" s="23">
        <v>10.15</v>
      </c>
      <c r="CB9" s="23">
        <v>8.45</v>
      </c>
      <c r="CC9" s="23">
        <v>4.02</v>
      </c>
      <c r="CD9" s="23">
        <v>5.74</v>
      </c>
      <c r="CE9" s="23">
        <v>6.5</v>
      </c>
      <c r="CF9" s="23">
        <v>16.8</v>
      </c>
      <c r="CG9" s="23">
        <v>14.15</v>
      </c>
      <c r="CH9" s="23">
        <v>7.62</v>
      </c>
      <c r="CI9" s="23">
        <v>33.06</v>
      </c>
      <c r="CJ9" s="23">
        <v>17.99</v>
      </c>
      <c r="CK9" s="23">
        <v>17.01</v>
      </c>
      <c r="CL9" s="23">
        <v>17.44</v>
      </c>
      <c r="CM9" s="23">
        <v>10.51</v>
      </c>
      <c r="CN9" s="23">
        <v>11.95</v>
      </c>
      <c r="CO9" s="23">
        <v>7.76</v>
      </c>
      <c r="CP9" s="23">
        <v>6.43</v>
      </c>
      <c r="CQ9" s="23">
        <v>5.06</v>
      </c>
      <c r="CR9" s="23">
        <v>2.94</v>
      </c>
      <c r="CS9" s="23">
        <v>7.13</v>
      </c>
      <c r="CT9" s="23">
        <v>4.36</v>
      </c>
      <c r="CU9" s="23">
        <v>3.67</v>
      </c>
      <c r="CV9" s="23">
        <v>2.81</v>
      </c>
      <c r="CW9" s="23">
        <v>20.12</v>
      </c>
      <c r="CX9" s="23">
        <v>17.72</v>
      </c>
      <c r="CY9" s="23">
        <v>20.71</v>
      </c>
      <c r="CZ9" s="23">
        <v>8.13</v>
      </c>
      <c r="DA9" s="23">
        <v>8.74</v>
      </c>
      <c r="DB9" s="23">
        <v>3.74</v>
      </c>
      <c r="DC9" s="23">
        <v>4.13</v>
      </c>
      <c r="DD9" s="23">
        <v>6.75</v>
      </c>
      <c r="DE9" s="23">
        <v>80.88</v>
      </c>
      <c r="DF9" s="23">
        <v>2.42</v>
      </c>
      <c r="DG9" s="23">
        <v>23.9</v>
      </c>
      <c r="DH9" s="23">
        <v>9.57</v>
      </c>
      <c r="DI9" s="23">
        <v>5.11</v>
      </c>
      <c r="DJ9" s="23">
        <v>9.14</v>
      </c>
      <c r="DK9" s="23">
        <v>12.29</v>
      </c>
      <c r="DL9" s="23">
        <v>5.84</v>
      </c>
      <c r="DM9" s="23">
        <v>3.35</v>
      </c>
      <c r="DN9" s="23">
        <v>7.29</v>
      </c>
    </row>
    <row r="10" ht="14.25" customHeight="1">
      <c r="A10" s="21" t="s">
        <v>103</v>
      </c>
      <c r="B10" s="22" t="s">
        <v>104</v>
      </c>
      <c r="C10" s="22"/>
      <c r="D10" s="23">
        <v>1.2</v>
      </c>
      <c r="E10" s="23">
        <v>0.9</v>
      </c>
      <c r="F10" s="23">
        <v>0.7</v>
      </c>
      <c r="G10" s="23">
        <v>1.1</v>
      </c>
      <c r="H10" s="23">
        <v>1.7</v>
      </c>
      <c r="I10" s="23">
        <v>0.4</v>
      </c>
      <c r="J10" s="25">
        <v>12.3</v>
      </c>
      <c r="K10" s="23">
        <v>0.5</v>
      </c>
      <c r="L10" s="23">
        <v>0.7</v>
      </c>
      <c r="M10" s="23">
        <v>1.2</v>
      </c>
      <c r="N10" s="23">
        <v>1.1</v>
      </c>
      <c r="O10" s="23">
        <v>2.1</v>
      </c>
      <c r="P10" s="23">
        <v>0.9</v>
      </c>
      <c r="Q10" s="23">
        <v>1.7</v>
      </c>
      <c r="R10" s="23">
        <v>1.8</v>
      </c>
      <c r="S10" s="23">
        <v>1.6</v>
      </c>
      <c r="T10" s="23">
        <v>1.2</v>
      </c>
      <c r="U10" s="23">
        <v>2.2</v>
      </c>
      <c r="V10" s="23">
        <v>1.5</v>
      </c>
      <c r="W10" s="23">
        <v>2.2</v>
      </c>
      <c r="X10" s="23">
        <v>1.8</v>
      </c>
      <c r="Y10" s="23">
        <v>1.8</v>
      </c>
      <c r="Z10" s="23">
        <v>2.5</v>
      </c>
      <c r="AA10" s="23">
        <v>1.9</v>
      </c>
      <c r="AB10" s="23">
        <v>2.9</v>
      </c>
      <c r="AC10" s="23">
        <v>2.5</v>
      </c>
      <c r="AD10" s="23">
        <v>2.1</v>
      </c>
      <c r="AE10" s="23">
        <v>2.6</v>
      </c>
      <c r="AF10" s="23">
        <v>1.2</v>
      </c>
      <c r="AG10" s="23">
        <v>1.7</v>
      </c>
      <c r="AH10" s="23">
        <v>3.1</v>
      </c>
      <c r="AI10" s="23">
        <v>2.8</v>
      </c>
      <c r="AJ10" s="23">
        <v>2.0</v>
      </c>
      <c r="AK10" s="23">
        <v>2.3</v>
      </c>
      <c r="AL10" s="23">
        <v>2.7</v>
      </c>
      <c r="AM10" s="23">
        <v>2.6</v>
      </c>
      <c r="AN10" s="23">
        <v>3.3</v>
      </c>
      <c r="AO10" s="23">
        <v>3.6</v>
      </c>
      <c r="AP10" s="23">
        <v>1.1</v>
      </c>
      <c r="AQ10" s="23">
        <v>3.8</v>
      </c>
      <c r="AR10" s="23">
        <v>2.6</v>
      </c>
      <c r="AS10" s="23">
        <v>2.8</v>
      </c>
      <c r="AT10" s="23">
        <v>3.0</v>
      </c>
      <c r="AU10" s="23">
        <v>0.8</v>
      </c>
      <c r="AV10" s="23">
        <v>2.8</v>
      </c>
      <c r="AW10" s="23">
        <v>2.0</v>
      </c>
      <c r="AX10" s="23">
        <v>2.6</v>
      </c>
      <c r="AY10" s="23">
        <v>1.1</v>
      </c>
      <c r="AZ10" s="23">
        <v>1.4</v>
      </c>
      <c r="BA10" s="23">
        <v>1.5</v>
      </c>
      <c r="BB10" s="23">
        <v>2.8</v>
      </c>
      <c r="BC10" s="23">
        <v>1.0</v>
      </c>
      <c r="BD10" s="23">
        <v>1.0</v>
      </c>
      <c r="BE10" s="23">
        <v>0.5</v>
      </c>
      <c r="BF10" s="23">
        <v>1.1</v>
      </c>
      <c r="BG10" s="23">
        <v>3.4</v>
      </c>
      <c r="BH10" s="23">
        <v>2.5</v>
      </c>
      <c r="BI10" s="23">
        <v>2.5</v>
      </c>
      <c r="BJ10" s="23">
        <v>1.6</v>
      </c>
      <c r="BK10" s="23">
        <v>1.4</v>
      </c>
      <c r="BL10" s="23">
        <v>1.6</v>
      </c>
      <c r="BM10" s="23">
        <v>1.6</v>
      </c>
      <c r="BN10" s="23">
        <v>2.1</v>
      </c>
      <c r="BO10" s="23">
        <v>2.0</v>
      </c>
      <c r="BP10" s="23">
        <v>1.6</v>
      </c>
      <c r="BQ10" s="23">
        <v>2.2</v>
      </c>
      <c r="BR10" s="23">
        <v>2.4</v>
      </c>
      <c r="BS10" s="23">
        <v>2.2</v>
      </c>
      <c r="BT10" s="23">
        <v>1.3</v>
      </c>
      <c r="BU10" s="23">
        <v>0.9</v>
      </c>
      <c r="BV10" s="23">
        <v>2.9</v>
      </c>
      <c r="BW10" s="23">
        <v>2.6</v>
      </c>
      <c r="BX10" s="23">
        <v>1.6</v>
      </c>
      <c r="BY10" s="23">
        <v>1.6</v>
      </c>
      <c r="BZ10" s="23">
        <v>1.7</v>
      </c>
      <c r="CA10" s="23">
        <v>1.4</v>
      </c>
      <c r="CB10" s="23">
        <v>1.7</v>
      </c>
      <c r="CC10" s="23">
        <v>1.2</v>
      </c>
      <c r="CD10" s="23">
        <v>1.8</v>
      </c>
      <c r="CE10" s="23">
        <v>2.4</v>
      </c>
      <c r="CF10" s="23">
        <v>3.2</v>
      </c>
      <c r="CG10" s="23">
        <v>1.8</v>
      </c>
      <c r="CH10" s="23">
        <v>1.0</v>
      </c>
      <c r="CI10" s="23">
        <v>2.1</v>
      </c>
      <c r="CJ10" s="24">
        <v>4.9</v>
      </c>
      <c r="CK10" s="23">
        <v>3.6</v>
      </c>
      <c r="CL10" s="23">
        <v>1.6</v>
      </c>
      <c r="CM10" s="24">
        <v>5.4</v>
      </c>
      <c r="CN10" s="25">
        <v>8.6</v>
      </c>
      <c r="CO10" s="23">
        <v>3.9</v>
      </c>
      <c r="CP10" s="23">
        <v>1.8</v>
      </c>
      <c r="CQ10" s="23">
        <v>2.0</v>
      </c>
      <c r="CR10" s="23">
        <v>1.8</v>
      </c>
      <c r="CS10" s="23">
        <v>3.2</v>
      </c>
      <c r="CT10" s="23">
        <v>3.5</v>
      </c>
      <c r="CU10" s="23">
        <v>2.5</v>
      </c>
      <c r="CV10" s="23">
        <v>1.3</v>
      </c>
      <c r="CW10" s="23">
        <v>3.0</v>
      </c>
      <c r="CX10" s="23">
        <v>2.5</v>
      </c>
      <c r="CY10" s="23">
        <v>3.3</v>
      </c>
      <c r="CZ10" s="23">
        <v>2.5</v>
      </c>
      <c r="DA10" s="23">
        <v>1.8</v>
      </c>
      <c r="DB10" s="23">
        <v>1.6</v>
      </c>
      <c r="DC10" s="23">
        <v>2.1</v>
      </c>
      <c r="DD10" s="23">
        <v>0.5</v>
      </c>
      <c r="DE10" s="25">
        <v>7.7</v>
      </c>
      <c r="DG10" s="23">
        <v>3.6</v>
      </c>
      <c r="DH10" s="23">
        <v>1.3</v>
      </c>
      <c r="DI10" s="23">
        <v>0.3</v>
      </c>
      <c r="DJ10" s="23">
        <v>0.5</v>
      </c>
      <c r="DK10" s="23">
        <v>1.3</v>
      </c>
      <c r="DL10" s="23">
        <v>1.9</v>
      </c>
      <c r="DM10" s="23">
        <v>3.1</v>
      </c>
      <c r="DN10" s="23">
        <v>3.1</v>
      </c>
    </row>
    <row r="11" ht="14.25" customHeight="1">
      <c r="A11" s="23" t="s">
        <v>105</v>
      </c>
      <c r="B11" s="22"/>
      <c r="C11" s="22"/>
      <c r="D11" s="23">
        <v>2.63</v>
      </c>
      <c r="G11" s="23">
        <v>4.0</v>
      </c>
      <c r="I11" s="23">
        <v>3.56</v>
      </c>
      <c r="J11" s="23">
        <v>37.59</v>
      </c>
      <c r="K11" s="23">
        <v>1.67</v>
      </c>
      <c r="L11" s="23">
        <v>1.38</v>
      </c>
      <c r="M11" s="23">
        <v>1.06</v>
      </c>
      <c r="N11" s="23">
        <v>1.31</v>
      </c>
      <c r="O11" s="23">
        <v>4.2</v>
      </c>
      <c r="Q11" s="23">
        <v>2.4</v>
      </c>
      <c r="R11" s="23">
        <v>4.28</v>
      </c>
      <c r="S11" s="23">
        <v>3.26</v>
      </c>
      <c r="T11" s="23">
        <v>4.39</v>
      </c>
      <c r="U11" s="23">
        <v>0.78</v>
      </c>
      <c r="V11" s="23">
        <v>1.7</v>
      </c>
      <c r="W11" s="23">
        <v>1.18</v>
      </c>
      <c r="X11" s="23">
        <v>0.85</v>
      </c>
      <c r="Y11" s="23">
        <v>0.87</v>
      </c>
      <c r="Z11" s="23">
        <v>3.2</v>
      </c>
      <c r="AA11" s="23">
        <v>2.79</v>
      </c>
      <c r="AB11" s="23">
        <v>1.78</v>
      </c>
      <c r="AC11" s="23">
        <v>1.78</v>
      </c>
      <c r="AD11" s="23">
        <v>3.83</v>
      </c>
      <c r="AE11" s="23">
        <v>3.32</v>
      </c>
      <c r="AF11" s="23">
        <v>1.41</v>
      </c>
      <c r="AH11" s="23">
        <v>2.27</v>
      </c>
      <c r="AJ11" s="23">
        <v>1.91</v>
      </c>
      <c r="AK11" s="23">
        <v>2.08</v>
      </c>
      <c r="AL11" s="23">
        <v>1.05</v>
      </c>
      <c r="AM11" s="23">
        <v>1.7</v>
      </c>
      <c r="AN11" s="23">
        <v>1.39</v>
      </c>
      <c r="AO11" s="23">
        <v>2.6</v>
      </c>
      <c r="AP11" s="23">
        <v>2.8</v>
      </c>
      <c r="AQ11" s="23">
        <v>2.2</v>
      </c>
      <c r="AR11" s="23">
        <v>1.74</v>
      </c>
      <c r="AS11" s="23">
        <v>4.74</v>
      </c>
      <c r="AT11" s="23">
        <v>3.45</v>
      </c>
      <c r="AU11" s="23">
        <v>3.91</v>
      </c>
      <c r="AV11" s="23">
        <v>6.76</v>
      </c>
      <c r="AW11" s="23">
        <v>7.96</v>
      </c>
      <c r="AX11" s="23">
        <v>13.59</v>
      </c>
      <c r="AY11" s="23">
        <v>2.2</v>
      </c>
      <c r="AZ11" s="23">
        <v>2.59</v>
      </c>
      <c r="BA11" s="23">
        <v>2.2</v>
      </c>
      <c r="BB11" s="23">
        <v>3.3</v>
      </c>
      <c r="BC11" s="23">
        <v>2.5</v>
      </c>
      <c r="BD11" s="23">
        <v>1.71</v>
      </c>
      <c r="BE11" s="23">
        <v>1.36</v>
      </c>
      <c r="BF11" s="23">
        <v>1.02</v>
      </c>
      <c r="BG11" s="23">
        <v>2.35</v>
      </c>
      <c r="BH11" s="23">
        <v>3.2</v>
      </c>
      <c r="BI11" s="23">
        <v>4.8</v>
      </c>
      <c r="BJ11" s="23">
        <v>1.86</v>
      </c>
      <c r="BL11" s="23">
        <v>2.5</v>
      </c>
      <c r="BM11" s="23">
        <v>1.83</v>
      </c>
      <c r="BN11" s="23">
        <v>1.88</v>
      </c>
      <c r="BO11" s="23">
        <v>1.3</v>
      </c>
      <c r="BP11" s="23">
        <v>0.32</v>
      </c>
      <c r="BQ11" s="23">
        <v>0.42</v>
      </c>
      <c r="BR11" s="23">
        <v>0.43</v>
      </c>
      <c r="BT11" s="23">
        <v>0.78</v>
      </c>
      <c r="BU11" s="23">
        <v>0.48</v>
      </c>
      <c r="BX11" s="23">
        <v>1.83</v>
      </c>
      <c r="BY11" s="23">
        <v>2.37</v>
      </c>
      <c r="BZ11" s="23">
        <v>4.24</v>
      </c>
      <c r="CA11" s="23">
        <v>4.73</v>
      </c>
      <c r="CB11" s="23">
        <v>3.81</v>
      </c>
      <c r="CC11" s="23">
        <v>2.2</v>
      </c>
      <c r="CD11" s="23">
        <v>4.95</v>
      </c>
      <c r="CE11" s="23">
        <v>2.18</v>
      </c>
      <c r="CF11" s="23">
        <v>7.87</v>
      </c>
      <c r="CG11" s="23">
        <v>3.9</v>
      </c>
      <c r="CH11" s="23">
        <v>2.11</v>
      </c>
      <c r="CI11" s="23">
        <v>1.0</v>
      </c>
      <c r="CJ11" s="23">
        <v>4.8</v>
      </c>
      <c r="CK11" s="23">
        <v>4.8</v>
      </c>
      <c r="CL11" s="23">
        <v>9.6</v>
      </c>
      <c r="CM11" s="23">
        <v>0.99</v>
      </c>
      <c r="CN11" s="23">
        <v>0.99</v>
      </c>
      <c r="CP11" s="23">
        <v>3.8</v>
      </c>
      <c r="CQ11" s="23">
        <v>2.99</v>
      </c>
      <c r="CS11" s="23">
        <v>0.81</v>
      </c>
      <c r="CT11" s="23">
        <v>0.53</v>
      </c>
      <c r="CV11" s="23">
        <v>0.42</v>
      </c>
      <c r="CW11" s="23">
        <v>4.18</v>
      </c>
      <c r="CX11" s="23">
        <v>5.74</v>
      </c>
      <c r="CY11" s="23">
        <v>6.48</v>
      </c>
      <c r="CZ11" s="23">
        <v>5.6</v>
      </c>
      <c r="DA11" s="23">
        <v>6.02</v>
      </c>
      <c r="DB11" s="23">
        <v>1.1</v>
      </c>
      <c r="DC11" s="23">
        <v>1.1</v>
      </c>
      <c r="DD11" s="23">
        <v>0.28</v>
      </c>
      <c r="DE11" s="23">
        <v>2.97</v>
      </c>
      <c r="DG11" s="23">
        <v>3.1</v>
      </c>
      <c r="DH11" s="23">
        <v>0.6</v>
      </c>
      <c r="DI11" s="23">
        <v>0.49</v>
      </c>
      <c r="DJ11" s="23">
        <v>0.65</v>
      </c>
      <c r="DK11" s="23">
        <v>0.61</v>
      </c>
      <c r="DL11" s="23">
        <v>3.93</v>
      </c>
      <c r="DM11" s="23">
        <v>0.25</v>
      </c>
    </row>
    <row r="12" ht="14.25" customHeight="1">
      <c r="A12" s="19" t="s">
        <v>106</v>
      </c>
      <c r="B12" s="27"/>
      <c r="C12" s="27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 ht="14.25" customHeight="1">
      <c r="A13" s="21" t="s">
        <v>107</v>
      </c>
      <c r="B13" s="22">
        <v>1000.0</v>
      </c>
      <c r="C13" s="22">
        <v>2500.0</v>
      </c>
      <c r="D13" s="23">
        <v>10.0</v>
      </c>
      <c r="E13" s="23">
        <v>5.0</v>
      </c>
      <c r="F13" s="23">
        <v>11.0</v>
      </c>
      <c r="G13" s="23">
        <v>13.0</v>
      </c>
      <c r="H13" s="23">
        <v>26.0</v>
      </c>
      <c r="I13" s="23">
        <v>10.0</v>
      </c>
      <c r="J13" s="25">
        <v>110.0</v>
      </c>
      <c r="K13" s="23">
        <v>16.0</v>
      </c>
      <c r="L13" s="23">
        <v>14.0</v>
      </c>
      <c r="M13" s="23">
        <v>0.0</v>
      </c>
      <c r="N13" s="23">
        <v>42.0</v>
      </c>
      <c r="O13" s="23">
        <v>7.0</v>
      </c>
      <c r="P13" s="23">
        <v>11.0</v>
      </c>
      <c r="Q13" s="23">
        <v>10.0</v>
      </c>
      <c r="R13" s="23">
        <v>7.0</v>
      </c>
      <c r="S13" s="23">
        <v>9.0</v>
      </c>
      <c r="T13" s="23">
        <v>9.0</v>
      </c>
      <c r="U13" s="23">
        <v>12.0</v>
      </c>
      <c r="V13" s="23">
        <v>5.0</v>
      </c>
      <c r="W13" s="23">
        <v>15.0</v>
      </c>
      <c r="X13" s="23">
        <v>8.0</v>
      </c>
      <c r="Y13" s="23">
        <v>5.0</v>
      </c>
      <c r="Z13" s="24">
        <v>40.0</v>
      </c>
      <c r="AA13" s="24">
        <v>48.0</v>
      </c>
      <c r="AB13" s="23">
        <v>30.0</v>
      </c>
      <c r="AC13" s="23">
        <v>30.0</v>
      </c>
      <c r="AD13" s="24">
        <v>45.0</v>
      </c>
      <c r="AE13" s="24">
        <v>42.0</v>
      </c>
      <c r="AF13" s="24">
        <v>77.0</v>
      </c>
      <c r="AG13" s="23">
        <v>32.0</v>
      </c>
      <c r="AH13" s="23">
        <v>35.0</v>
      </c>
      <c r="AI13" s="23">
        <v>30.0</v>
      </c>
      <c r="AJ13" s="23">
        <v>22.0</v>
      </c>
      <c r="AK13" s="23">
        <v>16.0</v>
      </c>
      <c r="AL13" s="23">
        <v>17.0</v>
      </c>
      <c r="AM13" s="24">
        <v>47.0</v>
      </c>
      <c r="AN13" s="24">
        <v>40.0</v>
      </c>
      <c r="AO13" s="23">
        <v>24.0</v>
      </c>
      <c r="AP13" s="23">
        <v>25.0</v>
      </c>
      <c r="AQ13" s="24">
        <v>42.0</v>
      </c>
      <c r="AR13" s="23">
        <v>36.0</v>
      </c>
      <c r="AS13" s="23">
        <v>33.0</v>
      </c>
      <c r="AT13" s="23">
        <v>30.0</v>
      </c>
      <c r="AU13" s="23">
        <v>24.0</v>
      </c>
      <c r="AV13" s="23">
        <v>16.0</v>
      </c>
      <c r="AW13" s="23">
        <v>16.0</v>
      </c>
      <c r="AX13" s="23">
        <v>11.0</v>
      </c>
      <c r="AY13" s="23">
        <v>15.0</v>
      </c>
      <c r="AZ13" s="23">
        <v>27.0</v>
      </c>
      <c r="BA13" s="23">
        <v>28.0</v>
      </c>
      <c r="BB13" s="23">
        <v>22.0</v>
      </c>
      <c r="BC13" s="23">
        <v>16.0</v>
      </c>
      <c r="BD13" s="23">
        <v>18.0</v>
      </c>
      <c r="BE13" s="23">
        <v>21.0</v>
      </c>
      <c r="BF13" s="23">
        <v>15.0</v>
      </c>
      <c r="BG13" s="23">
        <v>9.0</v>
      </c>
      <c r="BH13" s="23">
        <v>6.0</v>
      </c>
      <c r="BI13" s="23">
        <v>25.0</v>
      </c>
      <c r="BJ13" s="23">
        <v>25.0</v>
      </c>
      <c r="BK13" s="23">
        <v>27.0</v>
      </c>
      <c r="BL13" s="23">
        <v>27.0</v>
      </c>
      <c r="BM13" s="23">
        <v>17.0</v>
      </c>
      <c r="BN13" s="23">
        <v>24.0</v>
      </c>
      <c r="BO13" s="23">
        <v>23.0</v>
      </c>
      <c r="BP13" s="23">
        <v>18.0</v>
      </c>
      <c r="BQ13" s="24">
        <v>99.0</v>
      </c>
      <c r="BR13" s="25">
        <v>136.0</v>
      </c>
      <c r="BS13" s="24">
        <v>83.0</v>
      </c>
      <c r="BT13" s="23">
        <v>36.0</v>
      </c>
      <c r="BU13" s="23">
        <v>33.0</v>
      </c>
      <c r="BV13" s="24">
        <v>44.0</v>
      </c>
      <c r="BW13" s="23">
        <v>38.0</v>
      </c>
      <c r="BX13" s="24">
        <v>40.0</v>
      </c>
      <c r="BY13" s="24">
        <v>42.0</v>
      </c>
      <c r="BZ13" s="23">
        <v>23.0</v>
      </c>
      <c r="CA13" s="23">
        <v>22.0</v>
      </c>
      <c r="CB13" s="23">
        <v>36.0</v>
      </c>
      <c r="CC13" s="24">
        <v>45.0</v>
      </c>
      <c r="CD13" s="24">
        <v>52.0</v>
      </c>
      <c r="CE13" s="23">
        <v>18.0</v>
      </c>
      <c r="CF13" s="23">
        <v>37.0</v>
      </c>
      <c r="CG13" s="24">
        <v>59.0</v>
      </c>
      <c r="CH13" s="23">
        <v>30.0</v>
      </c>
      <c r="CI13" s="24">
        <v>181.0</v>
      </c>
      <c r="CJ13" s="23">
        <v>36.0</v>
      </c>
      <c r="CK13" s="23">
        <v>37.0</v>
      </c>
      <c r="CL13" s="23">
        <v>14.0</v>
      </c>
      <c r="CM13" s="24">
        <v>44.0</v>
      </c>
      <c r="CN13" s="23">
        <v>21.0</v>
      </c>
      <c r="CO13" s="23">
        <v>19.0</v>
      </c>
      <c r="CP13" s="23">
        <v>30.0</v>
      </c>
      <c r="CQ13" s="23">
        <v>33.0</v>
      </c>
      <c r="CR13" s="23">
        <v>23.0</v>
      </c>
      <c r="CS13" s="25">
        <v>190.0</v>
      </c>
      <c r="CT13" s="25">
        <v>137.0</v>
      </c>
      <c r="CU13" s="25">
        <v>118.0</v>
      </c>
      <c r="CV13" s="25">
        <v>118.0</v>
      </c>
      <c r="CW13" s="23">
        <v>30.0</v>
      </c>
      <c r="CX13" s="23">
        <v>27.0</v>
      </c>
      <c r="CY13" s="23">
        <v>38.0</v>
      </c>
      <c r="CZ13" s="24">
        <v>47.0</v>
      </c>
      <c r="DA13" s="24">
        <v>48.0</v>
      </c>
      <c r="DB13" s="24">
        <v>51.0</v>
      </c>
      <c r="DC13" s="24">
        <v>58.0</v>
      </c>
      <c r="DD13" s="24">
        <v>54.0</v>
      </c>
      <c r="DE13" s="25">
        <v>625.0</v>
      </c>
      <c r="DF13" s="23">
        <v>12.0</v>
      </c>
      <c r="DG13" s="25">
        <v>120.0</v>
      </c>
      <c r="DH13" s="25">
        <v>168.0</v>
      </c>
      <c r="DI13" s="24">
        <v>70.0</v>
      </c>
      <c r="DJ13" s="25">
        <v>150.0</v>
      </c>
      <c r="DK13" s="24">
        <v>72.0</v>
      </c>
      <c r="DL13" s="23">
        <v>7.0</v>
      </c>
      <c r="DM13" s="24">
        <v>52.0</v>
      </c>
      <c r="DN13" s="24">
        <v>49.0</v>
      </c>
    </row>
    <row r="14" ht="14.25" customHeight="1">
      <c r="A14" s="21" t="s">
        <v>108</v>
      </c>
      <c r="B14" s="22" t="s">
        <v>109</v>
      </c>
      <c r="C14" s="22" t="s">
        <v>110</v>
      </c>
      <c r="D14" s="23">
        <v>0.27</v>
      </c>
      <c r="E14" s="23">
        <v>0.47</v>
      </c>
      <c r="F14" s="23">
        <v>0.49</v>
      </c>
      <c r="G14" s="23">
        <v>0.51</v>
      </c>
      <c r="H14" s="24">
        <v>1.06</v>
      </c>
      <c r="I14" s="23">
        <v>0.43</v>
      </c>
      <c r="J14" s="25">
        <v>9.09</v>
      </c>
      <c r="K14" s="23">
        <v>0.28</v>
      </c>
      <c r="L14" s="23">
        <v>0.22</v>
      </c>
      <c r="M14" s="23">
        <v>0.4</v>
      </c>
      <c r="N14" s="23">
        <v>0.37</v>
      </c>
      <c r="O14" s="23">
        <v>0.43</v>
      </c>
      <c r="P14" s="23">
        <v>0.46</v>
      </c>
      <c r="Q14" s="23">
        <v>0.34</v>
      </c>
      <c r="R14" s="23">
        <v>0.47</v>
      </c>
      <c r="S14" s="23">
        <v>0.62</v>
      </c>
      <c r="T14" s="23">
        <v>0.46</v>
      </c>
      <c r="U14" s="23">
        <v>0.78</v>
      </c>
      <c r="V14" s="23">
        <v>0.35</v>
      </c>
      <c r="W14" s="24">
        <v>1.08</v>
      </c>
      <c r="X14" s="23">
        <v>0.31</v>
      </c>
      <c r="Y14" s="23">
        <v>0.31</v>
      </c>
      <c r="Z14" s="23">
        <v>0.47</v>
      </c>
      <c r="AA14" s="23">
        <v>0.17</v>
      </c>
      <c r="AB14" s="23">
        <v>1.47</v>
      </c>
      <c r="AC14" s="23">
        <v>1.47</v>
      </c>
      <c r="AD14" s="23">
        <v>0.8</v>
      </c>
      <c r="AE14" s="23">
        <v>0.66</v>
      </c>
      <c r="AF14" s="23">
        <v>0.31</v>
      </c>
      <c r="AG14" s="23">
        <v>0.3</v>
      </c>
      <c r="AH14" s="23">
        <v>0.4</v>
      </c>
      <c r="AI14" s="23">
        <v>0.38</v>
      </c>
      <c r="AJ14" s="23">
        <v>0.42</v>
      </c>
      <c r="AK14" s="23">
        <v>0.32</v>
      </c>
      <c r="AL14" s="23">
        <v>0.41</v>
      </c>
      <c r="AM14" s="23">
        <v>0.73</v>
      </c>
      <c r="AN14" s="23">
        <v>0.67</v>
      </c>
      <c r="AO14" s="23">
        <v>0.4</v>
      </c>
      <c r="AP14" s="23">
        <v>0.4</v>
      </c>
      <c r="AQ14" s="24">
        <v>1.4</v>
      </c>
      <c r="AR14" s="24">
        <v>1.2</v>
      </c>
      <c r="AS14" s="23">
        <v>0.3</v>
      </c>
      <c r="AT14" s="23">
        <v>0.34</v>
      </c>
      <c r="AU14" s="23">
        <v>0.46</v>
      </c>
      <c r="AV14" s="23">
        <v>0.8</v>
      </c>
      <c r="AW14" s="23">
        <v>0.79</v>
      </c>
      <c r="AX14" s="23">
        <v>0.41</v>
      </c>
      <c r="AY14" s="23">
        <v>0.35</v>
      </c>
      <c r="AZ14" s="23">
        <v>0.36</v>
      </c>
      <c r="BA14" s="23">
        <v>0.58</v>
      </c>
      <c r="BB14" s="23">
        <v>0.44</v>
      </c>
      <c r="BC14" s="23">
        <v>0.37</v>
      </c>
      <c r="BD14" s="23">
        <v>0.37</v>
      </c>
      <c r="BE14" s="23">
        <v>0.8</v>
      </c>
      <c r="BF14" s="23">
        <v>0.57</v>
      </c>
      <c r="BG14" s="23">
        <v>0.24</v>
      </c>
      <c r="BH14" s="23">
        <v>0.25</v>
      </c>
      <c r="BI14" s="23">
        <v>0.77</v>
      </c>
      <c r="BJ14" s="23">
        <v>0.34</v>
      </c>
      <c r="BK14" s="23">
        <v>0.8</v>
      </c>
      <c r="BL14" s="23">
        <v>0.4</v>
      </c>
      <c r="BM14" s="23">
        <v>0.15</v>
      </c>
      <c r="BN14" s="24">
        <v>2.14</v>
      </c>
      <c r="BO14" s="23">
        <v>0.91</v>
      </c>
      <c r="BP14" s="23">
        <v>0.56</v>
      </c>
      <c r="BQ14" s="24">
        <v>2.71</v>
      </c>
      <c r="BR14" s="24">
        <v>3.57</v>
      </c>
      <c r="BS14" s="24">
        <v>1.58</v>
      </c>
      <c r="BT14" s="23">
        <v>0.86</v>
      </c>
      <c r="BU14" s="24">
        <v>1.2</v>
      </c>
      <c r="BV14" s="24">
        <v>2.4</v>
      </c>
      <c r="BW14" s="24">
        <v>2.08</v>
      </c>
      <c r="BX14" s="23">
        <v>0.2</v>
      </c>
      <c r="BY14" s="23">
        <v>0.42</v>
      </c>
      <c r="BZ14" s="23">
        <v>0.21</v>
      </c>
      <c r="CA14" s="23">
        <v>0.24</v>
      </c>
      <c r="CB14" s="23">
        <v>0.46</v>
      </c>
      <c r="CC14" s="23">
        <v>0.13</v>
      </c>
      <c r="CD14" s="23">
        <v>0.51</v>
      </c>
      <c r="CE14" s="24">
        <v>1.22</v>
      </c>
      <c r="CF14" s="24">
        <v>1.2</v>
      </c>
      <c r="CG14" s="24">
        <v>2.1</v>
      </c>
      <c r="CH14" s="24">
        <v>1.1</v>
      </c>
      <c r="CI14" s="24">
        <v>1.7</v>
      </c>
      <c r="CJ14" s="23">
        <v>0.59</v>
      </c>
      <c r="CK14" s="23">
        <v>0.58</v>
      </c>
      <c r="CL14" s="24">
        <v>3.4</v>
      </c>
      <c r="CM14" s="24">
        <v>1.28</v>
      </c>
      <c r="CN14" s="23">
        <v>0.61</v>
      </c>
      <c r="CO14" s="23">
        <v>0.5</v>
      </c>
      <c r="CP14" s="23">
        <v>0.3</v>
      </c>
      <c r="CQ14" s="23">
        <v>0.18</v>
      </c>
      <c r="CR14" s="23">
        <v>0.7</v>
      </c>
      <c r="CS14" s="24">
        <v>1.1</v>
      </c>
      <c r="CT14" s="23">
        <v>0.8</v>
      </c>
      <c r="CU14" s="24">
        <v>1.51</v>
      </c>
      <c r="CV14" s="24">
        <v>1.51</v>
      </c>
      <c r="CW14" s="23">
        <v>0.61</v>
      </c>
      <c r="CX14" s="23">
        <v>0.72</v>
      </c>
      <c r="CY14" s="23">
        <v>0.69</v>
      </c>
      <c r="CZ14" s="23">
        <v>0.52</v>
      </c>
      <c r="DA14" s="23">
        <v>0.53</v>
      </c>
      <c r="DB14" s="24">
        <v>1.8</v>
      </c>
      <c r="DC14" s="24">
        <v>2.26</v>
      </c>
      <c r="DD14" s="24">
        <v>1.86</v>
      </c>
      <c r="DE14" s="25">
        <v>21.4</v>
      </c>
      <c r="DF14" s="24">
        <v>2.79</v>
      </c>
      <c r="DG14" s="25">
        <v>28.5</v>
      </c>
      <c r="DH14" s="24">
        <v>2.85</v>
      </c>
      <c r="DI14" s="24">
        <v>1.8</v>
      </c>
      <c r="DJ14" s="24">
        <v>2.18</v>
      </c>
      <c r="DK14" s="25">
        <v>8.9</v>
      </c>
      <c r="DL14" s="23">
        <v>0.62</v>
      </c>
      <c r="DM14" s="23">
        <v>0.83</v>
      </c>
      <c r="DN14" s="23">
        <v>0.73</v>
      </c>
    </row>
    <row r="15" ht="14.25" customHeight="1">
      <c r="A15" s="21" t="s">
        <v>111</v>
      </c>
      <c r="B15" s="22" t="s">
        <v>112</v>
      </c>
      <c r="C15" s="22">
        <v>350.0</v>
      </c>
      <c r="D15" s="23">
        <v>11.0</v>
      </c>
      <c r="E15" s="23">
        <v>8.0</v>
      </c>
      <c r="F15" s="23">
        <v>12.0</v>
      </c>
      <c r="G15" s="23">
        <v>10.0</v>
      </c>
      <c r="H15" s="23">
        <v>15.0</v>
      </c>
      <c r="I15" s="23">
        <v>11.0</v>
      </c>
      <c r="J15" s="25">
        <v>194.0</v>
      </c>
      <c r="K15" s="23">
        <v>13.0</v>
      </c>
      <c r="L15" s="23">
        <v>12.0</v>
      </c>
      <c r="M15" s="23">
        <v>4.0</v>
      </c>
      <c r="N15" s="23">
        <v>7.0</v>
      </c>
      <c r="O15" s="23">
        <v>12.0</v>
      </c>
      <c r="P15" s="23">
        <v>12.0</v>
      </c>
      <c r="Q15" s="23">
        <v>10.0</v>
      </c>
      <c r="R15" s="23">
        <v>12.0</v>
      </c>
      <c r="S15" s="23">
        <v>8.0</v>
      </c>
      <c r="T15" s="23">
        <v>10.0</v>
      </c>
      <c r="U15" s="23">
        <v>23.0</v>
      </c>
      <c r="V15" s="23">
        <v>25.0</v>
      </c>
      <c r="W15" s="23">
        <v>28.0</v>
      </c>
      <c r="X15" s="23">
        <v>20.0</v>
      </c>
      <c r="Y15" s="23">
        <v>22.0</v>
      </c>
      <c r="Z15" s="23">
        <v>12.0</v>
      </c>
      <c r="AA15" s="23">
        <v>15.0</v>
      </c>
      <c r="AB15" s="23">
        <v>13.0</v>
      </c>
      <c r="AC15" s="23">
        <v>13.0</v>
      </c>
      <c r="AD15" s="23">
        <v>16.0</v>
      </c>
      <c r="AE15" s="23">
        <v>17.0</v>
      </c>
      <c r="AF15" s="23">
        <v>13.0</v>
      </c>
      <c r="AG15" s="23">
        <v>10.0</v>
      </c>
      <c r="AH15" s="23">
        <v>28.0</v>
      </c>
      <c r="AI15" s="23">
        <v>24.0</v>
      </c>
      <c r="AJ15" s="23">
        <v>15.0</v>
      </c>
      <c r="AK15" s="23">
        <v>9.0</v>
      </c>
      <c r="AL15" s="23">
        <v>9.0</v>
      </c>
      <c r="AM15" s="23">
        <v>21.0</v>
      </c>
      <c r="AN15" s="23">
        <v>21.0</v>
      </c>
      <c r="AO15" s="23">
        <v>19.0</v>
      </c>
      <c r="AP15" s="23">
        <v>19.0</v>
      </c>
      <c r="AQ15" s="23">
        <v>23.0</v>
      </c>
      <c r="AR15" s="23">
        <v>20.0</v>
      </c>
      <c r="AS15" s="23">
        <v>12.0</v>
      </c>
      <c r="AT15" s="23">
        <v>10.0</v>
      </c>
      <c r="AU15" s="23">
        <v>14.0</v>
      </c>
      <c r="AV15" s="23">
        <v>23.0</v>
      </c>
      <c r="AW15" s="23">
        <v>23.0</v>
      </c>
      <c r="AX15" s="23">
        <v>15.0</v>
      </c>
      <c r="AY15" s="23">
        <v>17.0</v>
      </c>
      <c r="AZ15" s="23">
        <v>24.0</v>
      </c>
      <c r="BA15" s="23">
        <v>14.0</v>
      </c>
      <c r="BB15" s="23">
        <v>13.0</v>
      </c>
      <c r="BC15" s="23">
        <v>18.0</v>
      </c>
      <c r="BD15" s="23">
        <v>19.0</v>
      </c>
      <c r="BE15" s="23">
        <v>12.0</v>
      </c>
      <c r="BF15" s="23">
        <v>9.0</v>
      </c>
      <c r="BG15" s="23">
        <v>14.0</v>
      </c>
      <c r="BH15" s="23">
        <v>11.0</v>
      </c>
      <c r="BI15" s="23">
        <v>6.0</v>
      </c>
      <c r="BJ15" s="23">
        <v>10.0</v>
      </c>
      <c r="BK15" s="23">
        <v>9.0</v>
      </c>
      <c r="BL15" s="23">
        <v>16.0</v>
      </c>
      <c r="BM15" s="23">
        <v>9.0</v>
      </c>
      <c r="BN15" s="23">
        <v>14.0</v>
      </c>
      <c r="BO15" s="23">
        <v>14.0</v>
      </c>
      <c r="BP15" s="23">
        <v>10.0</v>
      </c>
      <c r="BQ15" s="24">
        <v>79.0</v>
      </c>
      <c r="BR15" s="24">
        <v>87.0</v>
      </c>
      <c r="BS15" s="24">
        <v>56.0</v>
      </c>
      <c r="BT15" s="23">
        <v>13.0</v>
      </c>
      <c r="BU15" s="23">
        <v>12.0</v>
      </c>
      <c r="BV15" s="24">
        <v>103.0</v>
      </c>
      <c r="BW15" s="24">
        <v>89.0</v>
      </c>
      <c r="BX15" s="23">
        <v>11.0</v>
      </c>
      <c r="BY15" s="23">
        <v>12.0</v>
      </c>
      <c r="BZ15" s="23">
        <v>10.0</v>
      </c>
      <c r="CA15" s="23">
        <v>11.0</v>
      </c>
      <c r="CB15" s="23">
        <v>10.0</v>
      </c>
      <c r="CC15" s="23">
        <v>6.0</v>
      </c>
      <c r="CD15" s="23">
        <v>16.0</v>
      </c>
      <c r="CE15" s="23">
        <v>23.0</v>
      </c>
      <c r="CF15" s="23">
        <v>21.0</v>
      </c>
      <c r="CG15" s="23">
        <v>28.0</v>
      </c>
      <c r="CH15" s="23">
        <v>14.0</v>
      </c>
      <c r="CI15" s="23">
        <v>25.0</v>
      </c>
      <c r="CJ15" s="23">
        <v>29.0</v>
      </c>
      <c r="CK15" s="23">
        <v>29.0</v>
      </c>
      <c r="CL15" s="23">
        <v>17.0</v>
      </c>
      <c r="CM15" s="24">
        <v>60.0</v>
      </c>
      <c r="CN15" s="24">
        <v>42.0</v>
      </c>
      <c r="CO15" s="23">
        <v>27.0</v>
      </c>
      <c r="CP15" s="23">
        <v>11.0</v>
      </c>
      <c r="CQ15" s="23">
        <v>9.0</v>
      </c>
      <c r="CR15" s="23">
        <v>10.0</v>
      </c>
      <c r="CS15" s="23">
        <v>31.0</v>
      </c>
      <c r="CT15" s="23">
        <v>22.0</v>
      </c>
      <c r="CU15" s="23">
        <v>27.0</v>
      </c>
      <c r="CV15" s="23">
        <v>20.0</v>
      </c>
      <c r="CW15" s="23">
        <v>25.0</v>
      </c>
      <c r="CX15" s="23">
        <v>18.0</v>
      </c>
      <c r="CY15" s="23">
        <v>27.0</v>
      </c>
      <c r="CZ15" s="23">
        <v>23.0</v>
      </c>
      <c r="DA15" s="23">
        <v>23.0</v>
      </c>
      <c r="DB15" s="24">
        <v>81.0</v>
      </c>
      <c r="DC15" s="24">
        <v>86.0</v>
      </c>
      <c r="DD15" s="24">
        <v>67.0</v>
      </c>
      <c r="DE15" s="25">
        <v>770.0</v>
      </c>
      <c r="DF15" s="23">
        <v>19.0</v>
      </c>
      <c r="DG15" s="25">
        <v>195.0</v>
      </c>
      <c r="DH15" s="25">
        <v>121.0</v>
      </c>
      <c r="DI15" s="23">
        <v>2.0</v>
      </c>
      <c r="DJ15" s="25">
        <v>107.0</v>
      </c>
      <c r="DK15" s="25">
        <v>144.0</v>
      </c>
      <c r="DL15" s="23">
        <v>20.0</v>
      </c>
      <c r="DM15" s="23">
        <v>15.0</v>
      </c>
      <c r="DN15" s="23">
        <v>17.0</v>
      </c>
    </row>
    <row r="16" ht="14.25" customHeight="1">
      <c r="A16" s="21" t="s">
        <v>113</v>
      </c>
      <c r="B16" s="22" t="s">
        <v>114</v>
      </c>
      <c r="C16" s="22">
        <v>4000.0</v>
      </c>
      <c r="D16" s="23">
        <v>24.0</v>
      </c>
      <c r="E16" s="23">
        <v>29.0</v>
      </c>
      <c r="F16" s="23">
        <v>36.0</v>
      </c>
      <c r="G16" s="23">
        <v>28.0</v>
      </c>
      <c r="H16" s="23">
        <v>38.0</v>
      </c>
      <c r="I16" s="23">
        <v>18.0</v>
      </c>
      <c r="J16" s="25">
        <v>356.0</v>
      </c>
      <c r="K16" s="23">
        <v>24.0</v>
      </c>
      <c r="L16" s="23">
        <v>21.0</v>
      </c>
      <c r="M16" s="23">
        <v>14.0</v>
      </c>
      <c r="N16" s="23">
        <v>12.0</v>
      </c>
      <c r="O16" s="23">
        <v>26.0</v>
      </c>
      <c r="P16" s="23">
        <v>24.0</v>
      </c>
      <c r="Q16" s="23">
        <v>20.0</v>
      </c>
      <c r="R16" s="23">
        <v>23.0</v>
      </c>
      <c r="S16" s="23">
        <v>17.0</v>
      </c>
      <c r="T16" s="23">
        <v>18.0</v>
      </c>
      <c r="U16" s="23">
        <v>57.0</v>
      </c>
      <c r="V16" s="23">
        <v>50.0</v>
      </c>
      <c r="W16" s="24">
        <v>70.0</v>
      </c>
      <c r="X16" s="23">
        <v>40.0</v>
      </c>
      <c r="Y16" s="23">
        <v>44.0</v>
      </c>
      <c r="Z16" s="23">
        <v>26.0</v>
      </c>
      <c r="AA16" s="23">
        <v>33.0</v>
      </c>
      <c r="AB16" s="23">
        <v>20.0</v>
      </c>
      <c r="AC16" s="23">
        <v>20.0</v>
      </c>
      <c r="AD16" s="23">
        <v>30.0</v>
      </c>
      <c r="AE16" s="23">
        <v>33.0</v>
      </c>
      <c r="AF16" s="23">
        <v>29.0</v>
      </c>
      <c r="AG16" s="23">
        <v>39.0</v>
      </c>
      <c r="AH16" s="23">
        <v>42.0</v>
      </c>
      <c r="AI16" s="23">
        <v>33.0</v>
      </c>
      <c r="AJ16" s="23">
        <v>44.0</v>
      </c>
      <c r="AK16" s="23">
        <v>32.0</v>
      </c>
      <c r="AL16" s="23">
        <v>24.0</v>
      </c>
      <c r="AM16" s="24">
        <v>66.0</v>
      </c>
      <c r="AN16" s="24">
        <v>67.0</v>
      </c>
      <c r="AO16" s="23">
        <v>46.0</v>
      </c>
      <c r="AP16" s="23">
        <v>45.0</v>
      </c>
      <c r="AQ16" s="24">
        <v>69.0</v>
      </c>
      <c r="AR16" s="23">
        <v>56.0</v>
      </c>
      <c r="AS16" s="23">
        <v>35.0</v>
      </c>
      <c r="AT16" s="23">
        <v>30.0</v>
      </c>
      <c r="AU16" s="23">
        <v>42.0</v>
      </c>
      <c r="AV16" s="23">
        <v>40.0</v>
      </c>
      <c r="AW16" s="23">
        <v>38.0</v>
      </c>
      <c r="AX16" s="23">
        <v>17.0</v>
      </c>
      <c r="AY16" s="23">
        <v>38.0</v>
      </c>
      <c r="AZ16" s="23">
        <v>39.0</v>
      </c>
      <c r="BA16" s="23">
        <v>23.0</v>
      </c>
      <c r="BB16" s="23">
        <v>19.0</v>
      </c>
      <c r="BC16" s="23">
        <v>38.0</v>
      </c>
      <c r="BD16" s="23">
        <v>37.0</v>
      </c>
      <c r="BE16" s="23">
        <v>44.0</v>
      </c>
      <c r="BF16" s="23">
        <v>30.0</v>
      </c>
      <c r="BG16" s="23">
        <v>25.0</v>
      </c>
      <c r="BH16" s="23">
        <v>15.0</v>
      </c>
      <c r="BI16" s="23">
        <v>9.0</v>
      </c>
      <c r="BJ16" s="23">
        <v>20.0</v>
      </c>
      <c r="BK16" s="23">
        <v>28.0</v>
      </c>
      <c r="BL16" s="23">
        <v>23.0</v>
      </c>
      <c r="BM16" s="23">
        <v>24.0</v>
      </c>
      <c r="BN16" s="23">
        <v>52.0</v>
      </c>
      <c r="BO16" s="23">
        <v>54.0</v>
      </c>
      <c r="BP16" s="23">
        <v>49.0</v>
      </c>
      <c r="BQ16" s="23">
        <v>49.0</v>
      </c>
      <c r="BR16" s="23">
        <v>56.0</v>
      </c>
      <c r="BS16" s="23">
        <v>32.0</v>
      </c>
      <c r="BT16" s="23">
        <v>29.0</v>
      </c>
      <c r="BU16" s="23">
        <v>28.0</v>
      </c>
      <c r="BV16" s="23">
        <v>63.0</v>
      </c>
      <c r="BW16" s="23">
        <v>52.0</v>
      </c>
      <c r="BX16" s="23">
        <v>24.0</v>
      </c>
      <c r="BY16" s="23">
        <v>25.0</v>
      </c>
      <c r="BZ16" s="23">
        <v>29.0</v>
      </c>
      <c r="CA16" s="23">
        <v>35.0</v>
      </c>
      <c r="CB16" s="23">
        <v>23.0</v>
      </c>
      <c r="CC16" s="23">
        <v>28.0</v>
      </c>
      <c r="CD16" s="23">
        <v>25.0</v>
      </c>
      <c r="CE16" s="23">
        <v>49.0</v>
      </c>
      <c r="CF16" s="23">
        <v>60.0</v>
      </c>
      <c r="CG16" s="23">
        <v>35.0</v>
      </c>
      <c r="CH16" s="23">
        <v>17.0</v>
      </c>
      <c r="CI16" s="24">
        <v>153.0</v>
      </c>
      <c r="CJ16" s="24">
        <v>71.0</v>
      </c>
      <c r="CK16" s="24">
        <v>69.0</v>
      </c>
      <c r="CL16" s="24">
        <v>78.0</v>
      </c>
      <c r="CM16" s="24">
        <v>90.0</v>
      </c>
      <c r="CN16" s="24">
        <v>73.0</v>
      </c>
      <c r="CO16" s="23">
        <v>58.0</v>
      </c>
      <c r="CP16" s="23">
        <v>27.0</v>
      </c>
      <c r="CQ16" s="23">
        <v>26.0</v>
      </c>
      <c r="CR16" s="23">
        <v>20.0</v>
      </c>
      <c r="CS16" s="23">
        <v>42.0</v>
      </c>
      <c r="CT16" s="23">
        <v>29.0</v>
      </c>
      <c r="CU16" s="23">
        <v>27.0</v>
      </c>
      <c r="CV16" s="23">
        <v>21.0</v>
      </c>
      <c r="CW16" s="23">
        <v>47.0</v>
      </c>
      <c r="CX16" s="23">
        <v>32.0</v>
      </c>
      <c r="CY16" s="23">
        <v>54.0</v>
      </c>
      <c r="CZ16" s="23">
        <v>58.0</v>
      </c>
      <c r="DA16" s="23">
        <v>56.0</v>
      </c>
      <c r="DB16" s="23">
        <v>46.0</v>
      </c>
      <c r="DC16" s="23">
        <v>33.0</v>
      </c>
      <c r="DD16" s="23">
        <v>5.0</v>
      </c>
      <c r="DE16" s="23">
        <v>52.0</v>
      </c>
      <c r="DF16" s="23">
        <v>11.0</v>
      </c>
      <c r="DG16" s="24">
        <v>118.0</v>
      </c>
      <c r="DH16" s="23">
        <v>42.0</v>
      </c>
      <c r="DI16" s="23">
        <v>58.0</v>
      </c>
      <c r="DJ16" s="23">
        <v>80.0</v>
      </c>
      <c r="DK16" s="24">
        <v>157.0</v>
      </c>
      <c r="DL16" s="23">
        <v>39.0</v>
      </c>
      <c r="DM16" s="23">
        <v>28.0</v>
      </c>
      <c r="DN16" s="23">
        <v>50.0</v>
      </c>
    </row>
    <row r="17" ht="14.25" customHeight="1">
      <c r="A17" s="21" t="s">
        <v>115</v>
      </c>
      <c r="B17" s="22" t="s">
        <v>116</v>
      </c>
      <c r="C17" s="22" t="s">
        <v>100</v>
      </c>
      <c r="D17" s="23">
        <v>237.0</v>
      </c>
      <c r="E17" s="23">
        <v>212.0</v>
      </c>
      <c r="F17" s="23">
        <v>258.0</v>
      </c>
      <c r="G17" s="23">
        <v>204.0</v>
      </c>
      <c r="H17" s="23">
        <v>247.0</v>
      </c>
      <c r="I17" s="23">
        <v>229.0</v>
      </c>
      <c r="J17" s="25">
        <v>3427.0</v>
      </c>
      <c r="K17" s="23">
        <v>147.0</v>
      </c>
      <c r="L17" s="23">
        <v>136.0</v>
      </c>
      <c r="M17" s="23">
        <v>23.0</v>
      </c>
      <c r="N17" s="23">
        <v>92.0</v>
      </c>
      <c r="O17" s="23">
        <v>211.0</v>
      </c>
      <c r="P17" s="23">
        <v>212.0</v>
      </c>
      <c r="Q17" s="23">
        <v>175.0</v>
      </c>
      <c r="R17" s="23">
        <v>193.0</v>
      </c>
      <c r="S17" s="23">
        <v>91.0</v>
      </c>
      <c r="T17" s="23">
        <v>166.0</v>
      </c>
      <c r="U17" s="23">
        <v>421.0</v>
      </c>
      <c r="V17" s="23">
        <v>391.0</v>
      </c>
      <c r="W17" s="24">
        <v>535.0</v>
      </c>
      <c r="X17" s="23">
        <v>328.0</v>
      </c>
      <c r="Y17" s="23">
        <v>379.0</v>
      </c>
      <c r="Z17" s="23">
        <v>170.0</v>
      </c>
      <c r="AA17" s="23">
        <v>196.0</v>
      </c>
      <c r="AB17" s="23">
        <v>170.0</v>
      </c>
      <c r="AC17" s="23">
        <v>170.0</v>
      </c>
      <c r="AD17" s="23">
        <v>243.0</v>
      </c>
      <c r="AE17" s="23">
        <v>262.0</v>
      </c>
      <c r="AF17" s="23">
        <v>238.0</v>
      </c>
      <c r="AG17" s="23">
        <v>225.0</v>
      </c>
      <c r="AH17" s="23">
        <v>230.0</v>
      </c>
      <c r="AI17" s="23">
        <v>184.0</v>
      </c>
      <c r="AJ17" s="23">
        <v>299.0</v>
      </c>
      <c r="AK17" s="23">
        <v>142.0</v>
      </c>
      <c r="AL17" s="23">
        <v>139.0</v>
      </c>
      <c r="AM17" s="23">
        <v>316.0</v>
      </c>
      <c r="AN17" s="23">
        <v>293.0</v>
      </c>
      <c r="AO17" s="23">
        <v>350.0</v>
      </c>
      <c r="AP17" s="23">
        <v>340.0</v>
      </c>
      <c r="AQ17" s="23">
        <v>389.0</v>
      </c>
      <c r="AR17" s="23">
        <v>317.0</v>
      </c>
      <c r="AS17" s="23">
        <v>320.0</v>
      </c>
      <c r="AT17" s="23">
        <v>235.0</v>
      </c>
      <c r="AU17" s="23">
        <v>292.0</v>
      </c>
      <c r="AV17" s="23">
        <v>325.0</v>
      </c>
      <c r="AW17" s="23">
        <v>305.0</v>
      </c>
      <c r="AX17" s="23">
        <v>148.0</v>
      </c>
      <c r="AY17" s="23">
        <v>262.0</v>
      </c>
      <c r="AZ17" s="23">
        <v>192.0</v>
      </c>
      <c r="BA17" s="23">
        <v>350.0</v>
      </c>
      <c r="BB17" s="23">
        <v>241.0</v>
      </c>
      <c r="BC17" s="23">
        <v>261.0</v>
      </c>
      <c r="BD17" s="23">
        <v>264.0</v>
      </c>
      <c r="BE17" s="23">
        <v>340.0</v>
      </c>
      <c r="BF17" s="23">
        <v>230.0</v>
      </c>
      <c r="BG17" s="23">
        <v>230.0</v>
      </c>
      <c r="BH17" s="23">
        <v>123.0</v>
      </c>
      <c r="BI17" s="23">
        <v>12.0</v>
      </c>
      <c r="BJ17" s="23">
        <v>233.0</v>
      </c>
      <c r="BK17" s="23">
        <v>280.0</v>
      </c>
      <c r="BL17" s="23">
        <v>227.0</v>
      </c>
      <c r="BM17" s="23">
        <v>285.0</v>
      </c>
      <c r="BN17" s="23">
        <v>202.0</v>
      </c>
      <c r="BO17" s="23">
        <v>224.0</v>
      </c>
      <c r="BP17" s="23">
        <v>172.0</v>
      </c>
      <c r="BQ17" s="24">
        <v>558.0</v>
      </c>
      <c r="BR17" s="24">
        <v>466.0</v>
      </c>
      <c r="BS17" s="23">
        <v>230.0</v>
      </c>
      <c r="BT17" s="23">
        <v>194.0</v>
      </c>
      <c r="BU17" s="23">
        <v>187.0</v>
      </c>
      <c r="BV17" s="23">
        <v>390.0</v>
      </c>
      <c r="BW17" s="23">
        <v>321.0</v>
      </c>
      <c r="BX17" s="23">
        <v>260.0</v>
      </c>
      <c r="BY17" s="23">
        <v>284.0</v>
      </c>
      <c r="BZ17" s="23">
        <v>146.0</v>
      </c>
      <c r="CA17" s="23">
        <v>166.0</v>
      </c>
      <c r="CB17" s="23">
        <v>142.0</v>
      </c>
      <c r="CC17" s="23">
        <v>111.0</v>
      </c>
      <c r="CD17" s="23">
        <v>159.0</v>
      </c>
      <c r="CE17" s="23">
        <v>212.0</v>
      </c>
      <c r="CF17" s="23">
        <v>334.0</v>
      </c>
      <c r="CG17" s="23">
        <v>180.0</v>
      </c>
      <c r="CH17" s="23">
        <v>87.0</v>
      </c>
      <c r="CI17" s="23">
        <v>401.0</v>
      </c>
      <c r="CJ17" s="23">
        <v>375.0</v>
      </c>
      <c r="CK17" s="23">
        <v>367.0</v>
      </c>
      <c r="CL17" s="23">
        <v>429.0</v>
      </c>
      <c r="CM17" s="23">
        <v>370.0</v>
      </c>
      <c r="CN17" s="23">
        <v>286.0</v>
      </c>
      <c r="CO17" s="23">
        <v>248.0</v>
      </c>
      <c r="CP17" s="23">
        <v>191.0</v>
      </c>
      <c r="CQ17" s="23">
        <v>177.0</v>
      </c>
      <c r="CR17" s="23">
        <v>137.0</v>
      </c>
      <c r="CS17" s="23">
        <v>296.0</v>
      </c>
      <c r="CT17" s="23">
        <v>203.0</v>
      </c>
      <c r="CU17" s="23">
        <v>184.0</v>
      </c>
      <c r="CV17" s="23">
        <v>141.0</v>
      </c>
      <c r="CW17" s="23">
        <v>337.0</v>
      </c>
      <c r="CX17" s="23">
        <v>230.0</v>
      </c>
      <c r="CY17" s="24">
        <v>475.0</v>
      </c>
      <c r="CZ17" s="23">
        <v>337.0</v>
      </c>
      <c r="DA17" s="23">
        <v>326.0</v>
      </c>
      <c r="DB17" s="23">
        <v>379.0</v>
      </c>
      <c r="DC17" s="24">
        <v>549.0</v>
      </c>
      <c r="DD17" s="23">
        <v>226.0</v>
      </c>
      <c r="DE17" s="25">
        <v>1125.0</v>
      </c>
      <c r="DF17" s="23">
        <v>127.0</v>
      </c>
      <c r="DG17" s="25">
        <v>1363.0</v>
      </c>
      <c r="DH17" s="23">
        <v>89.0</v>
      </c>
      <c r="DI17" s="23">
        <v>356.0</v>
      </c>
      <c r="DJ17" s="23">
        <v>50.0</v>
      </c>
      <c r="DK17" s="23">
        <v>63.0</v>
      </c>
      <c r="DL17" s="23">
        <v>268.0</v>
      </c>
      <c r="DM17" s="23">
        <v>314.0</v>
      </c>
      <c r="DN17" s="23">
        <v>414.0</v>
      </c>
    </row>
    <row r="18" ht="14.25" customHeight="1">
      <c r="A18" s="21" t="s">
        <v>117</v>
      </c>
      <c r="B18" s="22" t="s">
        <v>118</v>
      </c>
      <c r="C18" s="22">
        <v>2300.0</v>
      </c>
      <c r="D18" s="23">
        <v>5.0</v>
      </c>
      <c r="E18" s="23">
        <v>42.0</v>
      </c>
      <c r="F18" s="23">
        <v>23.0</v>
      </c>
      <c r="G18" s="23">
        <v>13.0</v>
      </c>
      <c r="H18" s="34">
        <v>455.0</v>
      </c>
      <c r="I18" s="23">
        <v>10.0</v>
      </c>
      <c r="J18" s="24">
        <v>247.0</v>
      </c>
      <c r="K18" s="23">
        <v>2.0</v>
      </c>
      <c r="L18" s="23">
        <v>2.0</v>
      </c>
      <c r="M18" s="34">
        <v>1208.0</v>
      </c>
      <c r="N18" s="34">
        <v>875.0</v>
      </c>
      <c r="O18" s="23">
        <v>4.0</v>
      </c>
      <c r="P18" s="23">
        <v>2.0</v>
      </c>
      <c r="Q18" s="23">
        <v>3.0</v>
      </c>
      <c r="R18" s="23">
        <v>21.0</v>
      </c>
      <c r="S18" s="23">
        <v>5.0</v>
      </c>
      <c r="T18" s="23">
        <v>2.0</v>
      </c>
      <c r="U18" s="23">
        <v>6.0</v>
      </c>
      <c r="V18" s="23">
        <v>5.0</v>
      </c>
      <c r="W18" s="23">
        <v>10.0</v>
      </c>
      <c r="X18" s="23">
        <v>5.0</v>
      </c>
      <c r="Y18" s="23">
        <v>4.0</v>
      </c>
      <c r="Z18" s="23">
        <v>18.0</v>
      </c>
      <c r="AA18" s="23">
        <v>8.0</v>
      </c>
      <c r="AB18" s="23">
        <v>661.0</v>
      </c>
      <c r="AC18" s="23">
        <v>308.0</v>
      </c>
      <c r="AD18" s="23">
        <v>27.0</v>
      </c>
      <c r="AE18" s="23">
        <v>28.0</v>
      </c>
      <c r="AF18" s="23">
        <v>9.0</v>
      </c>
      <c r="AG18" s="23">
        <v>9.0</v>
      </c>
      <c r="AH18" s="23">
        <v>28.0</v>
      </c>
      <c r="AI18" s="23">
        <v>24.0</v>
      </c>
      <c r="AJ18" s="23">
        <v>30.0</v>
      </c>
      <c r="AK18" s="23">
        <v>15.0</v>
      </c>
      <c r="AL18" s="23">
        <v>18.0</v>
      </c>
      <c r="AM18" s="23">
        <v>33.0</v>
      </c>
      <c r="AN18" s="23">
        <v>41.0</v>
      </c>
      <c r="AO18" s="23">
        <v>20.0</v>
      </c>
      <c r="AP18" s="23">
        <v>21.0</v>
      </c>
      <c r="AQ18" s="23">
        <v>25.0</v>
      </c>
      <c r="AR18" s="23">
        <v>21.0</v>
      </c>
      <c r="AS18" s="24">
        <v>69.0</v>
      </c>
      <c r="AT18" s="24">
        <v>58.0</v>
      </c>
      <c r="AU18" s="24">
        <v>66.0</v>
      </c>
      <c r="AV18" s="23">
        <v>78.0</v>
      </c>
      <c r="AW18" s="23">
        <v>77.0</v>
      </c>
      <c r="AX18" s="34">
        <v>264.0</v>
      </c>
      <c r="AY18" s="23">
        <v>2.0</v>
      </c>
      <c r="AZ18" s="23">
        <v>1.0</v>
      </c>
      <c r="BA18" s="23">
        <v>4.0</v>
      </c>
      <c r="BB18" s="23">
        <v>1.0</v>
      </c>
      <c r="BC18" s="23">
        <v>8.0</v>
      </c>
      <c r="BD18" s="23">
        <v>3.0</v>
      </c>
      <c r="BE18" s="23">
        <v>1.0</v>
      </c>
      <c r="BF18" s="23">
        <v>1.0</v>
      </c>
      <c r="BG18" s="23">
        <v>2.0</v>
      </c>
      <c r="BH18" s="23">
        <v>1.0</v>
      </c>
      <c r="BI18" s="34">
        <v>1674.0</v>
      </c>
      <c r="BJ18" s="23">
        <v>39.0</v>
      </c>
      <c r="BK18" s="23">
        <v>16.0</v>
      </c>
      <c r="BL18" s="23">
        <v>21.0</v>
      </c>
      <c r="BM18" s="23">
        <v>13.0</v>
      </c>
      <c r="BN18" s="23">
        <v>2.0</v>
      </c>
      <c r="BO18" s="23">
        <v>14.0</v>
      </c>
      <c r="BP18" s="23">
        <v>3.0</v>
      </c>
      <c r="BQ18" s="24">
        <v>79.0</v>
      </c>
      <c r="BR18" s="24">
        <v>70.0</v>
      </c>
      <c r="BS18" s="24">
        <v>75.0</v>
      </c>
      <c r="BT18" s="23">
        <v>28.0</v>
      </c>
      <c r="BU18" s="23">
        <v>25.0</v>
      </c>
      <c r="BV18" s="23">
        <v>4.0</v>
      </c>
      <c r="BW18" s="23">
        <v>3.0</v>
      </c>
      <c r="BX18" s="24">
        <v>80.0</v>
      </c>
      <c r="BY18" s="24">
        <v>91.0</v>
      </c>
      <c r="BZ18" s="23">
        <v>4.0</v>
      </c>
      <c r="CA18" s="23">
        <v>3.0</v>
      </c>
      <c r="CB18" s="23">
        <v>10.0</v>
      </c>
      <c r="CC18" s="34">
        <v>371.0</v>
      </c>
      <c r="CD18" s="23">
        <v>15.0</v>
      </c>
      <c r="CE18" s="23">
        <v>17.0</v>
      </c>
      <c r="CF18" s="23">
        <v>12.0</v>
      </c>
      <c r="CG18" s="23">
        <v>20.0</v>
      </c>
      <c r="CH18" s="23">
        <v>10.0</v>
      </c>
      <c r="CI18" s="23">
        <v>17.0</v>
      </c>
      <c r="CJ18" s="23">
        <v>10.0</v>
      </c>
      <c r="CK18" s="23">
        <v>10.0</v>
      </c>
      <c r="CL18" s="23">
        <v>4.0</v>
      </c>
      <c r="CM18" s="24">
        <v>94.0</v>
      </c>
      <c r="CN18" s="24">
        <v>60.0</v>
      </c>
      <c r="CO18" s="23">
        <v>47.0</v>
      </c>
      <c r="CP18" s="24">
        <v>67.0</v>
      </c>
      <c r="CQ18" s="23">
        <v>16.0</v>
      </c>
      <c r="CR18" s="23">
        <v>25.0</v>
      </c>
      <c r="CS18" s="23">
        <v>40.0</v>
      </c>
      <c r="CT18" s="23">
        <v>29.0</v>
      </c>
      <c r="CU18" s="23">
        <v>12.0</v>
      </c>
      <c r="CV18" s="23">
        <v>29.0</v>
      </c>
      <c r="CW18" s="23">
        <v>55.0</v>
      </c>
      <c r="CX18" s="23">
        <v>27.0</v>
      </c>
      <c r="CY18" s="23">
        <v>36.0</v>
      </c>
      <c r="CZ18" s="23">
        <v>20.0</v>
      </c>
      <c r="DA18" s="23">
        <v>20.0</v>
      </c>
      <c r="DB18" s="24">
        <v>213.0</v>
      </c>
      <c r="DC18" s="24">
        <v>179.0</v>
      </c>
      <c r="DD18" s="23">
        <v>9.0</v>
      </c>
      <c r="DE18" s="24">
        <v>102.0</v>
      </c>
      <c r="DF18" s="24">
        <v>98.0</v>
      </c>
      <c r="DG18" s="25">
        <v>1048.0</v>
      </c>
      <c r="DH18" s="24">
        <v>233.0</v>
      </c>
      <c r="DI18" s="23">
        <v>48.0</v>
      </c>
      <c r="DJ18" s="25">
        <v>872.0</v>
      </c>
      <c r="DK18" s="23">
        <v>67.0</v>
      </c>
      <c r="DL18" s="23">
        <v>1.0</v>
      </c>
      <c r="DM18" s="23">
        <v>22.0</v>
      </c>
      <c r="DN18" s="23">
        <v>52.0</v>
      </c>
    </row>
    <row r="19" ht="14.25" customHeight="1">
      <c r="A19" s="21" t="s">
        <v>119</v>
      </c>
      <c r="B19" s="22" t="s">
        <v>120</v>
      </c>
      <c r="C19" s="22">
        <v>40.0</v>
      </c>
      <c r="D19" s="23">
        <v>0.17</v>
      </c>
      <c r="E19" s="23">
        <v>0.14</v>
      </c>
      <c r="F19" s="23">
        <v>0.28</v>
      </c>
      <c r="G19" s="23">
        <v>0.07</v>
      </c>
      <c r="H19" s="23">
        <v>0.18</v>
      </c>
      <c r="I19" s="23">
        <v>0.15</v>
      </c>
      <c r="J19" s="24">
        <v>1.99</v>
      </c>
      <c r="K19" s="23">
        <v>0.2</v>
      </c>
      <c r="L19" s="23">
        <v>0.17</v>
      </c>
      <c r="M19" s="23">
        <v>0.02</v>
      </c>
      <c r="N19" s="23">
        <v>0.11</v>
      </c>
      <c r="O19" s="23">
        <v>0.25</v>
      </c>
      <c r="P19" s="23">
        <v>0.17</v>
      </c>
      <c r="Q19" s="23">
        <v>0.13</v>
      </c>
      <c r="R19" s="23">
        <v>0.15</v>
      </c>
      <c r="S19" s="23">
        <v>0.06</v>
      </c>
      <c r="T19" s="23">
        <v>0.12</v>
      </c>
      <c r="U19" s="23">
        <v>0.29</v>
      </c>
      <c r="V19" s="23">
        <v>0.29</v>
      </c>
      <c r="W19" s="23">
        <v>0.36</v>
      </c>
      <c r="X19" s="23">
        <v>0.27</v>
      </c>
      <c r="Y19" s="23">
        <v>0.3</v>
      </c>
      <c r="Z19" s="23">
        <v>0.18</v>
      </c>
      <c r="AA19" s="23">
        <v>0.2</v>
      </c>
      <c r="AB19" s="23">
        <v>0.19</v>
      </c>
      <c r="AC19" s="23">
        <v>0.19</v>
      </c>
      <c r="AD19" s="23">
        <v>0.22</v>
      </c>
      <c r="AE19" s="23">
        <v>0.25</v>
      </c>
      <c r="AF19" s="23">
        <v>0.23</v>
      </c>
      <c r="AG19" s="23">
        <v>0.18</v>
      </c>
      <c r="AH19" s="23">
        <v>0.27</v>
      </c>
      <c r="AI19" s="23">
        <v>0.23</v>
      </c>
      <c r="AJ19" s="23">
        <v>0.27</v>
      </c>
      <c r="AK19" s="23">
        <v>0.17</v>
      </c>
      <c r="AL19" s="23">
        <v>0.13</v>
      </c>
      <c r="AM19" s="23">
        <v>0.41</v>
      </c>
      <c r="AN19" s="23">
        <v>0.45</v>
      </c>
      <c r="AO19" s="23">
        <v>0.03</v>
      </c>
      <c r="AP19" s="23">
        <v>0.31</v>
      </c>
      <c r="AQ19" s="23">
        <v>0.42</v>
      </c>
      <c r="AR19" s="23">
        <v>0.33</v>
      </c>
      <c r="AS19" s="23">
        <v>0.24</v>
      </c>
      <c r="AT19" s="23">
        <v>0.2</v>
      </c>
      <c r="AU19" s="23">
        <v>0.18</v>
      </c>
      <c r="AV19" s="23">
        <v>0.35</v>
      </c>
      <c r="AW19" s="23">
        <v>0.35</v>
      </c>
      <c r="AX19" s="23">
        <v>0.26</v>
      </c>
      <c r="AY19" s="23">
        <v>0.29</v>
      </c>
      <c r="AZ19" s="23">
        <v>0.39</v>
      </c>
      <c r="BA19" s="23">
        <v>0.21</v>
      </c>
      <c r="BB19" s="23">
        <v>0.22</v>
      </c>
      <c r="BC19" s="23">
        <v>0.32</v>
      </c>
      <c r="BD19" s="23">
        <v>0.33</v>
      </c>
      <c r="BE19" s="23">
        <v>0.32</v>
      </c>
      <c r="BF19" s="23">
        <v>0.23</v>
      </c>
      <c r="BG19" s="23">
        <v>0.16</v>
      </c>
      <c r="BH19" s="23">
        <v>0.12</v>
      </c>
      <c r="BI19" s="23">
        <v>0.23</v>
      </c>
      <c r="BJ19" s="23">
        <v>0.28</v>
      </c>
      <c r="BK19" s="23">
        <v>0.13</v>
      </c>
      <c r="BL19" s="23">
        <v>0.15</v>
      </c>
      <c r="BM19" s="23">
        <v>0.13</v>
      </c>
      <c r="BN19" s="23">
        <v>0.54</v>
      </c>
      <c r="BO19" s="23">
        <v>0.6</v>
      </c>
      <c r="BP19" s="23">
        <v>0.41</v>
      </c>
      <c r="BQ19" s="23">
        <v>0.53</v>
      </c>
      <c r="BR19" s="23">
        <v>0.76</v>
      </c>
      <c r="BS19" s="23">
        <v>0.42</v>
      </c>
      <c r="BT19" s="23">
        <v>0.18</v>
      </c>
      <c r="BU19" s="23">
        <v>0.2</v>
      </c>
      <c r="BV19" s="23">
        <v>0.2</v>
      </c>
      <c r="BW19" s="23">
        <v>0.17</v>
      </c>
      <c r="BX19" s="23">
        <v>0.13</v>
      </c>
      <c r="BY19" s="23">
        <v>0.14</v>
      </c>
      <c r="BZ19" s="23">
        <v>0.17</v>
      </c>
      <c r="CA19" s="23">
        <v>0.21</v>
      </c>
      <c r="CB19" s="23">
        <v>0.12</v>
      </c>
      <c r="CC19" s="23">
        <v>0.29</v>
      </c>
      <c r="CD19" s="23">
        <v>0.2</v>
      </c>
      <c r="CE19" s="23">
        <v>0.52</v>
      </c>
      <c r="CF19" s="23">
        <v>0.4</v>
      </c>
      <c r="CG19" s="23">
        <v>0.12</v>
      </c>
      <c r="CH19" s="23">
        <v>0.06</v>
      </c>
      <c r="CI19" s="23">
        <v>1.16</v>
      </c>
      <c r="CJ19" s="23">
        <v>0.59</v>
      </c>
      <c r="CK19" s="23">
        <v>0.26</v>
      </c>
      <c r="CL19" s="23">
        <v>0.12</v>
      </c>
      <c r="CM19" s="23">
        <v>0.49</v>
      </c>
      <c r="CN19" s="23">
        <v>0.4</v>
      </c>
      <c r="CO19" s="23">
        <v>0.32</v>
      </c>
      <c r="CP19" s="23">
        <v>0.27</v>
      </c>
      <c r="CQ19" s="23">
        <v>0.12</v>
      </c>
      <c r="CR19" s="23">
        <v>0.14</v>
      </c>
      <c r="CS19" s="23">
        <v>0.19</v>
      </c>
      <c r="CT19" s="23">
        <v>0.14</v>
      </c>
      <c r="CU19" s="23">
        <v>0.17</v>
      </c>
      <c r="CV19" s="23">
        <v>0.23</v>
      </c>
      <c r="CW19" s="23">
        <v>0.3</v>
      </c>
      <c r="CX19" s="23">
        <v>0.2</v>
      </c>
      <c r="CY19" s="23">
        <v>0.32</v>
      </c>
      <c r="CZ19" s="23">
        <v>0.34</v>
      </c>
      <c r="DA19" s="23">
        <v>0.35</v>
      </c>
      <c r="DB19" s="23">
        <v>0.36</v>
      </c>
      <c r="DC19" s="23">
        <v>0.33</v>
      </c>
      <c r="DD19" s="23">
        <v>0.58</v>
      </c>
      <c r="DE19" s="25">
        <v>5.8</v>
      </c>
      <c r="DF19" s="23">
        <v>0.2</v>
      </c>
      <c r="DG19" s="24">
        <v>2.0</v>
      </c>
      <c r="DH19" s="24">
        <v>1.23</v>
      </c>
      <c r="DI19" s="24">
        <v>1.05</v>
      </c>
      <c r="DJ19" s="23">
        <v>0.38</v>
      </c>
      <c r="DK19" s="24">
        <v>1.95</v>
      </c>
      <c r="DL19" s="23">
        <v>0.22</v>
      </c>
      <c r="DM19" s="23">
        <v>0.79</v>
      </c>
      <c r="DN19" s="23">
        <v>0.2</v>
      </c>
    </row>
    <row r="20" ht="14.25" customHeight="1">
      <c r="A20" s="21" t="s">
        <v>121</v>
      </c>
      <c r="B20" s="22" t="s">
        <v>122</v>
      </c>
      <c r="C20" s="22">
        <v>10.0</v>
      </c>
      <c r="D20" s="23">
        <v>0.059</v>
      </c>
      <c r="E20" s="23">
        <v>0.062</v>
      </c>
      <c r="F20" s="23">
        <v>0.101</v>
      </c>
      <c r="G20" s="23">
        <v>0.09</v>
      </c>
      <c r="H20" s="23">
        <v>0.095</v>
      </c>
      <c r="I20" s="23">
        <v>0.061</v>
      </c>
      <c r="J20" s="25">
        <v>1.423</v>
      </c>
      <c r="K20" s="23">
        <v>0.041</v>
      </c>
      <c r="L20" s="23">
        <v>0.071</v>
      </c>
      <c r="M20" s="23">
        <v>0.085</v>
      </c>
      <c r="N20" s="23">
        <v>0.033</v>
      </c>
      <c r="O20" s="23">
        <v>0.017</v>
      </c>
      <c r="P20" s="23">
        <v>0.107</v>
      </c>
      <c r="Q20" s="23">
        <v>0.066</v>
      </c>
      <c r="R20" s="23">
        <v>0.017</v>
      </c>
      <c r="S20" s="23">
        <v>0.053</v>
      </c>
      <c r="T20" s="23">
        <v>0.065</v>
      </c>
      <c r="U20" s="23">
        <v>0.108</v>
      </c>
      <c r="V20" s="23">
        <v>0.215</v>
      </c>
      <c r="W20" s="23">
        <v>0.118</v>
      </c>
      <c r="X20" s="23">
        <v>0.167</v>
      </c>
      <c r="Y20" s="23">
        <v>0.188</v>
      </c>
      <c r="Z20" s="23">
        <v>0.019</v>
      </c>
      <c r="AA20" s="23">
        <v>0.017</v>
      </c>
      <c r="AB20" s="23">
        <v>0.096</v>
      </c>
      <c r="AC20" s="23">
        <v>0.096</v>
      </c>
      <c r="AD20" s="23">
        <v>0.017</v>
      </c>
      <c r="AE20" s="23">
        <v>0.054</v>
      </c>
      <c r="AF20" s="23">
        <v>0.036</v>
      </c>
      <c r="AG20" s="23">
        <v>0.029</v>
      </c>
      <c r="AH20" s="23">
        <v>0.062</v>
      </c>
      <c r="AI20" s="23">
        <v>0.052</v>
      </c>
      <c r="AJ20" s="23">
        <v>0.039</v>
      </c>
      <c r="AK20" s="23">
        <v>0.018</v>
      </c>
      <c r="AL20" s="23">
        <v>0.024</v>
      </c>
      <c r="AM20" s="23">
        <v>0.049</v>
      </c>
      <c r="AN20" s="23">
        <v>0.061</v>
      </c>
      <c r="AO20" s="23">
        <v>0.129</v>
      </c>
      <c r="AP20" s="23">
        <v>0.132</v>
      </c>
      <c r="AQ20" s="23">
        <v>0.07</v>
      </c>
      <c r="AR20" s="23">
        <v>0.083</v>
      </c>
      <c r="AS20" s="23">
        <v>0.045</v>
      </c>
      <c r="AT20" s="23">
        <v>0.017</v>
      </c>
      <c r="AU20" s="23">
        <v>0.046</v>
      </c>
      <c r="AV20" s="23">
        <v>0.075</v>
      </c>
      <c r="AW20" s="23">
        <v>0.074</v>
      </c>
      <c r="AX20" s="23">
        <v>0.116</v>
      </c>
      <c r="AY20" s="23">
        <v>0.051</v>
      </c>
      <c r="AZ20" s="23">
        <v>0.103</v>
      </c>
      <c r="BA20" s="23">
        <v>0.071</v>
      </c>
      <c r="BB20" s="23">
        <v>0.082</v>
      </c>
      <c r="BC20" s="23">
        <v>0.053</v>
      </c>
      <c r="BD20" s="23">
        <v>0.052</v>
      </c>
      <c r="BE20" s="23">
        <v>0.127</v>
      </c>
      <c r="BF20" s="23">
        <v>0.091</v>
      </c>
      <c r="BG20" s="23">
        <v>0.082</v>
      </c>
      <c r="BH20" s="23">
        <v>0.059</v>
      </c>
      <c r="BI20" s="23">
        <v>0.173</v>
      </c>
      <c r="BJ20" s="23">
        <v>0.05</v>
      </c>
      <c r="BK20" s="23">
        <v>0.099</v>
      </c>
      <c r="BL20" s="23">
        <v>0.115</v>
      </c>
      <c r="BM20" s="23">
        <v>0.101</v>
      </c>
      <c r="BN20" s="23">
        <v>0.189</v>
      </c>
      <c r="BO20" s="23">
        <v>0.165</v>
      </c>
      <c r="BP20" s="23">
        <v>0.105</v>
      </c>
      <c r="BQ20" s="23">
        <v>0.13</v>
      </c>
      <c r="BR20" s="23">
        <v>0.174</v>
      </c>
      <c r="BS20" s="23">
        <v>0.116</v>
      </c>
      <c r="BT20" s="23">
        <v>0.029</v>
      </c>
      <c r="BU20" s="23">
        <v>0.028</v>
      </c>
      <c r="BV20" s="23">
        <v>0.131</v>
      </c>
      <c r="BW20" s="23">
        <v>0.114</v>
      </c>
      <c r="BX20" s="23">
        <v>0.035</v>
      </c>
      <c r="BY20" s="23">
        <v>0.036</v>
      </c>
      <c r="BZ20" s="23">
        <v>0.039</v>
      </c>
      <c r="CA20" s="23">
        <v>0.067</v>
      </c>
      <c r="CB20" s="23">
        <v>0.05</v>
      </c>
      <c r="CC20" s="23">
        <v>0.055</v>
      </c>
      <c r="CD20" s="23">
        <v>0.031</v>
      </c>
      <c r="CE20" s="23">
        <v>0.07</v>
      </c>
      <c r="CF20" s="23">
        <v>0.088</v>
      </c>
      <c r="CG20" s="23">
        <v>0.12</v>
      </c>
      <c r="CH20" s="23">
        <v>0.062</v>
      </c>
      <c r="CI20" s="23">
        <v>0.299</v>
      </c>
      <c r="CJ20" s="23">
        <v>0.12</v>
      </c>
      <c r="CK20" s="23">
        <v>0.138</v>
      </c>
      <c r="CL20" s="23">
        <v>0.14</v>
      </c>
      <c r="CM20" s="23">
        <v>0.231</v>
      </c>
      <c r="CN20" s="23">
        <v>0.127</v>
      </c>
      <c r="CO20" s="23">
        <v>0.054</v>
      </c>
      <c r="CP20" s="23">
        <v>0.085</v>
      </c>
      <c r="CQ20" s="23">
        <v>0.002</v>
      </c>
      <c r="CR20" s="23">
        <v>0.045</v>
      </c>
      <c r="CS20" s="23">
        <v>0.35</v>
      </c>
      <c r="CT20" s="23">
        <v>0.253</v>
      </c>
      <c r="CU20" s="23">
        <v>0.057</v>
      </c>
      <c r="CV20" s="23">
        <v>0.083</v>
      </c>
      <c r="CW20" s="23">
        <v>0.151</v>
      </c>
      <c r="CX20" s="23">
        <v>0.094</v>
      </c>
      <c r="CY20" s="23">
        <v>0.161</v>
      </c>
      <c r="CZ20" s="23">
        <v>0.04</v>
      </c>
      <c r="DA20" s="23">
        <v>0.041</v>
      </c>
      <c r="DB20" s="23">
        <v>0.179</v>
      </c>
      <c r="DC20" s="23">
        <v>0.163</v>
      </c>
      <c r="DD20" s="23">
        <v>0.061</v>
      </c>
      <c r="DE20" s="23">
        <v>0.61</v>
      </c>
      <c r="DF20" s="23">
        <v>0.597</v>
      </c>
      <c r="DG20" s="23">
        <v>6.1</v>
      </c>
      <c r="DH20" s="23">
        <v>0.13</v>
      </c>
      <c r="DI20" s="23">
        <v>0.264</v>
      </c>
      <c r="DJ20" s="23">
        <v>0.284</v>
      </c>
      <c r="DK20" s="23">
        <v>0.149</v>
      </c>
      <c r="DL20" s="23">
        <v>0.079</v>
      </c>
      <c r="DM20" s="23">
        <v>0.099</v>
      </c>
      <c r="DN20" s="23">
        <v>0.066</v>
      </c>
    </row>
    <row r="21" ht="14.25" customHeight="1">
      <c r="A21" s="21" t="s">
        <v>123</v>
      </c>
      <c r="B21" s="22" t="s">
        <v>124</v>
      </c>
      <c r="C21" s="22">
        <v>11.0</v>
      </c>
      <c r="D21" s="23">
        <v>0.114</v>
      </c>
      <c r="E21" s="23">
        <v>0.088</v>
      </c>
      <c r="F21" s="23">
        <v>0.12</v>
      </c>
      <c r="G21" s="23">
        <v>0.1</v>
      </c>
      <c r="H21" s="23">
        <v>0.193</v>
      </c>
      <c r="I21" s="23">
        <v>0.07</v>
      </c>
      <c r="J21" s="25">
        <v>1.846</v>
      </c>
      <c r="K21" s="23">
        <v>0.079</v>
      </c>
      <c r="L21" s="23">
        <v>0.073</v>
      </c>
      <c r="M21" s="23">
        <v>0.011</v>
      </c>
      <c r="N21" s="23">
        <v>0.047</v>
      </c>
      <c r="O21" s="23">
        <v>0.112</v>
      </c>
      <c r="P21" s="23">
        <v>0.117</v>
      </c>
      <c r="Q21" s="23">
        <v>0.122</v>
      </c>
      <c r="R21" s="23">
        <v>0.115</v>
      </c>
      <c r="S21" s="23">
        <v>0.117</v>
      </c>
      <c r="T21" s="23">
        <v>0.115</v>
      </c>
      <c r="U21" s="23">
        <v>0.153</v>
      </c>
      <c r="V21" s="23">
        <v>0.161</v>
      </c>
      <c r="W21" s="23">
        <v>0.219</v>
      </c>
      <c r="X21" s="23">
        <v>0.14</v>
      </c>
      <c r="Y21" s="23">
        <v>0.138</v>
      </c>
      <c r="Z21" s="23">
        <v>0.16</v>
      </c>
      <c r="AA21" s="23">
        <v>0.205</v>
      </c>
      <c r="AB21" s="23">
        <v>0.151</v>
      </c>
      <c r="AC21" s="23">
        <v>0.151</v>
      </c>
      <c r="AD21" s="23">
        <v>0.243</v>
      </c>
      <c r="AE21" s="23">
        <v>0.223</v>
      </c>
      <c r="AF21" s="23">
        <v>0.19</v>
      </c>
      <c r="AG21" s="23">
        <v>0.153</v>
      </c>
      <c r="AH21" s="23">
        <v>0.18</v>
      </c>
      <c r="AI21" s="23">
        <v>0.152</v>
      </c>
      <c r="AJ21" s="23">
        <v>0.155</v>
      </c>
      <c r="AK21" s="23">
        <v>0.132</v>
      </c>
      <c r="AL21" s="23">
        <v>0.15</v>
      </c>
      <c r="AM21" s="23">
        <v>0.21</v>
      </c>
      <c r="AN21" s="23">
        <v>0.194</v>
      </c>
      <c r="AO21" s="23">
        <v>0.139</v>
      </c>
      <c r="AP21" s="23">
        <v>0.142</v>
      </c>
      <c r="AQ21" s="24">
        <v>0.337</v>
      </c>
      <c r="AR21" s="23">
        <v>0.227</v>
      </c>
      <c r="AS21" s="23">
        <v>0.143</v>
      </c>
      <c r="AT21" s="23">
        <v>0.155</v>
      </c>
      <c r="AU21" s="23">
        <v>0.13</v>
      </c>
      <c r="AV21" s="24">
        <v>0.329</v>
      </c>
      <c r="AW21" s="24">
        <v>0.326</v>
      </c>
      <c r="AX21" s="23">
        <v>0.22</v>
      </c>
      <c r="AY21" s="23">
        <v>0.175</v>
      </c>
      <c r="AZ21" s="23">
        <v>0.213</v>
      </c>
      <c r="BA21" s="23">
        <v>0.163</v>
      </c>
      <c r="BB21" s="23">
        <v>0.187</v>
      </c>
      <c r="BC21" s="23">
        <v>0.177</v>
      </c>
      <c r="BD21" s="23">
        <v>0.173</v>
      </c>
      <c r="BE21" s="23">
        <v>0.125</v>
      </c>
      <c r="BF21" s="23">
        <v>0.089</v>
      </c>
      <c r="BG21" s="23">
        <v>0.25</v>
      </c>
      <c r="BH21" s="23">
        <v>0.113</v>
      </c>
      <c r="BJ21" s="23">
        <v>0.069</v>
      </c>
      <c r="BK21" s="23">
        <v>0.033</v>
      </c>
      <c r="BL21" s="23">
        <v>0.038</v>
      </c>
      <c r="BM21" s="23">
        <v>0.033</v>
      </c>
      <c r="BN21" s="23">
        <v>0.158</v>
      </c>
      <c r="BO21" s="23">
        <v>0.154</v>
      </c>
      <c r="BP21" s="23">
        <v>0.14</v>
      </c>
      <c r="BQ21" s="25">
        <v>0.897</v>
      </c>
      <c r="BR21" s="25">
        <v>0.935</v>
      </c>
      <c r="BS21" s="24">
        <v>0.493</v>
      </c>
      <c r="BT21" s="23">
        <v>0.25</v>
      </c>
      <c r="BU21" s="23">
        <v>0.203</v>
      </c>
      <c r="BV21" s="24">
        <v>0.349</v>
      </c>
      <c r="BW21" s="24">
        <v>0.303</v>
      </c>
      <c r="BX21" s="23">
        <v>0.103</v>
      </c>
      <c r="BY21" s="23">
        <v>0.106</v>
      </c>
      <c r="BZ21" s="23">
        <v>0.129</v>
      </c>
      <c r="CA21" s="23">
        <v>0.153</v>
      </c>
      <c r="CB21" s="23">
        <v>0.125</v>
      </c>
      <c r="CC21" s="23">
        <v>0.102</v>
      </c>
      <c r="CD21" s="23">
        <v>0.15</v>
      </c>
      <c r="CE21" s="23">
        <v>0.137</v>
      </c>
      <c r="CF21" s="24">
        <v>0.292</v>
      </c>
      <c r="CG21" s="24">
        <v>0.481</v>
      </c>
      <c r="CH21" s="23">
        <v>0.247</v>
      </c>
      <c r="CI21" s="25">
        <v>1.672</v>
      </c>
      <c r="CJ21" s="24">
        <v>0.56</v>
      </c>
      <c r="CK21" s="24">
        <v>0.294</v>
      </c>
      <c r="CL21" s="23">
        <v>0.06</v>
      </c>
      <c r="CM21" s="23">
        <v>0.256</v>
      </c>
      <c r="CN21" s="23">
        <v>0.225</v>
      </c>
      <c r="CO21" s="23">
        <v>0.243</v>
      </c>
      <c r="CP21" s="23">
        <v>0.134</v>
      </c>
      <c r="CQ21" s="23">
        <v>0.071</v>
      </c>
      <c r="CR21" s="23">
        <v>0.071</v>
      </c>
      <c r="CS21" s="24">
        <v>0.466</v>
      </c>
      <c r="CT21" s="24">
        <v>0.337</v>
      </c>
      <c r="CU21" s="24">
        <v>0.369</v>
      </c>
      <c r="CV21" s="23">
        <v>0.263</v>
      </c>
      <c r="CW21" s="23">
        <v>0.258</v>
      </c>
      <c r="CX21" s="23">
        <v>0.266</v>
      </c>
      <c r="CY21" s="24">
        <v>0.497</v>
      </c>
      <c r="CZ21" s="23">
        <v>0.17</v>
      </c>
      <c r="DA21" s="23">
        <v>0.174</v>
      </c>
      <c r="DB21" s="24">
        <v>0.366</v>
      </c>
      <c r="DC21" s="24">
        <v>0.334</v>
      </c>
      <c r="DD21" s="24">
        <v>0.373</v>
      </c>
      <c r="DE21" s="25">
        <v>4.3</v>
      </c>
      <c r="DF21" s="23">
        <v>0.186</v>
      </c>
      <c r="DG21" s="25">
        <v>1.9</v>
      </c>
      <c r="DH21" s="23">
        <v>0.2</v>
      </c>
      <c r="DI21" s="25">
        <v>0.988</v>
      </c>
      <c r="DJ21" s="25">
        <v>1.4</v>
      </c>
      <c r="DK21" s="24">
        <v>0.37</v>
      </c>
      <c r="DL21" s="23">
        <v>0.153</v>
      </c>
      <c r="DM21" s="24">
        <v>0.42</v>
      </c>
      <c r="DN21" s="23">
        <v>0.191</v>
      </c>
    </row>
    <row r="22" ht="14.25" customHeight="1">
      <c r="A22" s="21" t="s">
        <v>125</v>
      </c>
      <c r="B22" s="22" t="s">
        <v>126</v>
      </c>
      <c r="C22" s="22">
        <v>400.0</v>
      </c>
      <c r="D22" s="23">
        <v>0.0</v>
      </c>
      <c r="E22" s="23">
        <v>0.4</v>
      </c>
      <c r="F22" s="23">
        <v>0.4</v>
      </c>
      <c r="G22" s="23">
        <v>0.4</v>
      </c>
      <c r="H22" s="23">
        <v>1.2</v>
      </c>
      <c r="I22" s="23">
        <v>0.3</v>
      </c>
      <c r="J22" s="24">
        <v>5.5</v>
      </c>
      <c r="K22" s="23">
        <v>0.3</v>
      </c>
      <c r="L22" s="23">
        <v>0.1</v>
      </c>
      <c r="M22" s="23">
        <v>0.0</v>
      </c>
      <c r="N22" s="23">
        <v>0.1</v>
      </c>
      <c r="O22" s="23">
        <v>0.1</v>
      </c>
      <c r="P22" s="23">
        <v>0.3</v>
      </c>
      <c r="Q22" s="23">
        <v>0.0</v>
      </c>
      <c r="S22" s="23">
        <v>0.2</v>
      </c>
      <c r="T22" s="23">
        <v>0.3</v>
      </c>
      <c r="U22" s="23">
        <v>0.3</v>
      </c>
      <c r="V22" s="23">
        <v>0.3</v>
      </c>
      <c r="W22" s="23">
        <v>0.4</v>
      </c>
      <c r="X22" s="23">
        <v>0.3</v>
      </c>
      <c r="Y22" s="23">
        <v>0.3</v>
      </c>
      <c r="Z22" s="23">
        <v>0.3</v>
      </c>
      <c r="AA22" s="23">
        <v>0.6</v>
      </c>
      <c r="AB22" s="23">
        <v>0.6</v>
      </c>
      <c r="AC22" s="23">
        <v>0.6</v>
      </c>
      <c r="AD22" s="23">
        <v>0.6</v>
      </c>
      <c r="AE22" s="23">
        <v>2.3</v>
      </c>
      <c r="AF22" s="23">
        <v>0.6</v>
      </c>
      <c r="AG22" s="23">
        <v>0.4</v>
      </c>
      <c r="AH22" s="23">
        <v>0.9</v>
      </c>
      <c r="AI22" s="23">
        <v>0.7</v>
      </c>
      <c r="AJ22" s="23">
        <v>0.6</v>
      </c>
      <c r="AK22" s="23">
        <v>0.6</v>
      </c>
      <c r="AL22" s="23">
        <v>0.6</v>
      </c>
      <c r="AM22" s="23">
        <v>2.5</v>
      </c>
      <c r="AN22" s="23">
        <v>1.6</v>
      </c>
      <c r="AO22" s="23">
        <v>0.7</v>
      </c>
      <c r="AP22" s="23">
        <v>0.8</v>
      </c>
      <c r="AQ22" s="23">
        <v>1.6</v>
      </c>
      <c r="AR22" s="23">
        <v>1.5</v>
      </c>
      <c r="AS22" s="23">
        <v>0.1</v>
      </c>
      <c r="AT22" s="23">
        <v>0.7</v>
      </c>
      <c r="AU22" s="23">
        <v>0.6</v>
      </c>
      <c r="AV22" s="23">
        <v>0.7</v>
      </c>
      <c r="AW22" s="23">
        <v>0.7</v>
      </c>
      <c r="AX22" s="23">
        <v>1.0</v>
      </c>
      <c r="AY22" s="23">
        <v>0.2</v>
      </c>
      <c r="AZ22" s="23">
        <v>0.2</v>
      </c>
      <c r="BA22" s="23">
        <v>0.4</v>
      </c>
      <c r="BB22" s="23">
        <v>0.4</v>
      </c>
      <c r="BC22" s="23">
        <v>0.2</v>
      </c>
      <c r="BD22" s="23">
        <v>0.2</v>
      </c>
      <c r="BE22" s="23">
        <v>0.3</v>
      </c>
      <c r="BF22" s="23">
        <v>0.2</v>
      </c>
      <c r="BG22" s="23">
        <v>0.3</v>
      </c>
      <c r="BH22" s="23">
        <v>0.1</v>
      </c>
      <c r="BI22" s="23">
        <v>0.6</v>
      </c>
      <c r="BJ22" s="23">
        <v>0.6</v>
      </c>
      <c r="BK22" s="23">
        <v>0.7</v>
      </c>
      <c r="BL22" s="23">
        <v>0.7</v>
      </c>
      <c r="BM22" s="23">
        <v>0.7</v>
      </c>
      <c r="BN22" s="23">
        <v>2.3</v>
      </c>
      <c r="BO22" s="24">
        <v>6.1</v>
      </c>
      <c r="BP22" s="23">
        <v>3.9</v>
      </c>
      <c r="BQ22" s="23">
        <v>1.0</v>
      </c>
      <c r="BR22" s="23">
        <v>1.5</v>
      </c>
      <c r="BS22" s="23">
        <v>1.2</v>
      </c>
      <c r="BT22" s="23">
        <v>0.6</v>
      </c>
      <c r="BU22" s="23">
        <v>1.5</v>
      </c>
      <c r="BV22" s="23">
        <v>0.9</v>
      </c>
      <c r="BW22" s="23">
        <v>0.9</v>
      </c>
      <c r="BX22" s="23">
        <v>0.4</v>
      </c>
      <c r="BY22" s="23">
        <v>1.0</v>
      </c>
      <c r="BZ22" s="23">
        <v>0.5</v>
      </c>
      <c r="CA22" s="23">
        <v>0.6</v>
      </c>
      <c r="CB22" s="23">
        <v>0.4</v>
      </c>
      <c r="CC22" s="23">
        <v>0.3</v>
      </c>
      <c r="CD22" s="23">
        <v>0.5</v>
      </c>
      <c r="CE22" s="23">
        <v>0.6</v>
      </c>
      <c r="CF22" s="23">
        <v>1.2</v>
      </c>
      <c r="CG22" s="23">
        <v>1.0</v>
      </c>
      <c r="CH22" s="23">
        <v>0.5</v>
      </c>
      <c r="CI22" s="24">
        <v>14.2</v>
      </c>
      <c r="CJ22" s="23">
        <v>1.8</v>
      </c>
      <c r="CK22" s="23">
        <v>1.7</v>
      </c>
      <c r="CL22" s="23">
        <v>0.7</v>
      </c>
      <c r="CM22" s="23">
        <v>0.2</v>
      </c>
      <c r="CN22" s="23">
        <v>0.2</v>
      </c>
      <c r="CO22" s="23">
        <v>0.2</v>
      </c>
      <c r="CP22" s="23">
        <v>0.7</v>
      </c>
      <c r="CQ22" s="23">
        <v>0.2</v>
      </c>
      <c r="CR22" s="23">
        <v>0.4</v>
      </c>
      <c r="CS22" s="23">
        <v>1.2</v>
      </c>
      <c r="CT22" s="23">
        <v>0.9</v>
      </c>
      <c r="CU22" s="23">
        <v>0.9</v>
      </c>
      <c r="CV22" s="23">
        <v>0.7</v>
      </c>
      <c r="CW22" s="23">
        <v>0.6</v>
      </c>
      <c r="CX22" s="23">
        <v>0.2</v>
      </c>
      <c r="CY22" s="23">
        <v>0.2</v>
      </c>
      <c r="CZ22" s="23">
        <v>0.7</v>
      </c>
      <c r="DA22" s="23">
        <v>0.7</v>
      </c>
      <c r="DB22" s="23">
        <v>0.9</v>
      </c>
      <c r="DC22" s="23">
        <v>0.9</v>
      </c>
      <c r="DD22" s="23">
        <v>0.7</v>
      </c>
      <c r="DE22" s="24">
        <v>7.4</v>
      </c>
      <c r="DF22" s="23">
        <v>0.7</v>
      </c>
      <c r="DG22" s="23">
        <v>7.2</v>
      </c>
      <c r="DH22" s="23">
        <v>0.7</v>
      </c>
      <c r="DI22" s="23">
        <v>0.7</v>
      </c>
      <c r="DJ22" s="23">
        <v>0.7</v>
      </c>
      <c r="DK22" s="23">
        <v>0.7</v>
      </c>
      <c r="DL22" s="23">
        <v>0.5</v>
      </c>
      <c r="DM22" s="23">
        <v>0.2</v>
      </c>
      <c r="DN22" s="23">
        <v>0.7</v>
      </c>
    </row>
    <row r="23" ht="14.25" customHeight="1">
      <c r="A23" s="21" t="s">
        <v>127</v>
      </c>
      <c r="B23" s="22" t="s">
        <v>128</v>
      </c>
      <c r="C23" s="22" t="s">
        <v>129</v>
      </c>
      <c r="D23" s="23">
        <v>2.3</v>
      </c>
      <c r="K23" s="23">
        <v>1.3</v>
      </c>
      <c r="L23" s="23">
        <v>1.3</v>
      </c>
      <c r="Q23" s="23">
        <v>2.0</v>
      </c>
      <c r="Y23" s="24">
        <v>49.4</v>
      </c>
      <c r="Z23" s="23">
        <v>1.0</v>
      </c>
      <c r="AA23" s="23">
        <v>1.0</v>
      </c>
      <c r="AB23" s="23">
        <v>7.0</v>
      </c>
      <c r="AJ23" s="23">
        <v>1.0</v>
      </c>
      <c r="AN23" s="23">
        <v>4.0</v>
      </c>
      <c r="AS23" s="23">
        <v>3.2</v>
      </c>
      <c r="AT23" s="24">
        <v>47.5</v>
      </c>
      <c r="BJ23" s="23">
        <v>6.0</v>
      </c>
      <c r="BO23" s="24">
        <v>21.9</v>
      </c>
      <c r="BR23" s="24">
        <v>37.8</v>
      </c>
      <c r="BX23" s="23">
        <v>4.0</v>
      </c>
      <c r="BZ23" s="23">
        <v>1.1</v>
      </c>
    </row>
    <row r="24" ht="14.25" customHeight="1">
      <c r="A24" s="19" t="s">
        <v>130</v>
      </c>
      <c r="B24" s="27"/>
      <c r="C24" s="27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 ht="14.25" customHeight="1">
      <c r="A25" s="21" t="s">
        <v>131</v>
      </c>
      <c r="B25" s="22">
        <v>90.0</v>
      </c>
      <c r="C25" s="22">
        <v>2000.0</v>
      </c>
      <c r="D25" s="23">
        <v>13.7</v>
      </c>
      <c r="E25" s="23">
        <v>16.0</v>
      </c>
      <c r="F25" s="23">
        <v>9.0</v>
      </c>
      <c r="G25" s="23">
        <v>23.4</v>
      </c>
      <c r="H25" s="23">
        <v>18.2</v>
      </c>
      <c r="I25" s="23">
        <v>18.3</v>
      </c>
      <c r="J25" s="24">
        <v>39.2</v>
      </c>
      <c r="K25" s="23">
        <v>2.8</v>
      </c>
      <c r="L25" s="23">
        <v>3.2</v>
      </c>
      <c r="M25" s="23">
        <v>1.0</v>
      </c>
      <c r="N25" s="23">
        <v>0.8</v>
      </c>
      <c r="O25" s="26">
        <v>127.7</v>
      </c>
      <c r="P25" s="26">
        <v>183.5</v>
      </c>
      <c r="Q25" s="25">
        <v>80.4</v>
      </c>
      <c r="R25" s="26">
        <v>162.8</v>
      </c>
      <c r="S25" s="24">
        <v>58.7</v>
      </c>
      <c r="T25" s="26">
        <v>171.0</v>
      </c>
      <c r="U25" s="23">
        <v>19.7</v>
      </c>
      <c r="V25" s="23">
        <v>12.8</v>
      </c>
      <c r="W25" s="23">
        <v>9.6</v>
      </c>
      <c r="X25" s="23">
        <v>7.4</v>
      </c>
      <c r="Y25" s="23">
        <v>13.0</v>
      </c>
      <c r="Z25" s="24">
        <v>36.6</v>
      </c>
      <c r="AA25" s="24">
        <v>37.5</v>
      </c>
      <c r="AB25" s="23">
        <v>14.7</v>
      </c>
      <c r="AC25" s="23">
        <v>14.7</v>
      </c>
      <c r="AD25" s="23">
        <v>57.0</v>
      </c>
      <c r="AE25" s="24">
        <v>34.4</v>
      </c>
      <c r="AF25" s="24">
        <v>27.0</v>
      </c>
      <c r="AG25" s="23">
        <v>15.8</v>
      </c>
      <c r="AH25" s="24">
        <v>31.0</v>
      </c>
      <c r="AI25" s="23">
        <v>17.0</v>
      </c>
      <c r="AJ25" s="24">
        <v>48.2</v>
      </c>
      <c r="AK25" s="24">
        <v>44.3</v>
      </c>
      <c r="AL25" s="24">
        <v>31.3</v>
      </c>
      <c r="AM25" s="26">
        <v>89.2</v>
      </c>
      <c r="AN25" s="24">
        <v>64.9</v>
      </c>
      <c r="AO25" s="24">
        <v>62.0</v>
      </c>
      <c r="AP25" s="24">
        <v>54.0</v>
      </c>
      <c r="AQ25" s="25">
        <v>85.0</v>
      </c>
      <c r="AR25" s="24">
        <v>62.0</v>
      </c>
      <c r="AS25" s="23">
        <v>5.9</v>
      </c>
      <c r="AT25" s="23">
        <v>3.6</v>
      </c>
      <c r="AU25" s="23">
        <v>8.5</v>
      </c>
      <c r="AV25" s="23">
        <v>4.9</v>
      </c>
      <c r="AW25" s="23">
        <v>3.6</v>
      </c>
      <c r="AX25" s="23">
        <v>2.3</v>
      </c>
      <c r="AY25" s="23">
        <v>17.0</v>
      </c>
      <c r="AZ25" s="23">
        <v>5.5</v>
      </c>
      <c r="BA25" s="23">
        <v>12.3</v>
      </c>
      <c r="BB25" s="23">
        <v>9.6</v>
      </c>
      <c r="BC25" s="23">
        <v>17.9</v>
      </c>
      <c r="BD25" s="23">
        <v>12.9</v>
      </c>
      <c r="BE25" s="23">
        <v>9.0</v>
      </c>
      <c r="BF25" s="23">
        <v>4.7</v>
      </c>
      <c r="BG25" s="23">
        <v>2.2</v>
      </c>
      <c r="BH25" s="23">
        <v>1.3</v>
      </c>
      <c r="BI25" s="23">
        <v>0.0</v>
      </c>
      <c r="BJ25" s="23">
        <v>14.8</v>
      </c>
      <c r="BK25" s="23">
        <v>29.0</v>
      </c>
      <c r="BL25" s="23">
        <v>22.0</v>
      </c>
      <c r="BM25" s="23">
        <v>15.1</v>
      </c>
      <c r="BN25" s="23">
        <v>5.6</v>
      </c>
      <c r="BO25" s="23">
        <v>7.7</v>
      </c>
      <c r="BP25" s="23">
        <v>24.4</v>
      </c>
      <c r="BQ25" s="24">
        <v>28.1</v>
      </c>
      <c r="BR25" s="23">
        <v>9.8</v>
      </c>
      <c r="BS25" s="23">
        <v>13.5</v>
      </c>
      <c r="BT25" s="23">
        <v>9.2</v>
      </c>
      <c r="BU25" s="23">
        <v>3.7</v>
      </c>
      <c r="BV25" s="24">
        <v>48.0</v>
      </c>
      <c r="BW25" s="24">
        <v>26.3</v>
      </c>
      <c r="BX25" s="23">
        <v>3.1</v>
      </c>
      <c r="BY25" s="23">
        <v>6.1</v>
      </c>
      <c r="BZ25" s="23">
        <v>7.4</v>
      </c>
      <c r="CA25" s="23">
        <v>5.2</v>
      </c>
      <c r="CB25" s="23">
        <v>8.0</v>
      </c>
      <c r="CC25" s="23">
        <v>4.3</v>
      </c>
      <c r="CD25" s="23">
        <v>13.4</v>
      </c>
      <c r="CE25" s="24">
        <v>27.0</v>
      </c>
      <c r="CF25" s="23">
        <v>8.0</v>
      </c>
      <c r="CG25" s="23">
        <v>12.0</v>
      </c>
      <c r="CH25" s="23">
        <v>4.2</v>
      </c>
      <c r="CI25" s="24">
        <v>31.2</v>
      </c>
      <c r="CJ25" s="23">
        <v>17.0</v>
      </c>
      <c r="CK25" s="23">
        <v>13.0</v>
      </c>
      <c r="CL25" s="23">
        <v>4.0</v>
      </c>
      <c r="CM25" s="23">
        <v>11.7</v>
      </c>
      <c r="CN25" s="23">
        <v>7.4</v>
      </c>
      <c r="CO25" s="23">
        <v>5.3</v>
      </c>
      <c r="CP25" s="23">
        <v>21.0</v>
      </c>
      <c r="CQ25" s="23">
        <v>11.6</v>
      </c>
      <c r="CR25" s="23">
        <v>4.4</v>
      </c>
      <c r="CS25" s="25">
        <v>60.0</v>
      </c>
      <c r="CT25" s="24">
        <v>27.4</v>
      </c>
      <c r="CU25" s="24">
        <v>26.8</v>
      </c>
      <c r="CV25" s="23">
        <v>15.5</v>
      </c>
      <c r="CW25" s="23">
        <v>2.4</v>
      </c>
      <c r="CX25" s="23">
        <v>12.8</v>
      </c>
      <c r="CY25" s="23">
        <v>19.6</v>
      </c>
      <c r="CZ25" s="24">
        <v>25.0</v>
      </c>
      <c r="DA25" s="23">
        <v>18.8</v>
      </c>
      <c r="DB25" s="23">
        <v>30.0</v>
      </c>
      <c r="DC25" s="23">
        <v>18.0</v>
      </c>
      <c r="DD25" s="23">
        <v>0.0</v>
      </c>
      <c r="DE25" s="23">
        <v>0.0</v>
      </c>
      <c r="DF25" s="23">
        <v>0.9</v>
      </c>
      <c r="DG25" s="23">
        <v>10.1</v>
      </c>
      <c r="DH25" s="23">
        <v>3.0</v>
      </c>
      <c r="DI25" s="23">
        <v>39.0</v>
      </c>
      <c r="DJ25" s="23">
        <v>3.0</v>
      </c>
      <c r="DK25" s="23">
        <v>3.0</v>
      </c>
      <c r="DL25" s="23">
        <v>11.7</v>
      </c>
      <c r="DM25" s="23">
        <v>6.5</v>
      </c>
      <c r="DN25" s="23">
        <v>12.0</v>
      </c>
    </row>
    <row r="26" ht="14.25" customHeight="1">
      <c r="A26" s="21" t="s">
        <v>132</v>
      </c>
      <c r="B26" s="22" t="s">
        <v>133</v>
      </c>
      <c r="C26" s="22" t="s">
        <v>100</v>
      </c>
      <c r="D26" s="23">
        <v>0.037</v>
      </c>
      <c r="E26" s="23">
        <v>0.046</v>
      </c>
      <c r="F26" s="23">
        <v>0.041</v>
      </c>
      <c r="G26" s="23">
        <v>0.06</v>
      </c>
      <c r="H26" s="24">
        <v>0.108</v>
      </c>
      <c r="I26" s="23">
        <v>0.047</v>
      </c>
      <c r="J26" s="24">
        <v>0.528</v>
      </c>
      <c r="K26" s="23">
        <v>0.027</v>
      </c>
      <c r="L26" s="23">
        <v>0.031</v>
      </c>
      <c r="M26" s="23">
        <v>0.0</v>
      </c>
      <c r="N26" s="23">
        <v>0.027</v>
      </c>
      <c r="O26" s="23">
        <v>0.054</v>
      </c>
      <c r="P26" s="23">
        <v>0.028</v>
      </c>
      <c r="Q26" s="23">
        <v>0.057</v>
      </c>
      <c r="R26" s="23">
        <v>0.056</v>
      </c>
      <c r="S26" s="23">
        <v>0.069</v>
      </c>
      <c r="T26" s="23">
        <v>0.059</v>
      </c>
      <c r="U26" s="23">
        <v>0.08</v>
      </c>
      <c r="V26" s="24">
        <v>0.105</v>
      </c>
      <c r="W26" s="23">
        <v>0.064</v>
      </c>
      <c r="X26" s="23">
        <v>0.098</v>
      </c>
      <c r="Y26" s="24">
        <v>0.106</v>
      </c>
      <c r="Z26" s="23">
        <v>0.061</v>
      </c>
      <c r="AA26" s="23">
        <v>0.061</v>
      </c>
      <c r="AB26" s="23">
        <v>0.021</v>
      </c>
      <c r="AC26" s="23">
        <v>0.02</v>
      </c>
      <c r="AD26" s="23">
        <v>0.064</v>
      </c>
      <c r="AE26" s="23">
        <v>0.071</v>
      </c>
      <c r="AF26" s="23">
        <v>0.04</v>
      </c>
      <c r="AG26" s="23">
        <v>0.044</v>
      </c>
      <c r="AH26" s="23">
        <v>0.07</v>
      </c>
      <c r="AI26" s="23">
        <v>0.051</v>
      </c>
      <c r="AJ26" s="23">
        <v>0.05</v>
      </c>
      <c r="AK26" s="23">
        <v>0.042</v>
      </c>
      <c r="AL26" s="23">
        <v>0.037</v>
      </c>
      <c r="AM26" s="23">
        <v>0.071</v>
      </c>
      <c r="AN26" s="23">
        <v>0.063</v>
      </c>
      <c r="AO26" s="23">
        <v>0.05</v>
      </c>
      <c r="AP26" s="23">
        <v>0.04</v>
      </c>
      <c r="AQ26" s="24">
        <v>0.139</v>
      </c>
      <c r="AR26" s="24">
        <v>0.107</v>
      </c>
      <c r="AS26" s="23">
        <v>0.066</v>
      </c>
      <c r="AT26" s="23">
        <v>0.066</v>
      </c>
      <c r="AU26" s="24">
        <v>0.092</v>
      </c>
      <c r="AV26" s="23">
        <v>0.031</v>
      </c>
      <c r="AW26" s="23">
        <v>0.027</v>
      </c>
      <c r="AX26" s="23">
        <v>0.01</v>
      </c>
      <c r="AY26" s="23">
        <v>0.048</v>
      </c>
      <c r="AZ26" s="23">
        <v>0.044</v>
      </c>
      <c r="BA26" s="23">
        <v>0.03</v>
      </c>
      <c r="BB26" s="23">
        <v>0.016</v>
      </c>
      <c r="BC26" s="23">
        <v>0.045</v>
      </c>
      <c r="BD26" s="23">
        <v>0.035</v>
      </c>
      <c r="BE26" s="23">
        <v>0.05</v>
      </c>
      <c r="BF26" s="23">
        <v>0.031</v>
      </c>
      <c r="BG26" s="23">
        <v>0.039</v>
      </c>
      <c r="BH26" s="23">
        <v>0.076</v>
      </c>
      <c r="BI26" s="23">
        <v>0.05</v>
      </c>
      <c r="BJ26" s="23">
        <v>0.012</v>
      </c>
      <c r="BK26" s="23">
        <v>0.03</v>
      </c>
      <c r="BL26" s="23">
        <v>0.02</v>
      </c>
      <c r="BM26" s="23">
        <v>0.0</v>
      </c>
      <c r="BN26" s="24">
        <v>0.143</v>
      </c>
      <c r="BO26" s="24">
        <v>0.162</v>
      </c>
      <c r="BP26" s="23">
        <v>0.065</v>
      </c>
      <c r="BQ26" s="23">
        <v>0.078</v>
      </c>
      <c r="BR26" s="24">
        <v>0.095</v>
      </c>
      <c r="BS26" s="23">
        <v>0.018</v>
      </c>
      <c r="BT26" s="23">
        <v>0.07</v>
      </c>
      <c r="BU26" s="23">
        <v>0.064</v>
      </c>
      <c r="BV26" s="23">
        <v>0.04</v>
      </c>
      <c r="BW26" s="23">
        <v>0.034</v>
      </c>
      <c r="BX26" s="23">
        <v>0.021</v>
      </c>
      <c r="BY26" s="23">
        <v>0.043</v>
      </c>
      <c r="BZ26" s="23">
        <v>0.046</v>
      </c>
      <c r="CA26" s="23">
        <v>0.042</v>
      </c>
      <c r="CB26" s="23">
        <v>0.026</v>
      </c>
      <c r="CC26" s="23">
        <v>0.032</v>
      </c>
      <c r="CD26" s="23">
        <v>0.03</v>
      </c>
      <c r="CE26" s="23">
        <v>0.05</v>
      </c>
      <c r="CF26" s="23">
        <v>0.06</v>
      </c>
      <c r="CG26" s="23">
        <v>0.06</v>
      </c>
      <c r="CH26" s="23">
        <v>0.026</v>
      </c>
      <c r="CI26" s="24">
        <v>0.2</v>
      </c>
      <c r="CJ26" s="23">
        <v>0.09</v>
      </c>
      <c r="CK26" s="23">
        <v>0.083</v>
      </c>
      <c r="CL26" s="24">
        <v>0.2</v>
      </c>
      <c r="CM26" s="23">
        <v>0.072</v>
      </c>
      <c r="CN26" s="23">
        <v>0.05</v>
      </c>
      <c r="CO26" s="23">
        <v>0.058</v>
      </c>
      <c r="CP26" s="23">
        <v>0.04</v>
      </c>
      <c r="CQ26" s="23">
        <v>0.027</v>
      </c>
      <c r="CR26" s="23">
        <v>0.03</v>
      </c>
      <c r="CS26" s="23">
        <v>0.07</v>
      </c>
      <c r="CT26" s="23">
        <v>0.045</v>
      </c>
      <c r="CU26" s="23">
        <v>0.044</v>
      </c>
      <c r="CV26" s="23">
        <v>0.01</v>
      </c>
      <c r="CW26" s="23">
        <v>0.078</v>
      </c>
      <c r="CX26" s="23">
        <v>0.056</v>
      </c>
      <c r="CY26" s="24">
        <v>0.107</v>
      </c>
      <c r="CZ26" s="23">
        <v>0.09</v>
      </c>
      <c r="DA26" s="23">
        <v>0.082</v>
      </c>
      <c r="DB26" s="23">
        <v>0.04</v>
      </c>
      <c r="DC26" s="23">
        <v>0.034</v>
      </c>
      <c r="DD26" s="23">
        <v>0.005</v>
      </c>
      <c r="DE26" s="23">
        <v>0.01</v>
      </c>
      <c r="DF26" s="24">
        <v>0.222</v>
      </c>
      <c r="DG26" s="25">
        <v>2.38</v>
      </c>
      <c r="DH26" s="23">
        <v>0.05</v>
      </c>
      <c r="DI26" s="24">
        <v>0.098</v>
      </c>
      <c r="DJ26" s="23">
        <v>0.06</v>
      </c>
      <c r="DK26" s="23">
        <v>0.015</v>
      </c>
      <c r="DL26" s="23">
        <v>0.044</v>
      </c>
      <c r="DM26" s="23">
        <v>0.08</v>
      </c>
      <c r="DN26" s="23">
        <v>0.01</v>
      </c>
    </row>
    <row r="27" ht="14.25" customHeight="1">
      <c r="A27" s="21" t="s">
        <v>134</v>
      </c>
      <c r="B27" s="22" t="s">
        <v>135</v>
      </c>
      <c r="C27" s="22" t="s">
        <v>100</v>
      </c>
      <c r="D27" s="23">
        <v>0.019</v>
      </c>
      <c r="E27" s="23">
        <v>0.034</v>
      </c>
      <c r="F27" s="23">
        <v>0.047</v>
      </c>
      <c r="G27" s="23">
        <v>0.04</v>
      </c>
      <c r="H27" s="23">
        <v>0.08</v>
      </c>
      <c r="I27" s="23">
        <v>0.031</v>
      </c>
      <c r="J27" s="24">
        <v>0.489</v>
      </c>
      <c r="K27" s="23">
        <v>0.033</v>
      </c>
      <c r="L27" s="23">
        <v>0.025</v>
      </c>
      <c r="M27" s="23">
        <v>0.01</v>
      </c>
      <c r="N27" s="23">
        <v>0.029</v>
      </c>
      <c r="O27" s="23">
        <v>0.085</v>
      </c>
      <c r="P27" s="23">
        <v>0.025</v>
      </c>
      <c r="Q27" s="23">
        <v>0.028</v>
      </c>
      <c r="R27" s="24">
        <v>0.109</v>
      </c>
      <c r="S27" s="23">
        <v>0.038</v>
      </c>
      <c r="T27" s="23">
        <v>0.03</v>
      </c>
      <c r="U27" s="23">
        <v>0.032</v>
      </c>
      <c r="V27" s="23">
        <v>0.021</v>
      </c>
      <c r="W27" s="23">
        <v>0.048</v>
      </c>
      <c r="X27" s="23">
        <v>0.019</v>
      </c>
      <c r="Y27" s="23">
        <v>0.02</v>
      </c>
      <c r="Z27" s="23">
        <v>0.04</v>
      </c>
      <c r="AA27" s="23">
        <v>0.038</v>
      </c>
      <c r="AB27" s="23">
        <v>0.022</v>
      </c>
      <c r="AC27" s="23">
        <v>0.02</v>
      </c>
      <c r="AD27" s="23">
        <v>0.069</v>
      </c>
      <c r="AE27" s="23">
        <v>0.06</v>
      </c>
      <c r="AF27" s="23">
        <v>0.05</v>
      </c>
      <c r="AG27" s="23">
        <v>0.044</v>
      </c>
      <c r="AH27" s="23">
        <v>0.03</v>
      </c>
      <c r="AI27" s="23">
        <v>0.02</v>
      </c>
      <c r="AJ27" s="23">
        <v>0.06</v>
      </c>
      <c r="AK27" s="23">
        <v>0.052</v>
      </c>
      <c r="AL27" s="23">
        <v>0.053</v>
      </c>
      <c r="AM27" s="24">
        <v>0.117</v>
      </c>
      <c r="AN27" s="24">
        <v>0.123</v>
      </c>
      <c r="AO27" s="23">
        <v>0.02</v>
      </c>
      <c r="AP27" s="23">
        <v>0.02</v>
      </c>
      <c r="AQ27" s="24">
        <v>0.09</v>
      </c>
      <c r="AR27" s="23">
        <v>0.08</v>
      </c>
      <c r="AS27" s="23">
        <v>0.058</v>
      </c>
      <c r="AT27" s="23">
        <v>0.044</v>
      </c>
      <c r="AU27" s="23">
        <v>0.055</v>
      </c>
      <c r="AV27" s="23">
        <v>0.04</v>
      </c>
      <c r="AW27" s="23">
        <v>0.04</v>
      </c>
      <c r="AX27" s="23">
        <v>0.048</v>
      </c>
      <c r="AY27" s="24">
        <v>0.142</v>
      </c>
      <c r="AZ27" s="23">
        <v>0.041</v>
      </c>
      <c r="BA27" s="23">
        <v>0.062</v>
      </c>
      <c r="BB27" s="23">
        <v>0.067</v>
      </c>
      <c r="BC27" s="24">
        <v>0.094</v>
      </c>
      <c r="BD27" s="23">
        <v>0.024</v>
      </c>
      <c r="BE27" s="24">
        <v>0.11</v>
      </c>
      <c r="BF27" s="23">
        <v>0.078</v>
      </c>
      <c r="BG27" s="23">
        <v>0.037</v>
      </c>
      <c r="BH27" s="23">
        <v>0.02</v>
      </c>
      <c r="BI27" s="23">
        <v>0.07</v>
      </c>
      <c r="BJ27" s="23">
        <v>0.039</v>
      </c>
      <c r="BK27" s="23">
        <v>0.02</v>
      </c>
      <c r="BL27" s="23">
        <v>0.02</v>
      </c>
      <c r="BM27" s="23">
        <v>0.023</v>
      </c>
      <c r="BN27" s="24">
        <v>0.141</v>
      </c>
      <c r="BO27" s="24">
        <v>0.139</v>
      </c>
      <c r="BP27" s="24">
        <v>0.103</v>
      </c>
      <c r="BQ27" s="24">
        <v>0.189</v>
      </c>
      <c r="BR27" s="24">
        <v>0.236</v>
      </c>
      <c r="BS27" s="24">
        <v>0.106</v>
      </c>
      <c r="BT27" s="23">
        <v>0.08</v>
      </c>
      <c r="BU27" s="23">
        <v>0.077</v>
      </c>
      <c r="BV27" s="24">
        <v>0.1</v>
      </c>
      <c r="BW27" s="23">
        <v>0.086</v>
      </c>
      <c r="BX27" s="23">
        <v>0.057</v>
      </c>
      <c r="BY27" s="23">
        <v>0.047</v>
      </c>
      <c r="BZ27" s="23">
        <v>0.027</v>
      </c>
      <c r="CA27" s="23">
        <v>0.023</v>
      </c>
      <c r="CB27" s="23">
        <v>0.024</v>
      </c>
      <c r="CC27" s="23">
        <v>0.006</v>
      </c>
      <c r="CD27" s="23">
        <v>0.026</v>
      </c>
      <c r="CE27" s="24">
        <v>0.09</v>
      </c>
      <c r="CF27" s="23">
        <v>0.02</v>
      </c>
      <c r="CG27" s="23">
        <v>0.03</v>
      </c>
      <c r="CH27" s="23">
        <v>0.02</v>
      </c>
      <c r="CI27" s="24">
        <v>0.11</v>
      </c>
      <c r="CJ27" s="23">
        <v>0.05</v>
      </c>
      <c r="CK27" s="23">
        <v>0.051</v>
      </c>
      <c r="CL27" s="23">
        <v>0.06</v>
      </c>
      <c r="CM27" s="23">
        <v>0.066</v>
      </c>
      <c r="CN27" s="23">
        <v>0.089</v>
      </c>
      <c r="CO27" s="24">
        <v>0.14</v>
      </c>
      <c r="CP27" s="23">
        <v>0.03</v>
      </c>
      <c r="CQ27" s="23">
        <v>0.023</v>
      </c>
      <c r="CR27" s="23">
        <v>0.02</v>
      </c>
      <c r="CS27" s="24">
        <v>0.1</v>
      </c>
      <c r="CT27" s="23">
        <v>0.072</v>
      </c>
      <c r="CU27" s="23">
        <v>0.091</v>
      </c>
      <c r="CV27" s="23">
        <v>0.06</v>
      </c>
      <c r="CW27" s="23">
        <v>0.061</v>
      </c>
      <c r="CX27" s="23">
        <v>0.047</v>
      </c>
      <c r="CY27" s="24">
        <v>0.106</v>
      </c>
      <c r="CZ27" s="23">
        <v>0.04</v>
      </c>
      <c r="DA27" s="23">
        <v>0.041</v>
      </c>
      <c r="DB27" s="23">
        <v>0.09</v>
      </c>
      <c r="DC27" s="23">
        <v>0.086</v>
      </c>
      <c r="DD27" s="23">
        <v>0.022</v>
      </c>
      <c r="DE27" s="24">
        <v>0.222</v>
      </c>
      <c r="DF27" s="24">
        <v>0.342</v>
      </c>
      <c r="DG27" s="25">
        <v>3.67</v>
      </c>
      <c r="DH27" s="23">
        <v>0.15</v>
      </c>
      <c r="DI27" s="24">
        <v>0.446</v>
      </c>
      <c r="DJ27" s="24">
        <v>0.23</v>
      </c>
      <c r="DK27" s="24">
        <v>0.466</v>
      </c>
      <c r="DL27" s="23">
        <v>0.035</v>
      </c>
      <c r="DM27" s="23">
        <v>0.075</v>
      </c>
      <c r="DN27" s="23">
        <v>0.032</v>
      </c>
    </row>
    <row r="28" ht="14.25" customHeight="1">
      <c r="A28" s="21" t="s">
        <v>136</v>
      </c>
      <c r="B28" s="22" t="s">
        <v>137</v>
      </c>
      <c r="C28" s="22" t="s">
        <v>138</v>
      </c>
      <c r="D28" s="23">
        <v>0.594</v>
      </c>
      <c r="E28" s="23">
        <v>0.593</v>
      </c>
      <c r="F28" s="24">
        <v>1.179</v>
      </c>
      <c r="G28" s="23">
        <v>0.5</v>
      </c>
      <c r="H28" s="24">
        <v>1.11</v>
      </c>
      <c r="I28" s="23">
        <v>0.673</v>
      </c>
      <c r="J28" s="25">
        <v>9.05</v>
      </c>
      <c r="K28" s="23">
        <v>0.098</v>
      </c>
      <c r="L28" s="23">
        <v>0.037</v>
      </c>
      <c r="M28" s="23">
        <v>0.0</v>
      </c>
      <c r="N28" s="23">
        <v>0.099</v>
      </c>
      <c r="O28" s="24">
        <v>0.979</v>
      </c>
      <c r="P28" s="24">
        <v>0.89</v>
      </c>
      <c r="Q28" s="23">
        <v>0.48</v>
      </c>
      <c r="R28" s="24">
        <v>0.954</v>
      </c>
      <c r="S28" s="24">
        <v>1.37</v>
      </c>
      <c r="T28" s="23">
        <v>0.477</v>
      </c>
      <c r="U28" s="24">
        <v>1.054</v>
      </c>
      <c r="V28" s="24">
        <v>1.395</v>
      </c>
      <c r="W28" s="24">
        <v>1.41</v>
      </c>
      <c r="X28" s="24">
        <v>1.312</v>
      </c>
      <c r="Y28" s="24">
        <v>1.439</v>
      </c>
      <c r="Z28" s="23">
        <v>0.234</v>
      </c>
      <c r="AA28" s="23">
        <v>0.248</v>
      </c>
      <c r="AB28" s="23">
        <v>0.143</v>
      </c>
      <c r="AC28" s="23">
        <v>0.14</v>
      </c>
      <c r="AD28" s="23">
        <v>0.418</v>
      </c>
      <c r="AE28" s="23">
        <v>0.382</v>
      </c>
      <c r="AF28" s="23">
        <v>0.4</v>
      </c>
      <c r="AG28" s="23">
        <v>0.5</v>
      </c>
      <c r="AH28" s="23">
        <v>0.3</v>
      </c>
      <c r="AI28" s="23">
        <v>0.024</v>
      </c>
      <c r="AJ28" s="23">
        <v>0.507</v>
      </c>
      <c r="AK28" s="23">
        <v>0.41</v>
      </c>
      <c r="AL28" s="23">
        <v>0.31</v>
      </c>
      <c r="AM28" s="23">
        <v>0.639</v>
      </c>
      <c r="AN28" s="23">
        <v>0.553</v>
      </c>
      <c r="AO28" s="23">
        <v>0.4</v>
      </c>
      <c r="AP28" s="23">
        <v>0.39</v>
      </c>
      <c r="AQ28" s="23">
        <v>0.745</v>
      </c>
      <c r="AR28" s="23">
        <v>0.607</v>
      </c>
      <c r="AS28" s="23">
        <v>0.983</v>
      </c>
      <c r="AT28" s="23">
        <v>0.645</v>
      </c>
      <c r="AU28" s="23">
        <v>0.386</v>
      </c>
      <c r="AV28" s="23">
        <v>0.334</v>
      </c>
      <c r="AW28" s="23">
        <v>0.331</v>
      </c>
      <c r="AX28" s="23">
        <v>0.251</v>
      </c>
      <c r="AY28" s="23">
        <v>0.487</v>
      </c>
      <c r="AZ28" s="23">
        <v>0.513</v>
      </c>
      <c r="BA28" s="23">
        <v>0.5</v>
      </c>
      <c r="BB28" s="23">
        <v>0.495</v>
      </c>
      <c r="BC28" s="23">
        <v>0.451</v>
      </c>
      <c r="BD28" s="23">
        <v>0.51</v>
      </c>
      <c r="BE28" s="23">
        <v>0.6</v>
      </c>
      <c r="BF28" s="23">
        <v>0.413</v>
      </c>
      <c r="BG28" s="23">
        <v>0.649</v>
      </c>
      <c r="BH28" s="23">
        <v>0.6</v>
      </c>
      <c r="BI28" s="23">
        <v>0.66</v>
      </c>
      <c r="BJ28" s="23">
        <v>0.254</v>
      </c>
      <c r="BK28" s="23">
        <v>0.3</v>
      </c>
      <c r="BL28" s="23">
        <v>0.2</v>
      </c>
      <c r="BM28" s="23">
        <v>0.15</v>
      </c>
      <c r="BN28" s="24">
        <v>0.978</v>
      </c>
      <c r="BO28" s="24">
        <v>1.084</v>
      </c>
      <c r="BP28" s="24">
        <v>1.038</v>
      </c>
      <c r="BQ28" s="23">
        <v>0.724</v>
      </c>
      <c r="BR28" s="23">
        <v>0.49</v>
      </c>
      <c r="BS28" s="23">
        <v>0.271</v>
      </c>
      <c r="BT28" s="23">
        <v>0.375</v>
      </c>
      <c r="BU28" s="23">
        <v>0.321</v>
      </c>
      <c r="BV28" s="23">
        <v>0.5</v>
      </c>
      <c r="BW28" s="23">
        <v>0.411</v>
      </c>
      <c r="BX28" s="23">
        <v>0.32</v>
      </c>
      <c r="BY28" s="23">
        <v>0.319</v>
      </c>
      <c r="BZ28" s="23">
        <v>0.116</v>
      </c>
      <c r="CA28" s="23">
        <v>0.165</v>
      </c>
      <c r="CB28" s="23">
        <v>0.175</v>
      </c>
      <c r="CC28" s="23">
        <v>0.061</v>
      </c>
      <c r="CD28" s="23">
        <v>0.33</v>
      </c>
      <c r="CE28" s="23">
        <v>0.4</v>
      </c>
      <c r="CF28" s="23">
        <v>0.2</v>
      </c>
      <c r="CG28" s="23">
        <v>0.4</v>
      </c>
      <c r="CH28" s="23">
        <v>0.2</v>
      </c>
      <c r="CI28" s="23">
        <v>0.7</v>
      </c>
      <c r="CJ28" s="23">
        <v>0.7</v>
      </c>
      <c r="CK28" s="23">
        <v>0.724</v>
      </c>
      <c r="CL28" s="24">
        <v>1.3</v>
      </c>
      <c r="CM28" s="24">
        <v>1.046</v>
      </c>
      <c r="CN28" s="24">
        <v>1.11</v>
      </c>
      <c r="CO28" s="23">
        <v>0.86</v>
      </c>
      <c r="CP28" s="23">
        <v>0.4</v>
      </c>
      <c r="CQ28" s="23">
        <v>0.299</v>
      </c>
      <c r="CR28" s="23">
        <v>0.4</v>
      </c>
      <c r="CS28" s="23">
        <v>0.6</v>
      </c>
      <c r="CT28" s="23">
        <v>0.411</v>
      </c>
      <c r="CU28" s="23">
        <v>0.383</v>
      </c>
      <c r="CV28" s="23">
        <v>0.36</v>
      </c>
      <c r="CW28" s="23">
        <v>0.557</v>
      </c>
      <c r="CX28" s="23">
        <v>0.538</v>
      </c>
      <c r="CY28" s="24">
        <v>1.487</v>
      </c>
      <c r="CZ28" s="23">
        <v>0.7</v>
      </c>
      <c r="DA28" s="23">
        <v>0.715</v>
      </c>
      <c r="DB28" s="23">
        <v>0.4</v>
      </c>
      <c r="DC28" s="23">
        <v>0.36</v>
      </c>
      <c r="DD28" s="23">
        <v>0.055</v>
      </c>
      <c r="DE28" s="23">
        <v>0.202</v>
      </c>
      <c r="DF28" s="24">
        <v>1.196</v>
      </c>
      <c r="DG28" s="25">
        <v>12.82</v>
      </c>
      <c r="DH28" s="23">
        <v>0.47</v>
      </c>
      <c r="DI28" s="24">
        <v>1.47</v>
      </c>
      <c r="DJ28" s="24">
        <v>1.6</v>
      </c>
      <c r="DK28" s="23">
        <v>0.593</v>
      </c>
      <c r="DL28" s="24">
        <v>1.85</v>
      </c>
      <c r="DM28" s="23">
        <v>0.4</v>
      </c>
      <c r="DN28" s="23">
        <v>0.64</v>
      </c>
    </row>
    <row r="29" ht="14.25" customHeight="1">
      <c r="A29" s="21" t="s">
        <v>139</v>
      </c>
      <c r="B29" s="22">
        <v>1.3</v>
      </c>
      <c r="C29" s="22" t="s">
        <v>140</v>
      </c>
      <c r="D29" s="23">
        <v>0.08</v>
      </c>
      <c r="E29" s="23">
        <v>0.06</v>
      </c>
      <c r="F29" s="23">
        <v>0.056</v>
      </c>
      <c r="G29" s="23">
        <v>0.081</v>
      </c>
      <c r="H29" s="23">
        <v>0.086</v>
      </c>
      <c r="I29" s="24">
        <v>0.111</v>
      </c>
      <c r="J29" s="24">
        <v>0.332</v>
      </c>
      <c r="K29" s="23">
        <v>0.04</v>
      </c>
      <c r="L29" s="23">
        <v>0.051</v>
      </c>
      <c r="M29" s="23">
        <v>0.009</v>
      </c>
      <c r="N29" s="23">
        <v>0.023</v>
      </c>
      <c r="O29" s="24">
        <v>0.291</v>
      </c>
      <c r="P29" s="24">
        <v>0.168</v>
      </c>
      <c r="Q29" s="24">
        <v>0.224</v>
      </c>
      <c r="R29" s="24">
        <v>0.364</v>
      </c>
      <c r="S29" s="24">
        <v>0.137</v>
      </c>
      <c r="T29" s="24">
        <v>0.233</v>
      </c>
      <c r="U29" s="24">
        <v>0.295</v>
      </c>
      <c r="V29" s="24">
        <v>0.301</v>
      </c>
      <c r="W29" s="24">
        <v>0.311</v>
      </c>
      <c r="X29" s="24">
        <v>0.269</v>
      </c>
      <c r="Y29" s="24">
        <v>0.299</v>
      </c>
      <c r="Z29" s="24">
        <v>0.124</v>
      </c>
      <c r="AA29" s="24">
        <v>0.112</v>
      </c>
      <c r="AB29" s="47">
        <v>0.13</v>
      </c>
      <c r="AC29" s="23">
        <v>0.09</v>
      </c>
      <c r="AD29" s="24">
        <v>0.209</v>
      </c>
      <c r="AE29" s="24">
        <v>0.225</v>
      </c>
      <c r="AF29" s="24">
        <v>0.232</v>
      </c>
      <c r="AG29" s="24">
        <v>0.177</v>
      </c>
      <c r="AH29" s="24">
        <v>0.19</v>
      </c>
      <c r="AI29" s="24">
        <v>0.152</v>
      </c>
      <c r="AJ29" s="24">
        <v>0.184</v>
      </c>
      <c r="AK29" s="24">
        <v>0.173</v>
      </c>
      <c r="AL29" s="23">
        <v>0.088</v>
      </c>
      <c r="AM29" s="24">
        <v>0.175</v>
      </c>
      <c r="AN29" s="24">
        <v>0.2</v>
      </c>
      <c r="AO29" s="24">
        <v>0.15</v>
      </c>
      <c r="AP29" s="24">
        <v>0.154</v>
      </c>
      <c r="AQ29" s="24">
        <v>0.219</v>
      </c>
      <c r="AR29" s="24">
        <v>0.178</v>
      </c>
      <c r="AS29" s="24">
        <v>0.138</v>
      </c>
      <c r="AT29" s="24">
        <v>0.153</v>
      </c>
      <c r="AU29" s="24">
        <v>0.217</v>
      </c>
      <c r="AV29" s="23">
        <v>0.067</v>
      </c>
      <c r="AW29" s="23">
        <v>0.067</v>
      </c>
      <c r="AX29" s="23">
        <v>0.05</v>
      </c>
      <c r="AY29" s="24">
        <v>0.218</v>
      </c>
      <c r="AZ29" s="23">
        <v>0.065</v>
      </c>
      <c r="BA29" s="24">
        <v>0.156</v>
      </c>
      <c r="BB29" s="24">
        <v>0.161</v>
      </c>
      <c r="BC29" s="24">
        <v>0.163</v>
      </c>
      <c r="BD29" s="23">
        <v>0.08</v>
      </c>
      <c r="BE29" s="23">
        <v>0.061</v>
      </c>
      <c r="BF29" s="23">
        <v>0.044</v>
      </c>
      <c r="BG29" s="23">
        <v>0.084</v>
      </c>
      <c r="BH29" s="23">
        <v>0.086</v>
      </c>
      <c r="BI29" s="24">
        <v>0.14</v>
      </c>
      <c r="BJ29" s="23">
        <v>0.071</v>
      </c>
      <c r="BK29" s="23">
        <v>0.075</v>
      </c>
      <c r="BL29" s="23">
        <v>0.046</v>
      </c>
      <c r="BM29" s="23">
        <v>0.038</v>
      </c>
      <c r="BN29" s="23">
        <v>0.091</v>
      </c>
      <c r="BO29" s="23">
        <v>0.079</v>
      </c>
      <c r="BP29" s="23">
        <v>0.02</v>
      </c>
      <c r="BQ29" s="24">
        <v>0.195</v>
      </c>
      <c r="BR29" s="24">
        <v>0.242</v>
      </c>
      <c r="BS29" s="23">
        <v>0.08</v>
      </c>
      <c r="BT29" s="24">
        <v>0.09</v>
      </c>
      <c r="BU29" s="24">
        <v>0.1</v>
      </c>
      <c r="BV29" s="24">
        <v>0.122</v>
      </c>
      <c r="BW29" s="24">
        <v>0.1</v>
      </c>
      <c r="BX29" s="23">
        <v>0.074</v>
      </c>
      <c r="BY29" s="23">
        <v>0.086</v>
      </c>
      <c r="BZ29" s="24">
        <v>0.12</v>
      </c>
      <c r="CA29" s="24">
        <v>0.129</v>
      </c>
      <c r="CB29" s="23">
        <v>0.093</v>
      </c>
      <c r="CC29" s="24">
        <v>0.137</v>
      </c>
      <c r="CD29" s="23">
        <v>0.088</v>
      </c>
      <c r="CE29" s="23">
        <v>0.072</v>
      </c>
      <c r="CF29" s="24">
        <v>0.345</v>
      </c>
      <c r="CG29" s="24">
        <v>0.233</v>
      </c>
      <c r="CH29" s="24">
        <v>0.113</v>
      </c>
      <c r="CI29" s="25">
        <v>1.235</v>
      </c>
      <c r="CJ29" s="23">
        <v>0.09</v>
      </c>
      <c r="CK29" s="23">
        <v>0.093</v>
      </c>
      <c r="CL29" s="23">
        <v>0.077</v>
      </c>
      <c r="CM29" s="24">
        <v>0.116</v>
      </c>
      <c r="CN29" s="23">
        <v>0.081</v>
      </c>
      <c r="CO29" s="23">
        <v>0.082</v>
      </c>
      <c r="CP29" s="23">
        <v>0.09</v>
      </c>
      <c r="CQ29" s="23">
        <v>0.067</v>
      </c>
      <c r="CR29" s="23">
        <v>0.048</v>
      </c>
      <c r="CS29" s="24">
        <v>0.263</v>
      </c>
      <c r="CT29" s="24">
        <v>0.18</v>
      </c>
      <c r="CU29" s="24">
        <v>0.1</v>
      </c>
      <c r="CV29" s="23">
        <v>0.04</v>
      </c>
      <c r="CW29" s="24">
        <v>0.209</v>
      </c>
      <c r="CX29" s="24">
        <v>0.165</v>
      </c>
      <c r="CY29" s="24">
        <v>0.286</v>
      </c>
      <c r="CZ29" s="24">
        <v>0.1</v>
      </c>
      <c r="DA29" s="24">
        <v>0.102</v>
      </c>
      <c r="DB29" s="23">
        <v>0.099</v>
      </c>
      <c r="DC29" s="23">
        <v>0.085</v>
      </c>
      <c r="DD29" s="23">
        <v>0.032</v>
      </c>
      <c r="DE29" s="24">
        <v>0.303</v>
      </c>
      <c r="DF29" s="23">
        <v>0.034</v>
      </c>
      <c r="DG29" s="24">
        <v>0.364</v>
      </c>
      <c r="DH29" s="23">
        <v>0.002</v>
      </c>
      <c r="DI29" s="24">
        <v>0.159</v>
      </c>
      <c r="DJ29" s="23">
        <v>0.002</v>
      </c>
      <c r="DK29" s="23">
        <v>0.069</v>
      </c>
      <c r="DL29" s="23">
        <v>0.056</v>
      </c>
      <c r="DM29" s="23">
        <v>0.02</v>
      </c>
      <c r="DN29" s="23">
        <v>0.047</v>
      </c>
    </row>
    <row r="30" ht="14.25" customHeight="1">
      <c r="A30" s="23" t="s">
        <v>141</v>
      </c>
      <c r="B30" s="22" t="s">
        <v>142</v>
      </c>
      <c r="C30" s="22">
        <v>1000.0</v>
      </c>
      <c r="D30" s="23">
        <v>15.0</v>
      </c>
      <c r="E30" s="23">
        <v>29.0</v>
      </c>
      <c r="F30" s="23">
        <v>30.0</v>
      </c>
      <c r="G30" s="23">
        <v>9.0</v>
      </c>
      <c r="H30" s="23">
        <v>11.0</v>
      </c>
      <c r="I30" s="23">
        <v>20.0</v>
      </c>
      <c r="J30" s="24">
        <v>68.0</v>
      </c>
      <c r="K30" s="23">
        <v>7.0</v>
      </c>
      <c r="L30" s="23">
        <v>14.0</v>
      </c>
      <c r="M30" s="23">
        <v>1.0</v>
      </c>
      <c r="N30" s="23">
        <v>1.0</v>
      </c>
      <c r="O30" s="24">
        <v>46.0</v>
      </c>
      <c r="P30" s="23">
        <v>26.0</v>
      </c>
      <c r="Q30" s="23">
        <v>10.0</v>
      </c>
      <c r="R30" s="23">
        <v>2.0</v>
      </c>
      <c r="S30" s="23">
        <v>14.0</v>
      </c>
      <c r="T30" s="23">
        <v>16.0</v>
      </c>
      <c r="U30" s="23">
        <v>16.0</v>
      </c>
      <c r="V30" s="23">
        <v>9.0</v>
      </c>
      <c r="W30" s="23">
        <v>28.0</v>
      </c>
      <c r="X30" s="23">
        <v>9.0</v>
      </c>
      <c r="Y30" s="23">
        <v>10.0</v>
      </c>
      <c r="Z30" s="24">
        <v>43.0</v>
      </c>
      <c r="AA30" s="23">
        <v>30.0</v>
      </c>
      <c r="AB30" s="23">
        <v>24.0</v>
      </c>
      <c r="AC30" s="23">
        <v>24.0</v>
      </c>
      <c r="AD30" s="23">
        <v>18.0</v>
      </c>
      <c r="AE30" s="23">
        <v>24.0</v>
      </c>
      <c r="AF30" s="24">
        <v>79.0</v>
      </c>
      <c r="AG30" s="24">
        <v>53.0</v>
      </c>
      <c r="AH30" s="24">
        <v>80.0</v>
      </c>
      <c r="AI30" s="24">
        <v>46.0</v>
      </c>
      <c r="AJ30" s="24">
        <v>57.0</v>
      </c>
      <c r="AK30" s="24">
        <v>44.0</v>
      </c>
      <c r="AL30" s="24">
        <v>41.0</v>
      </c>
      <c r="AM30" s="24">
        <v>63.0</v>
      </c>
      <c r="AN30" s="24">
        <v>108.0</v>
      </c>
      <c r="AO30" s="23">
        <v>16.0</v>
      </c>
      <c r="AP30" s="23">
        <v>12.0</v>
      </c>
      <c r="AQ30" s="24">
        <v>61.0</v>
      </c>
      <c r="AR30" s="24">
        <v>60.0</v>
      </c>
      <c r="AS30" s="23">
        <v>19.0</v>
      </c>
      <c r="AT30" s="23">
        <v>14.0</v>
      </c>
      <c r="AU30" s="23">
        <v>4.0</v>
      </c>
      <c r="AV30" s="24">
        <v>109.0</v>
      </c>
      <c r="AW30" s="24">
        <v>80.0</v>
      </c>
      <c r="AX30" s="23">
        <v>27.0</v>
      </c>
      <c r="AY30" s="23">
        <v>29.0</v>
      </c>
      <c r="AZ30" s="23">
        <v>20.0</v>
      </c>
      <c r="BA30" s="23">
        <v>24.0</v>
      </c>
      <c r="BB30" s="23">
        <v>20.0</v>
      </c>
      <c r="BC30" s="23">
        <v>24.0</v>
      </c>
      <c r="BD30" s="23">
        <v>28.0</v>
      </c>
      <c r="BE30" s="23">
        <v>16.0</v>
      </c>
      <c r="BF30" s="23">
        <v>9.0</v>
      </c>
      <c r="BG30" s="23">
        <v>22.0</v>
      </c>
      <c r="BH30" s="23">
        <v>14.0</v>
      </c>
      <c r="BI30" s="23">
        <v>20.0</v>
      </c>
      <c r="BJ30" s="23">
        <v>25.0</v>
      </c>
      <c r="BK30" s="23">
        <v>14.0</v>
      </c>
      <c r="BL30" s="23">
        <v>28.0</v>
      </c>
      <c r="BM30" s="23">
        <v>17.0</v>
      </c>
      <c r="BN30" s="24">
        <v>52.0</v>
      </c>
      <c r="BO30" s="24">
        <v>149.0</v>
      </c>
      <c r="BP30" s="24">
        <v>135.0</v>
      </c>
      <c r="BQ30" s="24">
        <v>194.0</v>
      </c>
      <c r="BR30" s="24">
        <v>146.0</v>
      </c>
      <c r="BS30" s="24">
        <v>58.0</v>
      </c>
      <c r="BT30" s="23">
        <v>38.0</v>
      </c>
      <c r="BV30" s="23">
        <v>13.0</v>
      </c>
      <c r="BW30" s="23">
        <v>8.0</v>
      </c>
      <c r="BX30" s="23">
        <v>36.0</v>
      </c>
      <c r="BY30" s="23">
        <v>22.0</v>
      </c>
      <c r="BZ30" s="23">
        <v>19.0</v>
      </c>
      <c r="CA30" s="23">
        <v>15.0</v>
      </c>
      <c r="CB30" s="23">
        <v>21.0</v>
      </c>
      <c r="CC30" s="23">
        <v>10.0</v>
      </c>
      <c r="CD30" s="23">
        <v>30.0</v>
      </c>
      <c r="CE30" s="23">
        <v>16.0</v>
      </c>
      <c r="CF30" s="23">
        <v>34.0</v>
      </c>
      <c r="CG30" s="24">
        <v>64.0</v>
      </c>
      <c r="CH30" s="23">
        <v>24.0</v>
      </c>
      <c r="CI30" s="23">
        <v>3.0</v>
      </c>
      <c r="CJ30" s="24">
        <v>67.0</v>
      </c>
      <c r="CK30" s="24">
        <v>58.0</v>
      </c>
      <c r="CL30" s="23">
        <v>13.0</v>
      </c>
      <c r="CM30" s="24">
        <v>68.0</v>
      </c>
      <c r="CN30" s="24">
        <v>89.0</v>
      </c>
      <c r="CO30" s="24">
        <v>126.0</v>
      </c>
      <c r="CP30" s="23">
        <v>15.0</v>
      </c>
      <c r="CQ30" s="23">
        <v>9.0</v>
      </c>
      <c r="CR30" s="23">
        <v>8.0</v>
      </c>
      <c r="CS30" s="24">
        <v>194.0</v>
      </c>
      <c r="CT30" s="24">
        <v>118.0</v>
      </c>
      <c r="CU30" s="24">
        <v>74.0</v>
      </c>
      <c r="CV30" s="24">
        <v>92.0</v>
      </c>
      <c r="CW30" s="23">
        <v>11.0</v>
      </c>
      <c r="CX30" s="23">
        <v>6.0</v>
      </c>
      <c r="CY30" s="23">
        <v>6.0</v>
      </c>
      <c r="CZ30" s="23">
        <v>21.0</v>
      </c>
      <c r="DA30" s="23">
        <v>15.0</v>
      </c>
      <c r="DB30" s="23">
        <v>14.0</v>
      </c>
      <c r="DC30" s="23">
        <v>9.0</v>
      </c>
      <c r="DD30" s="24">
        <v>85.0</v>
      </c>
      <c r="DE30" s="25">
        <v>580.0</v>
      </c>
      <c r="DF30" s="23">
        <v>9.0</v>
      </c>
      <c r="DG30" s="24">
        <v>94.0</v>
      </c>
      <c r="DH30" s="24">
        <v>180.0</v>
      </c>
      <c r="DI30" s="24">
        <v>146.0</v>
      </c>
      <c r="DJ30" s="24">
        <v>196.0</v>
      </c>
      <c r="DK30" s="24">
        <v>182.0</v>
      </c>
      <c r="DL30" s="23">
        <v>7.0</v>
      </c>
      <c r="DM30" s="24">
        <v>142.0</v>
      </c>
      <c r="DN30" s="23">
        <v>27.0</v>
      </c>
    </row>
    <row r="31" ht="14.25" customHeight="1">
      <c r="A31" s="21" t="s">
        <v>143</v>
      </c>
      <c r="B31" s="22" t="s">
        <v>144</v>
      </c>
      <c r="C31" s="22" t="s">
        <v>100</v>
      </c>
      <c r="D31" s="23">
        <v>0.0</v>
      </c>
      <c r="E31" s="23">
        <v>0.0</v>
      </c>
      <c r="F31" s="23">
        <v>0.0</v>
      </c>
      <c r="G31" s="23">
        <v>0.0</v>
      </c>
      <c r="H31" s="23">
        <v>0.0</v>
      </c>
      <c r="I31" s="23">
        <v>0.0</v>
      </c>
      <c r="J31" s="23">
        <v>0.0</v>
      </c>
      <c r="K31" s="23">
        <v>0.0</v>
      </c>
      <c r="L31" s="23">
        <v>0.0</v>
      </c>
      <c r="M31" s="23">
        <v>0.0</v>
      </c>
      <c r="N31" s="23">
        <v>0.0</v>
      </c>
      <c r="O31" s="23">
        <v>0.0</v>
      </c>
      <c r="P31" s="23">
        <v>0.0</v>
      </c>
      <c r="Q31" s="23">
        <v>0.0</v>
      </c>
      <c r="R31" s="23">
        <v>0.0</v>
      </c>
      <c r="S31" s="23">
        <v>0.0</v>
      </c>
      <c r="T31" s="23">
        <v>0.0</v>
      </c>
      <c r="U31" s="23">
        <v>0.0</v>
      </c>
      <c r="V31" s="23">
        <v>0.0</v>
      </c>
      <c r="W31" s="23">
        <v>0.0</v>
      </c>
      <c r="X31" s="23">
        <v>0.0</v>
      </c>
      <c r="Y31" s="23">
        <v>0.0</v>
      </c>
      <c r="Z31" s="23">
        <v>0.0</v>
      </c>
      <c r="AA31" s="23">
        <v>0.0</v>
      </c>
      <c r="AB31" s="23">
        <v>0.0</v>
      </c>
      <c r="AC31" s="23">
        <v>0.0</v>
      </c>
      <c r="AD31" s="23">
        <v>0.0</v>
      </c>
      <c r="AE31" s="23">
        <v>0.0</v>
      </c>
      <c r="AF31" s="23">
        <v>0.0</v>
      </c>
      <c r="AG31" s="23">
        <v>0.0</v>
      </c>
      <c r="AH31" s="23">
        <v>0.0</v>
      </c>
      <c r="AI31" s="23">
        <v>0.0</v>
      </c>
      <c r="AJ31" s="23">
        <v>0.0</v>
      </c>
      <c r="AK31" s="23">
        <v>0.0</v>
      </c>
      <c r="AL31" s="23">
        <v>0.0</v>
      </c>
      <c r="AM31" s="23">
        <v>0.0</v>
      </c>
      <c r="AN31" s="23">
        <v>0.0</v>
      </c>
      <c r="AO31" s="23">
        <v>0.0</v>
      </c>
      <c r="AP31" s="23">
        <v>0.0</v>
      </c>
      <c r="AQ31" s="23">
        <v>0.0</v>
      </c>
      <c r="AR31" s="23">
        <v>0.0</v>
      </c>
      <c r="AS31" s="23">
        <v>0.0</v>
      </c>
      <c r="AT31" s="23">
        <v>0.0</v>
      </c>
      <c r="AU31" s="23">
        <v>0.0</v>
      </c>
      <c r="AV31" s="23">
        <v>0.0</v>
      </c>
      <c r="AW31" s="23">
        <v>0.0</v>
      </c>
      <c r="AX31" s="23">
        <v>0.0</v>
      </c>
      <c r="AY31" s="23">
        <v>0.0</v>
      </c>
      <c r="AZ31" s="23">
        <v>0.0</v>
      </c>
      <c r="BA31" s="23">
        <v>0.0</v>
      </c>
      <c r="BB31" s="23">
        <v>0.0</v>
      </c>
      <c r="BC31" s="23">
        <v>0.0</v>
      </c>
      <c r="BD31" s="23">
        <v>0.0</v>
      </c>
      <c r="BE31" s="23">
        <v>0.0</v>
      </c>
      <c r="BF31" s="23">
        <v>0.0</v>
      </c>
      <c r="BG31" s="23">
        <v>0.0</v>
      </c>
      <c r="BH31" s="23">
        <v>0.0</v>
      </c>
      <c r="BI31" s="23">
        <v>0.0</v>
      </c>
      <c r="BJ31" s="23">
        <v>0.0</v>
      </c>
      <c r="BK31" s="23">
        <v>0.0</v>
      </c>
      <c r="BL31" s="23">
        <v>0.0</v>
      </c>
      <c r="BM31" s="23">
        <v>0.0</v>
      </c>
      <c r="BN31" s="23">
        <v>0.0</v>
      </c>
      <c r="BO31" s="23">
        <v>0.0</v>
      </c>
      <c r="BP31" s="23">
        <v>0.0</v>
      </c>
      <c r="BQ31" s="23">
        <v>0.0</v>
      </c>
      <c r="BR31" s="23">
        <v>0.0</v>
      </c>
      <c r="BS31" s="23">
        <v>0.0</v>
      </c>
      <c r="BT31" s="23">
        <v>0.0</v>
      </c>
      <c r="BU31" s="23">
        <v>0.0</v>
      </c>
      <c r="BV31" s="23">
        <v>0.0</v>
      </c>
      <c r="BW31" s="23">
        <v>0.0</v>
      </c>
      <c r="BX31" s="23">
        <v>0.0</v>
      </c>
      <c r="BY31" s="23">
        <v>0.0</v>
      </c>
      <c r="BZ31" s="23">
        <v>0.0</v>
      </c>
      <c r="CA31" s="23">
        <v>0.0</v>
      </c>
      <c r="CB31" s="23">
        <v>0.0</v>
      </c>
      <c r="CC31" s="23">
        <v>0.0</v>
      </c>
      <c r="CD31" s="23">
        <v>0.0</v>
      </c>
      <c r="CE31" s="23">
        <v>0.0</v>
      </c>
      <c r="CF31" s="23">
        <v>0.0</v>
      </c>
      <c r="CG31" s="23">
        <v>0.0</v>
      </c>
      <c r="CH31" s="23">
        <v>0.0</v>
      </c>
      <c r="CI31" s="23">
        <v>0.0</v>
      </c>
      <c r="CJ31" s="23">
        <v>0.0</v>
      </c>
      <c r="CK31" s="23">
        <v>0.0</v>
      </c>
      <c r="CL31" s="23">
        <v>0.0</v>
      </c>
      <c r="CM31" s="23">
        <v>0.0</v>
      </c>
      <c r="CN31" s="23">
        <v>0.0</v>
      </c>
      <c r="CO31" s="23">
        <v>0.0</v>
      </c>
      <c r="CP31" s="23">
        <v>0.0</v>
      </c>
      <c r="CQ31" s="23">
        <v>0.0</v>
      </c>
      <c r="CR31" s="23">
        <v>0.0</v>
      </c>
      <c r="CS31" s="23">
        <v>0.0</v>
      </c>
      <c r="CT31" s="23">
        <v>0.0</v>
      </c>
      <c r="CU31" s="23">
        <v>0.0</v>
      </c>
      <c r="CV31" s="23">
        <v>0.0</v>
      </c>
      <c r="CW31" s="23">
        <v>0.0</v>
      </c>
      <c r="CX31" s="23">
        <v>0.0</v>
      </c>
      <c r="CY31" s="23">
        <v>0.0</v>
      </c>
      <c r="CZ31" s="23">
        <v>0.0</v>
      </c>
      <c r="DA31" s="23">
        <v>0.0</v>
      </c>
      <c r="DB31" s="23">
        <v>0.0</v>
      </c>
      <c r="DC31" s="23">
        <v>0.0</v>
      </c>
      <c r="DD31" s="23">
        <v>0.0</v>
      </c>
      <c r="DE31" s="23">
        <v>0.0</v>
      </c>
      <c r="DF31" s="23">
        <v>0.0</v>
      </c>
      <c r="DG31" s="23">
        <v>0.0</v>
      </c>
      <c r="DH31" s="23">
        <v>0.0</v>
      </c>
      <c r="DI31" s="23">
        <v>0.0</v>
      </c>
      <c r="DJ31" s="23">
        <v>0.0</v>
      </c>
      <c r="DK31" s="23">
        <v>0.0</v>
      </c>
      <c r="DL31" s="23">
        <v>0.0</v>
      </c>
      <c r="DM31" s="23">
        <v>0.0</v>
      </c>
      <c r="DN31" s="23">
        <v>0.0</v>
      </c>
    </row>
    <row r="32" ht="14.25" customHeight="1">
      <c r="A32" s="21" t="s">
        <v>145</v>
      </c>
      <c r="B32" s="22">
        <v>900.0</v>
      </c>
      <c r="C32" s="22">
        <v>3000.0</v>
      </c>
      <c r="D32" s="23">
        <v>42.0</v>
      </c>
      <c r="E32" s="23">
        <v>75.0</v>
      </c>
      <c r="F32" s="23">
        <v>0.0</v>
      </c>
      <c r="G32" s="23">
        <v>32.0</v>
      </c>
      <c r="H32" s="23">
        <v>33.0</v>
      </c>
      <c r="I32" s="23">
        <v>23.0</v>
      </c>
      <c r="J32" s="23">
        <v>44.0</v>
      </c>
      <c r="K32" s="23">
        <v>5.0</v>
      </c>
      <c r="L32" s="23">
        <v>4.0</v>
      </c>
      <c r="M32" s="23">
        <v>10.0</v>
      </c>
      <c r="N32" s="23">
        <v>9.0</v>
      </c>
      <c r="O32" s="24">
        <v>157.0</v>
      </c>
      <c r="P32" s="23">
        <v>10.0</v>
      </c>
      <c r="Q32" s="23">
        <v>18.0</v>
      </c>
      <c r="R32" s="24">
        <v>138.0</v>
      </c>
      <c r="S32" s="24">
        <v>121.0</v>
      </c>
      <c r="T32" s="24">
        <v>147.0</v>
      </c>
      <c r="U32" s="23">
        <v>0.0</v>
      </c>
      <c r="V32" s="23">
        <v>0.0</v>
      </c>
      <c r="W32" s="23">
        <v>1.0</v>
      </c>
      <c r="X32" s="23">
        <v>0.0</v>
      </c>
      <c r="Y32" s="23">
        <v>0.0</v>
      </c>
      <c r="Z32" s="23">
        <v>5.0</v>
      </c>
      <c r="AA32" s="23">
        <v>4.0</v>
      </c>
      <c r="AB32" s="23">
        <v>1.0</v>
      </c>
      <c r="AC32" s="23">
        <v>1.0</v>
      </c>
      <c r="AD32" s="23">
        <v>56.0</v>
      </c>
      <c r="AE32" s="23">
        <v>2.0</v>
      </c>
      <c r="AF32" s="23">
        <v>16.0</v>
      </c>
      <c r="AG32" s="23">
        <v>48.0</v>
      </c>
      <c r="AH32" s="23">
        <v>50.0</v>
      </c>
      <c r="AI32" s="23">
        <v>44.0</v>
      </c>
      <c r="AJ32" s="23">
        <v>0.0</v>
      </c>
      <c r="AK32" s="23">
        <v>1.0</v>
      </c>
      <c r="AL32" s="23">
        <v>0.0</v>
      </c>
      <c r="AM32" s="23">
        <v>31.0</v>
      </c>
      <c r="AN32" s="23">
        <v>77.0</v>
      </c>
      <c r="AO32" s="23">
        <v>2.0</v>
      </c>
      <c r="AP32" s="23">
        <v>2.0</v>
      </c>
      <c r="AQ32" s="23">
        <v>38.0</v>
      </c>
      <c r="AR32" s="23">
        <v>39.0</v>
      </c>
      <c r="AS32" s="24">
        <v>835.0</v>
      </c>
      <c r="AT32" s="24">
        <v>852.0</v>
      </c>
      <c r="AU32" s="24">
        <v>956.0</v>
      </c>
      <c r="AV32" s="23">
        <v>2.0</v>
      </c>
      <c r="AW32" s="23">
        <v>2.0</v>
      </c>
      <c r="AX32" s="23">
        <v>2.0</v>
      </c>
      <c r="AY32" s="23">
        <v>10.0</v>
      </c>
      <c r="AZ32" s="23">
        <v>11.0</v>
      </c>
      <c r="BA32" s="23">
        <v>68.0</v>
      </c>
      <c r="BB32" s="24">
        <v>261.0</v>
      </c>
      <c r="BC32" s="23">
        <v>10.0</v>
      </c>
      <c r="BD32" s="23">
        <v>56.0</v>
      </c>
      <c r="BE32" s="24">
        <v>369.0</v>
      </c>
      <c r="BF32" s="24">
        <v>250.0</v>
      </c>
      <c r="BG32" s="23">
        <v>1.0</v>
      </c>
      <c r="BH32" s="23">
        <v>2.0</v>
      </c>
      <c r="BI32" s="23">
        <v>3.0</v>
      </c>
      <c r="BJ32" s="23">
        <v>0.0</v>
      </c>
      <c r="BK32" s="23">
        <v>0.0</v>
      </c>
      <c r="BL32" s="23">
        <v>0.0</v>
      </c>
      <c r="BM32" s="23">
        <v>0.0</v>
      </c>
      <c r="BN32" s="23">
        <v>38.0</v>
      </c>
      <c r="BO32" s="23">
        <v>50.0</v>
      </c>
      <c r="BP32" s="23">
        <v>40.0</v>
      </c>
      <c r="BQ32" s="24">
        <v>469.0</v>
      </c>
      <c r="BR32" s="24">
        <v>524.0</v>
      </c>
      <c r="BS32" s="24">
        <v>322.0</v>
      </c>
      <c r="BT32" s="24">
        <v>370.0</v>
      </c>
      <c r="BU32" s="24">
        <v>375.0</v>
      </c>
      <c r="BV32" s="24">
        <v>200.0</v>
      </c>
      <c r="BW32" s="24">
        <v>174.0</v>
      </c>
      <c r="BX32" s="23">
        <v>22.0</v>
      </c>
      <c r="BY32" s="23">
        <v>26.0</v>
      </c>
      <c r="BZ32" s="23">
        <v>0.0</v>
      </c>
      <c r="CA32" s="23">
        <v>0.0</v>
      </c>
      <c r="CB32" s="23">
        <v>0.0</v>
      </c>
      <c r="CC32" s="23">
        <v>0.0</v>
      </c>
      <c r="CD32" s="24">
        <v>200.0</v>
      </c>
      <c r="CE32" s="23">
        <v>58.0</v>
      </c>
      <c r="CF32" s="23">
        <v>0.0</v>
      </c>
      <c r="CG32" s="23">
        <v>83.0</v>
      </c>
      <c r="CH32" s="23">
        <v>41.0</v>
      </c>
      <c r="CI32" s="23">
        <v>0.0</v>
      </c>
      <c r="CJ32" s="23">
        <v>0.0</v>
      </c>
      <c r="CK32" s="23">
        <v>0.0</v>
      </c>
      <c r="CL32" s="23">
        <v>1.0</v>
      </c>
      <c r="CM32" s="23">
        <v>1.0</v>
      </c>
      <c r="CN32" s="23">
        <v>1.0</v>
      </c>
      <c r="CO32" s="23">
        <v>8.0</v>
      </c>
      <c r="CP32" s="23">
        <v>0.0</v>
      </c>
      <c r="CQ32" s="23">
        <v>0.0</v>
      </c>
      <c r="CR32" s="23">
        <v>1.0</v>
      </c>
      <c r="CS32" s="24">
        <v>579.0</v>
      </c>
      <c r="CT32" s="24">
        <v>381.0</v>
      </c>
      <c r="CU32" s="24">
        <v>309.0</v>
      </c>
      <c r="CV32" s="24">
        <v>298.0</v>
      </c>
      <c r="CW32" s="24">
        <v>709.0</v>
      </c>
      <c r="CX32" s="24">
        <v>787.0</v>
      </c>
      <c r="CY32" s="24">
        <v>961.0</v>
      </c>
      <c r="CZ32" s="23">
        <v>0.0</v>
      </c>
      <c r="DA32" s="23">
        <v>0.0</v>
      </c>
      <c r="DB32" s="24">
        <v>306.0</v>
      </c>
      <c r="DC32" s="24">
        <v>306.0</v>
      </c>
      <c r="DD32" s="23">
        <v>0.0</v>
      </c>
      <c r="DE32" s="23">
        <v>0.0</v>
      </c>
      <c r="DF32" s="23">
        <v>3.0</v>
      </c>
      <c r="DG32" s="23">
        <v>29.0</v>
      </c>
      <c r="DH32" s="23">
        <v>6.0</v>
      </c>
      <c r="DI32" s="24">
        <v>260.0</v>
      </c>
      <c r="DJ32" s="23">
        <v>18.0</v>
      </c>
      <c r="DK32" s="23">
        <v>6.0</v>
      </c>
      <c r="DL32" s="23">
        <v>6.0</v>
      </c>
      <c r="DM32" s="24">
        <v>108.0</v>
      </c>
      <c r="DN32" s="23">
        <v>7.0</v>
      </c>
    </row>
    <row r="33" ht="14.25" customHeight="1">
      <c r="A33" s="28" t="s">
        <v>146</v>
      </c>
      <c r="B33" s="29"/>
      <c r="C33" s="29"/>
      <c r="D33" s="28">
        <v>833.0</v>
      </c>
      <c r="E33" s="28">
        <v>1496.0</v>
      </c>
      <c r="F33" s="28">
        <v>0.0</v>
      </c>
      <c r="G33" s="28">
        <v>642.0</v>
      </c>
      <c r="H33" s="28">
        <v>666.0</v>
      </c>
      <c r="I33" s="28">
        <v>450.0</v>
      </c>
      <c r="J33" s="28">
        <v>874.0</v>
      </c>
      <c r="K33" s="28">
        <v>105.0</v>
      </c>
      <c r="L33" s="28">
        <v>72.0</v>
      </c>
      <c r="M33" s="28">
        <v>191.0</v>
      </c>
      <c r="N33" s="28">
        <v>183.0</v>
      </c>
      <c r="O33" s="28">
        <v>3131.0</v>
      </c>
      <c r="P33" s="28">
        <v>200.0</v>
      </c>
      <c r="Q33" s="28">
        <v>370.0</v>
      </c>
      <c r="R33" s="28">
        <v>2760.0</v>
      </c>
      <c r="S33" s="28">
        <v>2428.0</v>
      </c>
      <c r="T33" s="28">
        <v>2941.0</v>
      </c>
      <c r="U33" s="28">
        <v>2.0</v>
      </c>
      <c r="V33" s="28">
        <v>0.0</v>
      </c>
      <c r="W33" s="28">
        <v>10.0</v>
      </c>
      <c r="X33" s="28">
        <v>3.0</v>
      </c>
      <c r="Y33" s="28">
        <v>3.0</v>
      </c>
      <c r="Z33" s="28">
        <v>98.0</v>
      </c>
      <c r="AA33" s="28">
        <v>80.0</v>
      </c>
      <c r="AB33" s="23">
        <v>18.0</v>
      </c>
      <c r="AC33" s="23">
        <v>18.0</v>
      </c>
      <c r="AD33" s="28">
        <v>1116.0</v>
      </c>
      <c r="AE33" s="28">
        <v>33.0</v>
      </c>
      <c r="AF33" s="28">
        <v>318.0</v>
      </c>
      <c r="AG33" s="28">
        <v>967.0</v>
      </c>
      <c r="AH33" s="28">
        <v>1000.0</v>
      </c>
      <c r="AI33" s="28">
        <v>889.0</v>
      </c>
      <c r="AJ33" s="28">
        <v>0.0</v>
      </c>
      <c r="AK33" s="28">
        <v>12.0</v>
      </c>
      <c r="AL33" s="28">
        <v>10.0</v>
      </c>
      <c r="AM33" s="28">
        <v>623.0</v>
      </c>
      <c r="AN33" s="28">
        <v>1548.0</v>
      </c>
      <c r="AO33" s="28">
        <v>36.0</v>
      </c>
      <c r="AP33" s="28">
        <v>35.0</v>
      </c>
      <c r="AQ33" s="28">
        <v>754.0</v>
      </c>
      <c r="AR33" s="28">
        <v>775.0</v>
      </c>
      <c r="AS33" s="28">
        <v>16706.0</v>
      </c>
      <c r="AT33" s="28">
        <v>17033.0</v>
      </c>
      <c r="AU33" s="28">
        <v>19124.0</v>
      </c>
      <c r="AV33" s="28">
        <v>33.0</v>
      </c>
      <c r="AW33" s="28">
        <v>35.0</v>
      </c>
      <c r="AX33" s="28">
        <v>49.0</v>
      </c>
      <c r="AY33" s="28">
        <v>200.0</v>
      </c>
      <c r="AZ33" s="28">
        <v>212.0</v>
      </c>
      <c r="BA33" s="28">
        <v>1367.0</v>
      </c>
      <c r="BB33" s="28">
        <v>5223.0</v>
      </c>
      <c r="BC33" s="28">
        <v>200.0</v>
      </c>
      <c r="BD33" s="28">
        <v>1117.0</v>
      </c>
      <c r="BE33" s="28">
        <v>7384.0</v>
      </c>
      <c r="BF33" s="28">
        <v>4992.0</v>
      </c>
      <c r="BG33" s="28">
        <v>27.0</v>
      </c>
      <c r="BH33" s="28">
        <v>37.0</v>
      </c>
      <c r="BI33" s="28">
        <v>50.0</v>
      </c>
      <c r="BJ33" s="28">
        <v>7.0</v>
      </c>
      <c r="BK33" s="28">
        <v>0.0</v>
      </c>
      <c r="BL33" s="28">
        <v>0.0</v>
      </c>
      <c r="BM33" s="28">
        <v>0.0</v>
      </c>
      <c r="BN33" s="28">
        <v>756.0</v>
      </c>
      <c r="BO33" s="28">
        <v>1006.0</v>
      </c>
      <c r="BP33" s="28">
        <v>806.0</v>
      </c>
      <c r="BQ33" s="28">
        <v>9377.0</v>
      </c>
      <c r="BR33" s="28">
        <v>10481.0</v>
      </c>
      <c r="BS33" s="28">
        <v>6432.0</v>
      </c>
      <c r="BT33" s="28">
        <v>7405.0</v>
      </c>
      <c r="BU33" s="28">
        <v>7492.0</v>
      </c>
      <c r="BV33" s="28">
        <v>4000.0</v>
      </c>
      <c r="BW33" s="28">
        <v>3474.0</v>
      </c>
      <c r="BX33" s="28">
        <v>449.0</v>
      </c>
      <c r="BY33" s="28">
        <v>521.0</v>
      </c>
      <c r="BZ33" s="28">
        <v>2.0</v>
      </c>
      <c r="CA33" s="28">
        <v>2.0</v>
      </c>
      <c r="CB33" s="28">
        <v>2.0</v>
      </c>
      <c r="CC33" s="28">
        <v>1.0</v>
      </c>
      <c r="CD33" s="28">
        <v>4000.0</v>
      </c>
      <c r="CE33" s="28">
        <v>1160.0</v>
      </c>
      <c r="CF33" s="28">
        <v>4.0</v>
      </c>
      <c r="CG33" s="28">
        <v>1667.0</v>
      </c>
      <c r="CH33" s="28">
        <v>812.0</v>
      </c>
      <c r="CI33" s="28">
        <v>9.0</v>
      </c>
      <c r="CJ33" s="28">
        <v>0.0</v>
      </c>
      <c r="CK33" s="28">
        <v>0.0</v>
      </c>
      <c r="CL33" s="28">
        <v>20.0</v>
      </c>
      <c r="CM33" s="28">
        <v>13.0</v>
      </c>
      <c r="CN33" s="28">
        <v>13.0</v>
      </c>
      <c r="CO33" s="28">
        <v>154.0</v>
      </c>
      <c r="CP33" s="28">
        <v>0.0</v>
      </c>
      <c r="CQ33" s="28">
        <v>0.0</v>
      </c>
      <c r="CR33" s="28">
        <v>26.0</v>
      </c>
      <c r="CS33" s="28">
        <v>11587.0</v>
      </c>
      <c r="CT33" s="28">
        <v>7625.0</v>
      </c>
      <c r="CU33" s="28">
        <v>6184.0</v>
      </c>
      <c r="CV33" s="28">
        <v>5954.0</v>
      </c>
      <c r="CW33" s="28">
        <v>14187.0</v>
      </c>
      <c r="CX33" s="28">
        <v>15740.0</v>
      </c>
      <c r="CY33" s="28">
        <v>19218.0</v>
      </c>
      <c r="CZ33" s="28">
        <v>2.0</v>
      </c>
      <c r="DA33" s="28">
        <v>2.0</v>
      </c>
      <c r="DB33" s="28">
        <v>6116.0</v>
      </c>
      <c r="DC33" s="28">
        <v>6124.0</v>
      </c>
      <c r="DD33" s="28">
        <v>0.0</v>
      </c>
      <c r="DE33" s="28">
        <v>0.0</v>
      </c>
      <c r="DF33" s="28">
        <v>56.0</v>
      </c>
      <c r="DG33" s="28">
        <v>570.0</v>
      </c>
      <c r="DH33" s="28">
        <v>116.0</v>
      </c>
      <c r="DI33" s="28">
        <v>5202.0</v>
      </c>
      <c r="DJ33" s="28">
        <v>360.0</v>
      </c>
      <c r="DK33" s="28">
        <v>118.0</v>
      </c>
      <c r="DL33" s="28">
        <v>114.0</v>
      </c>
      <c r="DM33" s="28">
        <v>2167.0</v>
      </c>
      <c r="DN33" s="28">
        <v>134.0</v>
      </c>
    </row>
    <row r="34" ht="14.25" customHeight="1">
      <c r="A34" s="21" t="s">
        <v>147</v>
      </c>
      <c r="B34" s="22" t="s">
        <v>148</v>
      </c>
      <c r="C34" s="22">
        <v>1000.0</v>
      </c>
      <c r="D34" s="23">
        <v>0.54</v>
      </c>
      <c r="G34" s="23">
        <v>0.38</v>
      </c>
      <c r="I34" s="23">
        <v>0.32</v>
      </c>
      <c r="J34" s="23">
        <v>0.01</v>
      </c>
      <c r="K34" s="23">
        <v>0.03</v>
      </c>
      <c r="L34" s="23">
        <v>0.03</v>
      </c>
      <c r="M34" s="23">
        <v>0.09</v>
      </c>
      <c r="N34" s="23">
        <v>0.09</v>
      </c>
      <c r="O34" s="24">
        <v>1.58</v>
      </c>
      <c r="Q34" s="23">
        <v>0.37</v>
      </c>
      <c r="R34" s="25">
        <v>3.09</v>
      </c>
      <c r="S34" s="23">
        <v>1.23</v>
      </c>
      <c r="T34" s="23">
        <v>1.65</v>
      </c>
      <c r="U34" s="23">
        <v>0.01</v>
      </c>
      <c r="V34" s="23">
        <v>0.04</v>
      </c>
      <c r="W34" s="23">
        <v>0.04</v>
      </c>
      <c r="X34" s="23">
        <v>0.01</v>
      </c>
      <c r="Y34" s="23">
        <v>0.01</v>
      </c>
      <c r="Z34" s="23">
        <v>0.15</v>
      </c>
      <c r="AA34" s="23">
        <v>0.14</v>
      </c>
      <c r="AB34" s="23">
        <v>0.14</v>
      </c>
      <c r="AC34" s="23">
        <v>0.14</v>
      </c>
      <c r="AD34" s="23">
        <v>0.11</v>
      </c>
      <c r="AE34" s="23">
        <v>0.12</v>
      </c>
      <c r="AF34" s="23">
        <v>0.12</v>
      </c>
      <c r="AH34" s="23">
        <v>0.17</v>
      </c>
      <c r="AJ34" s="23">
        <v>0.08</v>
      </c>
      <c r="AK34" s="23">
        <v>0.07</v>
      </c>
      <c r="AL34" s="23">
        <v>0.06</v>
      </c>
      <c r="AM34" s="23">
        <v>0.78</v>
      </c>
      <c r="AN34" s="24">
        <v>1.45</v>
      </c>
      <c r="AO34" s="23">
        <v>0.48</v>
      </c>
      <c r="AP34" s="23">
        <v>0.52</v>
      </c>
      <c r="AQ34" s="23">
        <v>0.88</v>
      </c>
      <c r="AR34" s="23">
        <v>0.43</v>
      </c>
      <c r="AS34" s="23">
        <v>0.66</v>
      </c>
      <c r="AT34" s="23">
        <v>1.03</v>
      </c>
      <c r="AU34" s="23">
        <v>1.16</v>
      </c>
      <c r="AV34" s="23">
        <v>0.04</v>
      </c>
      <c r="AW34" s="23">
        <v>0.04</v>
      </c>
      <c r="AX34" s="23">
        <v>0.06</v>
      </c>
      <c r="AY34" s="23">
        <v>0.12</v>
      </c>
      <c r="AZ34" s="23">
        <v>0.14</v>
      </c>
      <c r="BA34" s="23">
        <v>0.12</v>
      </c>
      <c r="BB34" s="23">
        <v>0.12</v>
      </c>
      <c r="BC34" s="23">
        <v>0.12</v>
      </c>
      <c r="BD34" s="23">
        <v>0.12</v>
      </c>
      <c r="BE34" s="23">
        <v>1.06</v>
      </c>
      <c r="BF34" s="23">
        <v>0.8</v>
      </c>
      <c r="BG34" s="23">
        <v>0.3</v>
      </c>
      <c r="BH34" s="23">
        <v>0.41</v>
      </c>
      <c r="BI34" s="23">
        <v>0.03</v>
      </c>
      <c r="BJ34" s="23">
        <v>0.0</v>
      </c>
      <c r="BL34" s="23">
        <v>0.0</v>
      </c>
      <c r="BM34" s="23">
        <v>0.0</v>
      </c>
      <c r="BN34" s="23">
        <v>1.13</v>
      </c>
      <c r="BO34" s="24">
        <v>1.5</v>
      </c>
      <c r="BP34" s="24">
        <v>1.2</v>
      </c>
      <c r="BQ34" s="24">
        <v>2.03</v>
      </c>
      <c r="BR34" s="24">
        <v>2.08</v>
      </c>
      <c r="BT34" s="23">
        <v>0.22</v>
      </c>
      <c r="BU34" s="23">
        <v>0.15</v>
      </c>
      <c r="BX34" s="23">
        <v>0.27</v>
      </c>
      <c r="BY34" s="23">
        <v>0.35</v>
      </c>
      <c r="BZ34" s="23">
        <v>0.02</v>
      </c>
      <c r="CA34" s="23">
        <v>0.02</v>
      </c>
      <c r="CB34" s="23">
        <v>0.02</v>
      </c>
      <c r="CC34" s="23">
        <v>0.07</v>
      </c>
      <c r="CD34" s="23">
        <v>0.21</v>
      </c>
      <c r="CE34" s="23">
        <v>0.51</v>
      </c>
      <c r="CF34" s="23">
        <v>0.04</v>
      </c>
      <c r="CG34" s="23">
        <v>0.92</v>
      </c>
      <c r="CH34" s="23">
        <v>0.5</v>
      </c>
      <c r="CI34" s="23">
        <v>0.08</v>
      </c>
      <c r="CJ34" s="24">
        <v>1.49</v>
      </c>
      <c r="CK34" s="23">
        <v>1.0</v>
      </c>
      <c r="CL34" s="23">
        <v>0.19</v>
      </c>
      <c r="CM34" s="23">
        <v>0.19</v>
      </c>
      <c r="CN34" s="23">
        <v>0.19</v>
      </c>
      <c r="CP34" s="23">
        <v>0.03</v>
      </c>
      <c r="CQ34" s="23">
        <v>0.02</v>
      </c>
      <c r="CS34" s="24">
        <v>2.86</v>
      </c>
      <c r="CT34" s="24">
        <v>1.88</v>
      </c>
      <c r="CV34" s="24">
        <v>1.47</v>
      </c>
      <c r="CW34" s="23">
        <v>0.26</v>
      </c>
      <c r="CX34" s="23">
        <v>0.94</v>
      </c>
      <c r="CY34" s="23">
        <v>0.71</v>
      </c>
      <c r="CZ34" s="23">
        <v>0.3</v>
      </c>
      <c r="DA34" s="23">
        <v>0.32</v>
      </c>
      <c r="DB34" s="24">
        <v>1.89</v>
      </c>
      <c r="DC34" s="24">
        <v>1.89</v>
      </c>
      <c r="DD34" s="23">
        <v>0.87</v>
      </c>
      <c r="DE34" s="25">
        <v>5.0</v>
      </c>
      <c r="DG34" s="25">
        <v>5.0</v>
      </c>
      <c r="DH34" s="23">
        <v>0.87</v>
      </c>
      <c r="DI34" s="23">
        <v>1.0</v>
      </c>
      <c r="DJ34" s="23">
        <v>1.0</v>
      </c>
      <c r="DK34" s="23">
        <v>0.87</v>
      </c>
      <c r="DL34" s="23">
        <v>0.38</v>
      </c>
      <c r="DM34" s="23">
        <v>0.44</v>
      </c>
    </row>
    <row r="35" ht="14.25" customHeight="1">
      <c r="A35" s="21" t="s">
        <v>149</v>
      </c>
      <c r="B35" s="22" t="s">
        <v>150</v>
      </c>
      <c r="C35" s="22">
        <v>100.0</v>
      </c>
      <c r="D35" s="23">
        <v>0.0</v>
      </c>
      <c r="E35" s="23">
        <v>0.0</v>
      </c>
      <c r="F35" s="23">
        <v>0.0</v>
      </c>
      <c r="G35" s="23">
        <v>0.0</v>
      </c>
      <c r="H35" s="23">
        <v>0.0</v>
      </c>
      <c r="I35" s="23">
        <v>0.0</v>
      </c>
      <c r="J35" s="23">
        <v>0.0</v>
      </c>
      <c r="K35" s="23">
        <v>0.0</v>
      </c>
      <c r="L35" s="23">
        <v>0.0</v>
      </c>
      <c r="M35" s="23">
        <v>0.0</v>
      </c>
      <c r="N35" s="23">
        <v>0.0</v>
      </c>
      <c r="O35" s="23">
        <v>0.0</v>
      </c>
      <c r="P35" s="23">
        <v>0.0</v>
      </c>
      <c r="Q35" s="23">
        <v>0.0</v>
      </c>
      <c r="R35" s="23">
        <v>0.0</v>
      </c>
      <c r="S35" s="23">
        <v>0.0</v>
      </c>
      <c r="T35" s="23">
        <v>0.0</v>
      </c>
      <c r="U35" s="23">
        <v>0.0</v>
      </c>
      <c r="V35" s="23">
        <v>0.0</v>
      </c>
      <c r="W35" s="23">
        <v>0.0</v>
      </c>
      <c r="X35" s="23">
        <v>0.0</v>
      </c>
      <c r="Y35" s="23">
        <v>0.0</v>
      </c>
      <c r="Z35" s="23">
        <v>0.0</v>
      </c>
      <c r="AA35" s="23">
        <v>0.0</v>
      </c>
      <c r="AB35" s="23">
        <v>0.0</v>
      </c>
      <c r="AC35" s="23">
        <v>0.0</v>
      </c>
      <c r="AD35" s="23">
        <v>0.0</v>
      </c>
      <c r="AE35" s="23">
        <v>0.0</v>
      </c>
      <c r="AF35" s="23">
        <v>0.0</v>
      </c>
      <c r="AG35" s="23">
        <v>0.0</v>
      </c>
      <c r="AH35" s="23">
        <v>0.0</v>
      </c>
      <c r="AI35" s="23">
        <v>0.0</v>
      </c>
      <c r="AJ35" s="23">
        <v>0.0</v>
      </c>
      <c r="AK35" s="23">
        <v>0.0</v>
      </c>
      <c r="AL35" s="23">
        <v>0.0</v>
      </c>
      <c r="AM35" s="23">
        <v>0.0</v>
      </c>
      <c r="AN35" s="23">
        <v>0.0</v>
      </c>
      <c r="AO35" s="23">
        <v>0.0</v>
      </c>
      <c r="AP35" s="23">
        <v>0.0</v>
      </c>
      <c r="AQ35" s="23">
        <v>0.0</v>
      </c>
      <c r="AR35" s="23">
        <v>0.0</v>
      </c>
      <c r="AS35" s="23">
        <v>0.0</v>
      </c>
      <c r="AT35" s="23">
        <v>0.0</v>
      </c>
      <c r="AU35" s="23">
        <v>0.0</v>
      </c>
      <c r="AV35" s="23">
        <v>0.0</v>
      </c>
      <c r="AW35" s="23">
        <v>0.0</v>
      </c>
      <c r="AX35" s="23">
        <v>0.0</v>
      </c>
      <c r="AY35" s="23">
        <v>0.0</v>
      </c>
      <c r="AZ35" s="23">
        <v>0.0</v>
      </c>
      <c r="BA35" s="23">
        <v>0.0</v>
      </c>
      <c r="BB35" s="23">
        <v>0.0</v>
      </c>
      <c r="BC35" s="23">
        <v>0.0</v>
      </c>
      <c r="BD35" s="23">
        <v>0.0</v>
      </c>
      <c r="BE35" s="23">
        <v>0.0</v>
      </c>
      <c r="BF35" s="23">
        <v>0.0</v>
      </c>
      <c r="BG35" s="23">
        <v>0.0</v>
      </c>
      <c r="BH35" s="23">
        <v>0.0</v>
      </c>
      <c r="BI35" s="23">
        <v>0.0</v>
      </c>
      <c r="BJ35" s="23">
        <v>0.0</v>
      </c>
      <c r="BK35" s="23">
        <v>0.0</v>
      </c>
      <c r="BL35" s="23">
        <v>0.0</v>
      </c>
      <c r="BM35" s="23">
        <v>0.0</v>
      </c>
      <c r="BN35" s="23">
        <v>0.0</v>
      </c>
      <c r="BO35" s="23">
        <v>0.0</v>
      </c>
      <c r="BP35" s="23">
        <v>0.0</v>
      </c>
      <c r="BQ35" s="23">
        <v>0.0</v>
      </c>
      <c r="BR35" s="23">
        <v>0.0</v>
      </c>
      <c r="BS35" s="23">
        <v>0.0</v>
      </c>
      <c r="BT35" s="23">
        <v>0.0</v>
      </c>
      <c r="BU35" s="23">
        <v>0.0</v>
      </c>
      <c r="BV35" s="23">
        <v>0.0</v>
      </c>
      <c r="BW35" s="23">
        <v>0.0</v>
      </c>
      <c r="BX35" s="23">
        <v>0.0</v>
      </c>
      <c r="BY35" s="23">
        <v>0.0</v>
      </c>
      <c r="BZ35" s="23">
        <v>0.0</v>
      </c>
      <c r="CA35" s="23">
        <v>0.0</v>
      </c>
      <c r="CB35" s="23">
        <v>0.0</v>
      </c>
      <c r="CC35" s="23">
        <v>0.0</v>
      </c>
      <c r="CD35" s="23">
        <v>0.0</v>
      </c>
      <c r="CE35" s="23">
        <v>0.0</v>
      </c>
      <c r="CF35" s="23">
        <v>0.0</v>
      </c>
      <c r="CG35" s="23">
        <v>0.0</v>
      </c>
      <c r="CH35" s="23">
        <v>0.0</v>
      </c>
      <c r="CI35" s="23">
        <v>0.0</v>
      </c>
      <c r="CJ35" s="23">
        <v>0.0</v>
      </c>
      <c r="CK35" s="23">
        <v>0.0</v>
      </c>
      <c r="CL35" s="23">
        <v>0.0</v>
      </c>
      <c r="CM35" s="23">
        <v>0.0</v>
      </c>
      <c r="CN35" s="23">
        <v>0.0</v>
      </c>
      <c r="CO35" s="23">
        <v>0.0</v>
      </c>
      <c r="CP35" s="23">
        <v>0.0</v>
      </c>
      <c r="CQ35" s="23">
        <v>0.0</v>
      </c>
      <c r="CR35" s="23">
        <v>0.0</v>
      </c>
      <c r="CS35" s="23">
        <v>0.0</v>
      </c>
      <c r="CT35" s="23">
        <v>0.0</v>
      </c>
      <c r="CU35" s="23">
        <v>0.0</v>
      </c>
      <c r="CV35" s="23">
        <v>0.0</v>
      </c>
      <c r="CW35" s="23">
        <v>0.0</v>
      </c>
      <c r="CX35" s="23">
        <v>0.0</v>
      </c>
      <c r="CY35" s="23">
        <v>0.0</v>
      </c>
      <c r="CZ35" s="23">
        <v>0.0</v>
      </c>
      <c r="DA35" s="23">
        <v>0.0</v>
      </c>
      <c r="DB35" s="23">
        <v>0.0</v>
      </c>
      <c r="DC35" s="23">
        <v>0.0</v>
      </c>
      <c r="DD35" s="23">
        <v>0.0</v>
      </c>
      <c r="DE35" s="23">
        <v>0.0</v>
      </c>
      <c r="DF35" s="23">
        <v>0.0</v>
      </c>
      <c r="DG35" s="23">
        <v>0.0</v>
      </c>
      <c r="DH35" s="23">
        <v>0.0</v>
      </c>
      <c r="DI35" s="23">
        <v>0.0</v>
      </c>
      <c r="DJ35" s="23">
        <v>0.0</v>
      </c>
      <c r="DK35" s="23">
        <v>0.0</v>
      </c>
      <c r="DL35" s="23">
        <v>0.0</v>
      </c>
      <c r="DM35" s="23">
        <v>0.0</v>
      </c>
      <c r="DN35" s="23">
        <v>0.0</v>
      </c>
    </row>
    <row r="36" ht="14.25" customHeight="1">
      <c r="A36" s="28" t="s">
        <v>151</v>
      </c>
      <c r="B36" s="29"/>
      <c r="C36" s="29"/>
      <c r="D36" s="28">
        <v>0.0</v>
      </c>
      <c r="E36" s="28">
        <v>0.0</v>
      </c>
      <c r="F36" s="28">
        <v>0.0</v>
      </c>
      <c r="G36" s="28">
        <v>0.0</v>
      </c>
      <c r="H36" s="28">
        <v>0.0</v>
      </c>
      <c r="I36" s="28">
        <v>0.0</v>
      </c>
      <c r="J36" s="28">
        <v>0.0</v>
      </c>
      <c r="K36" s="28">
        <v>0.0</v>
      </c>
      <c r="L36" s="28">
        <v>0.0</v>
      </c>
      <c r="M36" s="28">
        <v>0.0</v>
      </c>
      <c r="N36" s="28">
        <v>0.0</v>
      </c>
      <c r="O36" s="28">
        <v>0.0</v>
      </c>
      <c r="P36" s="28">
        <v>0.0</v>
      </c>
      <c r="Q36" s="28">
        <v>0.0</v>
      </c>
      <c r="R36" s="28">
        <v>0.0</v>
      </c>
      <c r="S36" s="28">
        <v>0.0</v>
      </c>
      <c r="T36" s="28">
        <v>0.0</v>
      </c>
      <c r="U36" s="28">
        <v>0.0</v>
      </c>
      <c r="V36" s="28">
        <v>0.0</v>
      </c>
      <c r="W36" s="28">
        <v>0.0</v>
      </c>
      <c r="X36" s="28">
        <v>0.0</v>
      </c>
      <c r="Y36" s="28">
        <v>0.0</v>
      </c>
      <c r="Z36" s="28">
        <v>0.0</v>
      </c>
      <c r="AA36" s="28">
        <v>0.0</v>
      </c>
      <c r="AB36" s="23">
        <v>0.0</v>
      </c>
      <c r="AC36" s="23">
        <v>0.0</v>
      </c>
      <c r="AD36" s="28">
        <v>0.0</v>
      </c>
      <c r="AE36" s="28">
        <v>0.0</v>
      </c>
      <c r="AF36" s="28">
        <v>0.0</v>
      </c>
      <c r="AG36" s="28">
        <v>0.0</v>
      </c>
      <c r="AH36" s="28">
        <v>0.0</v>
      </c>
      <c r="AI36" s="28">
        <v>0.0</v>
      </c>
      <c r="AJ36" s="28">
        <v>0.0</v>
      </c>
      <c r="AK36" s="28">
        <v>0.0</v>
      </c>
      <c r="AL36" s="28">
        <v>0.0</v>
      </c>
      <c r="AM36" s="28">
        <v>0.0</v>
      </c>
      <c r="AN36" s="28">
        <v>0.0</v>
      </c>
      <c r="AO36" s="28">
        <v>0.0</v>
      </c>
      <c r="AP36" s="28">
        <v>0.0</v>
      </c>
      <c r="AQ36" s="28">
        <v>0.0</v>
      </c>
      <c r="AR36" s="28">
        <v>0.0</v>
      </c>
      <c r="AS36" s="28">
        <v>0.0</v>
      </c>
      <c r="AT36" s="28">
        <v>0.0</v>
      </c>
      <c r="AU36" s="28">
        <v>0.0</v>
      </c>
      <c r="AV36" s="28">
        <v>0.0</v>
      </c>
      <c r="AW36" s="28">
        <v>0.0</v>
      </c>
      <c r="AX36" s="28">
        <v>0.0</v>
      </c>
      <c r="AY36" s="28">
        <v>0.0</v>
      </c>
      <c r="AZ36" s="28">
        <v>0.0</v>
      </c>
      <c r="BA36" s="28">
        <v>0.0</v>
      </c>
      <c r="BB36" s="28">
        <v>0.0</v>
      </c>
      <c r="BC36" s="28">
        <v>0.0</v>
      </c>
      <c r="BD36" s="28">
        <v>0.0</v>
      </c>
      <c r="BE36" s="28">
        <v>0.0</v>
      </c>
      <c r="BF36" s="28">
        <v>0.0</v>
      </c>
      <c r="BG36" s="28">
        <v>0.0</v>
      </c>
      <c r="BH36" s="28">
        <v>0.0</v>
      </c>
      <c r="BI36" s="28">
        <v>0.0</v>
      </c>
      <c r="BJ36" s="28">
        <v>0.0</v>
      </c>
      <c r="BK36" s="28">
        <v>0.0</v>
      </c>
      <c r="BL36" s="28">
        <v>0.0</v>
      </c>
      <c r="BM36" s="28">
        <v>0.0</v>
      </c>
      <c r="BN36" s="28">
        <v>0.0</v>
      </c>
      <c r="BO36" s="28">
        <v>0.0</v>
      </c>
      <c r="BP36" s="28">
        <v>0.0</v>
      </c>
      <c r="BQ36" s="28">
        <v>0.0</v>
      </c>
      <c r="BR36" s="28">
        <v>0.0</v>
      </c>
      <c r="BS36" s="28">
        <v>0.0</v>
      </c>
      <c r="BT36" s="28">
        <v>0.0</v>
      </c>
      <c r="BU36" s="28">
        <v>0.0</v>
      </c>
      <c r="BV36" s="28">
        <v>0.0</v>
      </c>
      <c r="BW36" s="28">
        <v>0.0</v>
      </c>
      <c r="BX36" s="28">
        <v>0.0</v>
      </c>
      <c r="BY36" s="28">
        <v>0.0</v>
      </c>
      <c r="BZ36" s="28">
        <v>0.0</v>
      </c>
      <c r="CA36" s="28">
        <v>0.0</v>
      </c>
      <c r="CB36" s="28">
        <v>0.0</v>
      </c>
      <c r="CC36" s="28">
        <v>0.0</v>
      </c>
      <c r="CD36" s="28">
        <v>0.0</v>
      </c>
      <c r="CE36" s="28">
        <v>0.0</v>
      </c>
      <c r="CF36" s="28">
        <v>0.0</v>
      </c>
      <c r="CG36" s="28">
        <v>0.0</v>
      </c>
      <c r="CH36" s="28">
        <v>0.0</v>
      </c>
      <c r="CI36" s="28">
        <v>0.0</v>
      </c>
      <c r="CJ36" s="28">
        <v>0.0</v>
      </c>
      <c r="CK36" s="28">
        <v>0.0</v>
      </c>
      <c r="CL36" s="28">
        <v>0.0</v>
      </c>
      <c r="CM36" s="28">
        <v>0.0</v>
      </c>
      <c r="CN36" s="28">
        <v>0.0</v>
      </c>
      <c r="CO36" s="28">
        <v>0.0</v>
      </c>
      <c r="CP36" s="28">
        <v>0.0</v>
      </c>
      <c r="CQ36" s="28">
        <v>0.0</v>
      </c>
      <c r="CR36" s="28">
        <v>0.0</v>
      </c>
      <c r="CS36" s="28">
        <v>0.0</v>
      </c>
      <c r="CT36" s="28">
        <v>0.0</v>
      </c>
      <c r="CU36" s="28">
        <v>0.0</v>
      </c>
      <c r="CV36" s="28">
        <v>0.0</v>
      </c>
      <c r="CW36" s="28">
        <v>0.0</v>
      </c>
      <c r="CX36" s="28">
        <v>0.0</v>
      </c>
      <c r="CY36" s="28">
        <v>0.0</v>
      </c>
      <c r="CZ36" s="28">
        <v>0.0</v>
      </c>
      <c r="DA36" s="28">
        <v>0.0</v>
      </c>
      <c r="DB36" s="28">
        <v>0.0</v>
      </c>
      <c r="DC36" s="28">
        <v>0.0</v>
      </c>
      <c r="DD36" s="28">
        <v>0.0</v>
      </c>
      <c r="DE36" s="28">
        <v>0.0</v>
      </c>
      <c r="DF36" s="28">
        <v>0.0</v>
      </c>
      <c r="DG36" s="28">
        <v>0.0</v>
      </c>
      <c r="DH36" s="28">
        <v>0.0</v>
      </c>
      <c r="DI36" s="28">
        <v>0.0</v>
      </c>
      <c r="DJ36" s="28">
        <v>0.0</v>
      </c>
      <c r="DK36" s="28">
        <v>0.0</v>
      </c>
      <c r="DL36" s="28">
        <v>0.0</v>
      </c>
      <c r="DM36" s="28">
        <v>0.0</v>
      </c>
      <c r="DN36" s="28">
        <v>0.0</v>
      </c>
    </row>
    <row r="37" ht="14.25" customHeight="1">
      <c r="A37" s="21" t="s">
        <v>152</v>
      </c>
      <c r="B37" s="22">
        <v>120.0</v>
      </c>
      <c r="C37" s="22" t="s">
        <v>100</v>
      </c>
      <c r="D37" s="23">
        <v>7.9</v>
      </c>
      <c r="G37" s="23">
        <v>10.1</v>
      </c>
      <c r="I37" s="23">
        <v>2.3</v>
      </c>
      <c r="J37" s="24">
        <v>43.0</v>
      </c>
      <c r="K37" s="23">
        <v>16.4</v>
      </c>
      <c r="L37" s="23">
        <v>7.2</v>
      </c>
      <c r="M37" s="24">
        <v>47.0</v>
      </c>
      <c r="N37" s="24">
        <v>39.0</v>
      </c>
      <c r="O37" s="23">
        <v>4.9</v>
      </c>
      <c r="Q37" s="23">
        <v>7.4</v>
      </c>
      <c r="R37" s="23">
        <v>16.4</v>
      </c>
      <c r="S37" s="23">
        <v>3.8</v>
      </c>
      <c r="T37" s="23">
        <v>5.1</v>
      </c>
      <c r="U37" s="23">
        <v>1.9</v>
      </c>
      <c r="V37" s="23">
        <v>0.3</v>
      </c>
      <c r="W37" s="23">
        <v>2.0</v>
      </c>
      <c r="X37" s="23">
        <v>2.1</v>
      </c>
      <c r="Y37" s="23">
        <v>2.1</v>
      </c>
      <c r="Z37" s="24">
        <v>76.0</v>
      </c>
      <c r="AA37" s="25">
        <v>108.7</v>
      </c>
      <c r="AB37" s="23">
        <v>13.0</v>
      </c>
      <c r="AC37" s="23">
        <v>13.0</v>
      </c>
      <c r="AD37" s="24">
        <v>38.2</v>
      </c>
      <c r="AE37" s="24">
        <v>47.6</v>
      </c>
      <c r="AF37" s="24">
        <v>42.9</v>
      </c>
      <c r="AH37" s="24">
        <v>68.8</v>
      </c>
      <c r="AJ37" s="23">
        <v>15.5</v>
      </c>
      <c r="AK37" s="23">
        <v>13.8</v>
      </c>
      <c r="AL37" s="23">
        <v>11.9</v>
      </c>
      <c r="AM37" s="25">
        <v>101.6</v>
      </c>
      <c r="AN37" s="25">
        <v>141.1</v>
      </c>
      <c r="AO37" s="23">
        <v>0.1</v>
      </c>
      <c r="AP37" s="23">
        <v>0.1</v>
      </c>
      <c r="AQ37" s="25">
        <v>177.0</v>
      </c>
      <c r="AR37" s="25">
        <v>140.3</v>
      </c>
      <c r="AS37" s="23">
        <v>13.2</v>
      </c>
      <c r="AT37" s="23">
        <v>13.7</v>
      </c>
      <c r="AU37" s="23">
        <v>15.5</v>
      </c>
      <c r="AV37" s="23">
        <v>0.2</v>
      </c>
      <c r="AW37" s="23">
        <v>0.2</v>
      </c>
      <c r="AX37" s="23">
        <v>0.3</v>
      </c>
      <c r="AY37" s="23">
        <v>3.0</v>
      </c>
      <c r="AZ37" s="23">
        <v>3.5</v>
      </c>
      <c r="BA37" s="23">
        <v>1.1</v>
      </c>
      <c r="BB37" s="23">
        <v>4.4</v>
      </c>
      <c r="BC37" s="23">
        <v>4.3</v>
      </c>
      <c r="BD37" s="23">
        <v>4.2</v>
      </c>
      <c r="BE37" s="23">
        <v>1.1</v>
      </c>
      <c r="BF37" s="23">
        <v>0.8</v>
      </c>
      <c r="BG37" s="23">
        <v>3.5</v>
      </c>
      <c r="BH37" s="23">
        <v>2.9</v>
      </c>
      <c r="BI37" s="23">
        <v>3.7</v>
      </c>
      <c r="BJ37" s="23">
        <v>1.3</v>
      </c>
      <c r="BL37" s="23">
        <v>0.3</v>
      </c>
      <c r="BM37" s="23">
        <v>0.3</v>
      </c>
      <c r="BN37" s="24">
        <v>41.6</v>
      </c>
      <c r="BO37" s="24">
        <v>50.6</v>
      </c>
      <c r="BP37" s="24">
        <v>80.0</v>
      </c>
      <c r="BQ37" s="26">
        <v>482.9</v>
      </c>
      <c r="BR37" s="26">
        <v>493.6</v>
      </c>
      <c r="BT37" s="25">
        <v>126.3</v>
      </c>
      <c r="BU37" s="25">
        <v>140.3</v>
      </c>
      <c r="BX37" s="23">
        <v>29.3</v>
      </c>
      <c r="BY37" s="24">
        <v>37.8</v>
      </c>
      <c r="BZ37" s="23">
        <v>0.4</v>
      </c>
      <c r="CA37" s="23">
        <v>0.5</v>
      </c>
      <c r="CB37" s="23">
        <v>0.4</v>
      </c>
      <c r="CC37" s="23">
        <v>0.2</v>
      </c>
      <c r="CD37" s="25">
        <v>156.3</v>
      </c>
      <c r="CE37" s="25">
        <v>193.4</v>
      </c>
      <c r="CF37" s="23">
        <v>0.8</v>
      </c>
      <c r="CG37" s="23">
        <v>47.0</v>
      </c>
      <c r="CH37" s="23">
        <v>25.4</v>
      </c>
      <c r="CI37" s="23">
        <v>1.7</v>
      </c>
      <c r="CJ37" s="23">
        <v>22.5</v>
      </c>
      <c r="CK37" s="23">
        <v>1.0</v>
      </c>
      <c r="CL37" s="23">
        <v>0.1</v>
      </c>
      <c r="CM37" s="23">
        <v>14.8</v>
      </c>
      <c r="CN37" s="23">
        <v>14.8</v>
      </c>
      <c r="CP37" s="23">
        <v>0.1</v>
      </c>
      <c r="CQ37" s="23">
        <v>0.1</v>
      </c>
      <c r="CS37" s="26">
        <v>251.0</v>
      </c>
      <c r="CT37" s="26">
        <v>367.6</v>
      </c>
      <c r="CV37" s="26">
        <v>287.0</v>
      </c>
      <c r="CW37" s="23">
        <v>1.8</v>
      </c>
      <c r="CX37" s="23">
        <v>2.1</v>
      </c>
      <c r="CY37" s="23">
        <v>2.3</v>
      </c>
      <c r="CZ37" s="23">
        <v>0.3</v>
      </c>
      <c r="DA37" s="23">
        <v>0.3</v>
      </c>
      <c r="DB37" s="26">
        <v>830.0</v>
      </c>
      <c r="DC37" s="26">
        <v>327.3</v>
      </c>
      <c r="DD37" s="23">
        <v>2.3</v>
      </c>
      <c r="DE37" s="23">
        <v>24.4</v>
      </c>
      <c r="DG37" s="23">
        <v>25.5</v>
      </c>
      <c r="DH37" s="24">
        <v>66.0</v>
      </c>
      <c r="DI37" s="23">
        <v>4.0</v>
      </c>
      <c r="DJ37" s="23">
        <v>5.3</v>
      </c>
      <c r="DK37" s="23">
        <v>5.0</v>
      </c>
      <c r="DL37" s="23">
        <v>10.1</v>
      </c>
      <c r="DM37" s="26">
        <v>231.0</v>
      </c>
    </row>
    <row r="38" ht="14.25" customHeight="1">
      <c r="A38" s="21" t="s">
        <v>153</v>
      </c>
      <c r="B38" s="22" t="s">
        <v>154</v>
      </c>
      <c r="C38" s="22" t="s">
        <v>100</v>
      </c>
      <c r="D38" s="23">
        <v>0.089</v>
      </c>
      <c r="E38" s="23">
        <v>0.186</v>
      </c>
      <c r="F38" s="23">
        <v>0.11</v>
      </c>
      <c r="G38" s="24">
        <v>0.5</v>
      </c>
      <c r="H38" s="23">
        <v>0.256</v>
      </c>
      <c r="I38" s="23">
        <v>0.25</v>
      </c>
      <c r="J38" s="25">
        <v>2.087</v>
      </c>
      <c r="K38" s="23">
        <v>0.259</v>
      </c>
      <c r="L38" s="23">
        <v>0.24</v>
      </c>
      <c r="M38" s="23">
        <v>0.038</v>
      </c>
      <c r="N38" s="23">
        <v>0.05</v>
      </c>
      <c r="O38" s="23">
        <v>0.317</v>
      </c>
      <c r="P38" s="23">
        <v>0.168</v>
      </c>
      <c r="Q38" s="23">
        <v>0.099</v>
      </c>
      <c r="R38" s="23">
        <v>0.244</v>
      </c>
      <c r="S38" s="23">
        <v>0.03</v>
      </c>
      <c r="T38" s="23">
        <v>0.079</v>
      </c>
      <c r="U38" s="23">
        <v>0.296</v>
      </c>
      <c r="V38" s="24">
        <v>0.555</v>
      </c>
      <c r="W38" s="23">
        <v>0.376</v>
      </c>
      <c r="X38" s="24">
        <v>0.509</v>
      </c>
      <c r="Y38" s="24">
        <v>0.52</v>
      </c>
      <c r="Z38" s="23">
        <v>0.212</v>
      </c>
      <c r="AA38" s="23">
        <v>0.174</v>
      </c>
      <c r="AB38" s="23">
        <v>0.093</v>
      </c>
      <c r="AC38" s="23">
        <v>0.093</v>
      </c>
      <c r="AD38" s="23">
        <v>0.147</v>
      </c>
      <c r="AE38" s="23">
        <v>0.154</v>
      </c>
      <c r="AF38" s="23">
        <v>0.105</v>
      </c>
      <c r="AG38" s="23">
        <v>0.08</v>
      </c>
      <c r="AH38" s="23">
        <v>0.187</v>
      </c>
      <c r="AI38" s="23">
        <v>0.159</v>
      </c>
      <c r="AJ38" s="24">
        <v>0.667</v>
      </c>
      <c r="AK38" s="24">
        <v>0.508</v>
      </c>
      <c r="AL38" s="23">
        <v>0.098</v>
      </c>
      <c r="AM38" s="24">
        <v>0.573</v>
      </c>
      <c r="AN38" s="24">
        <v>0.616</v>
      </c>
      <c r="AO38" s="23">
        <v>0.165</v>
      </c>
      <c r="AP38" s="23">
        <v>0.16</v>
      </c>
      <c r="AQ38" s="23">
        <v>0.309</v>
      </c>
      <c r="AR38" s="23">
        <v>0.252</v>
      </c>
      <c r="AS38" s="23">
        <v>0.273</v>
      </c>
      <c r="AT38" s="23">
        <v>0.232</v>
      </c>
      <c r="AU38" s="23">
        <v>0.228</v>
      </c>
      <c r="AV38" s="23">
        <v>0.155</v>
      </c>
      <c r="AW38" s="23">
        <v>0.145</v>
      </c>
      <c r="AX38" s="23">
        <v>0.137</v>
      </c>
      <c r="AY38" s="23">
        <v>0.155</v>
      </c>
      <c r="AZ38" s="23">
        <v>0.137</v>
      </c>
      <c r="BA38" s="23">
        <v>0.188</v>
      </c>
      <c r="BB38" s="23">
        <v>0.234</v>
      </c>
      <c r="BC38" s="23">
        <v>0.204</v>
      </c>
      <c r="BD38" s="23">
        <v>0.288</v>
      </c>
      <c r="BE38" s="23">
        <v>0.298</v>
      </c>
      <c r="BF38" s="23">
        <v>0.201</v>
      </c>
      <c r="BG38" s="23">
        <v>0.281</v>
      </c>
      <c r="BH38" s="23">
        <v>0.075</v>
      </c>
      <c r="BJ38" s="23">
        <v>0.165</v>
      </c>
      <c r="BK38" s="23">
        <v>0.184</v>
      </c>
      <c r="BL38" s="23">
        <v>0.138</v>
      </c>
      <c r="BM38" s="23">
        <v>0.114</v>
      </c>
      <c r="BN38" s="23">
        <v>0.274</v>
      </c>
      <c r="BO38" s="23">
        <v>0.225</v>
      </c>
      <c r="BP38" s="23">
        <v>0.158</v>
      </c>
      <c r="BQ38" s="23">
        <v>0.065</v>
      </c>
      <c r="BR38" s="23">
        <v>0.145</v>
      </c>
      <c r="BS38" s="23">
        <v>0.038</v>
      </c>
      <c r="BT38" s="23">
        <v>0.134</v>
      </c>
      <c r="BU38" s="23">
        <v>0.144</v>
      </c>
      <c r="BV38" s="23">
        <v>0.041</v>
      </c>
      <c r="BW38" s="23">
        <v>0.036</v>
      </c>
      <c r="BX38" s="23">
        <v>0.246</v>
      </c>
      <c r="BY38" s="23">
        <v>0.195</v>
      </c>
      <c r="BZ38" s="23">
        <v>0.123</v>
      </c>
      <c r="CA38" s="23">
        <v>0.113</v>
      </c>
      <c r="CB38" s="23">
        <v>0.099</v>
      </c>
      <c r="CC38" s="23">
        <v>0.097</v>
      </c>
      <c r="CD38" s="23">
        <v>0.138</v>
      </c>
      <c r="CE38" s="23">
        <v>0.169</v>
      </c>
      <c r="CF38" s="23">
        <v>0.29</v>
      </c>
      <c r="CG38" s="23">
        <v>0.14</v>
      </c>
      <c r="CH38" s="23">
        <v>0.072</v>
      </c>
      <c r="CI38" s="24">
        <v>0.596</v>
      </c>
      <c r="CJ38" s="24">
        <v>0.6</v>
      </c>
      <c r="CK38" s="24">
        <v>0.588</v>
      </c>
      <c r="CL38" s="23">
        <v>0.397</v>
      </c>
      <c r="CM38" s="23">
        <v>0.338</v>
      </c>
      <c r="CN38" s="23">
        <v>0.24</v>
      </c>
      <c r="CO38" s="23">
        <v>0.188</v>
      </c>
      <c r="CP38" s="23">
        <v>0.2</v>
      </c>
      <c r="CQ38" s="23">
        <v>0.142</v>
      </c>
      <c r="CR38" s="23">
        <v>0.106</v>
      </c>
      <c r="CS38" s="23">
        <v>0.38</v>
      </c>
      <c r="CT38" s="23">
        <v>0.274</v>
      </c>
      <c r="CU38" s="23">
        <v>0.14</v>
      </c>
      <c r="CV38" s="23">
        <v>0.214</v>
      </c>
      <c r="CW38" s="24">
        <v>0.8</v>
      </c>
      <c r="CX38" s="24">
        <v>0.581</v>
      </c>
      <c r="CY38" s="24">
        <v>0.884</v>
      </c>
      <c r="CZ38" s="23">
        <v>0.16</v>
      </c>
      <c r="DA38" s="23">
        <v>0.155</v>
      </c>
      <c r="DB38" s="23">
        <v>0.172</v>
      </c>
      <c r="DC38" s="23">
        <v>0.163</v>
      </c>
      <c r="DD38" s="23">
        <v>0.302</v>
      </c>
      <c r="DE38" s="25">
        <v>3.018</v>
      </c>
      <c r="DF38" s="23">
        <v>0.325</v>
      </c>
      <c r="DG38" s="25">
        <v>3.48</v>
      </c>
      <c r="DH38" s="24">
        <v>0.642</v>
      </c>
      <c r="DI38" s="24">
        <v>0.521</v>
      </c>
      <c r="DJ38" s="24">
        <v>0.697</v>
      </c>
      <c r="DK38" s="23">
        <v>0.176</v>
      </c>
      <c r="DL38" s="23">
        <v>0.15</v>
      </c>
      <c r="DM38" s="24">
        <v>0.9</v>
      </c>
      <c r="DN38" s="23">
        <v>0.232</v>
      </c>
    </row>
    <row r="39" ht="14.25" customHeight="1">
      <c r="A39" s="21" t="s">
        <v>155</v>
      </c>
      <c r="B39" s="22" t="s">
        <v>156</v>
      </c>
      <c r="C39" s="22">
        <v>3500.0</v>
      </c>
      <c r="D39" s="23">
        <v>6.7</v>
      </c>
      <c r="G39" s="23">
        <v>8.6</v>
      </c>
      <c r="I39" s="23">
        <v>6.8</v>
      </c>
      <c r="J39" s="25">
        <v>104.6</v>
      </c>
      <c r="K39" s="23">
        <v>6.0</v>
      </c>
      <c r="L39" s="23">
        <v>5.7</v>
      </c>
      <c r="M39" s="23">
        <v>3.6</v>
      </c>
      <c r="N39" s="23">
        <v>3.4</v>
      </c>
      <c r="O39" s="23">
        <v>5.6</v>
      </c>
      <c r="Q39" s="23">
        <v>5.5</v>
      </c>
      <c r="R39" s="23">
        <v>6.1</v>
      </c>
      <c r="S39" s="23">
        <v>4.3</v>
      </c>
      <c r="T39" s="23">
        <v>5.8</v>
      </c>
      <c r="U39" s="23">
        <v>12.1</v>
      </c>
      <c r="V39" s="23">
        <v>14.5</v>
      </c>
      <c r="X39" s="23">
        <v>13.2</v>
      </c>
      <c r="Y39" s="23">
        <v>13.5</v>
      </c>
      <c r="Z39" s="23">
        <v>10.7</v>
      </c>
      <c r="AA39" s="23">
        <v>20.3</v>
      </c>
      <c r="AB39" s="23">
        <v>10.4</v>
      </c>
      <c r="AC39" s="23">
        <v>10.4</v>
      </c>
      <c r="AD39" s="23">
        <v>17.1</v>
      </c>
      <c r="AE39" s="23">
        <v>21.4</v>
      </c>
      <c r="AF39" s="23">
        <v>7.6</v>
      </c>
      <c r="AH39" s="23">
        <v>12.3</v>
      </c>
      <c r="AJ39" s="24">
        <v>44.3</v>
      </c>
      <c r="AK39" s="24">
        <v>39.1</v>
      </c>
      <c r="AL39" s="23">
        <v>33.5</v>
      </c>
      <c r="AM39" s="23">
        <v>18.7</v>
      </c>
      <c r="AN39" s="24">
        <v>40.1</v>
      </c>
      <c r="AO39" s="23">
        <v>12.3</v>
      </c>
      <c r="AP39" s="23">
        <v>13.2</v>
      </c>
      <c r="AQ39" s="23">
        <v>19.1</v>
      </c>
      <c r="AR39" s="24">
        <v>40.6</v>
      </c>
      <c r="AS39" s="23">
        <v>8.8</v>
      </c>
      <c r="AT39" s="23">
        <v>8.8</v>
      </c>
      <c r="AU39" s="23">
        <v>9.9</v>
      </c>
      <c r="AV39" s="23">
        <v>6.0</v>
      </c>
      <c r="AW39" s="23">
        <v>6.3</v>
      </c>
      <c r="AX39" s="23">
        <v>15.0</v>
      </c>
      <c r="AY39" s="23">
        <v>6.7</v>
      </c>
      <c r="AZ39" s="23">
        <v>7.9</v>
      </c>
      <c r="BA39" s="23">
        <v>10.0</v>
      </c>
      <c r="BB39" s="23">
        <v>10.6</v>
      </c>
      <c r="BC39" s="23">
        <v>9.5</v>
      </c>
      <c r="BD39" s="23">
        <v>9.4</v>
      </c>
      <c r="BE39" s="23">
        <v>8.2</v>
      </c>
      <c r="BF39" s="23">
        <v>6.2</v>
      </c>
      <c r="BG39" s="23">
        <v>6.9</v>
      </c>
      <c r="BH39" s="23">
        <v>9.4</v>
      </c>
      <c r="BJ39" s="23">
        <v>6.5</v>
      </c>
      <c r="BL39" s="23">
        <v>7.3</v>
      </c>
      <c r="BM39" s="23">
        <v>6.8</v>
      </c>
      <c r="BN39" s="23">
        <v>16.0</v>
      </c>
      <c r="BO39" s="23">
        <v>26.1</v>
      </c>
      <c r="BP39" s="23">
        <v>20.9</v>
      </c>
      <c r="BQ39" s="23">
        <v>19.3</v>
      </c>
      <c r="BR39" s="23">
        <v>19.7</v>
      </c>
      <c r="BT39" s="23">
        <v>13.6</v>
      </c>
      <c r="BU39" s="23">
        <v>11.8</v>
      </c>
      <c r="BX39" s="23">
        <v>6.1</v>
      </c>
      <c r="BY39" s="23">
        <v>7.9</v>
      </c>
      <c r="BZ39" s="23">
        <v>6.1</v>
      </c>
      <c r="CA39" s="23">
        <v>6.8</v>
      </c>
      <c r="CB39" s="23">
        <v>5.5</v>
      </c>
      <c r="CD39" s="23">
        <v>4.3</v>
      </c>
      <c r="CE39" s="23">
        <v>5.3</v>
      </c>
      <c r="CF39" s="23">
        <v>11.3</v>
      </c>
      <c r="CG39" s="23">
        <v>9.5</v>
      </c>
      <c r="CI39" s="23">
        <v>23.2</v>
      </c>
      <c r="CK39" s="23">
        <v>27.0</v>
      </c>
      <c r="CL39" s="23">
        <v>30.0</v>
      </c>
      <c r="CM39" s="24">
        <v>34.4</v>
      </c>
      <c r="CN39" s="24">
        <v>34.4</v>
      </c>
      <c r="CP39" s="23">
        <v>11.1</v>
      </c>
      <c r="CQ39" s="23">
        <v>8.7</v>
      </c>
      <c r="CT39" s="23">
        <v>0.3</v>
      </c>
      <c r="CV39" s="23">
        <v>0.3</v>
      </c>
      <c r="CW39" s="23">
        <v>12.3</v>
      </c>
      <c r="CX39" s="23">
        <v>10.8</v>
      </c>
      <c r="CY39" s="23">
        <v>13.1</v>
      </c>
      <c r="CZ39" s="23">
        <v>14.1</v>
      </c>
      <c r="DA39" s="23">
        <v>15.2</v>
      </c>
      <c r="DB39" s="23">
        <v>18.0</v>
      </c>
      <c r="DC39" s="23">
        <v>28.7</v>
      </c>
      <c r="DD39" s="23">
        <v>6.0</v>
      </c>
      <c r="DE39" s="24">
        <v>63.3</v>
      </c>
      <c r="DG39" s="24">
        <v>66.0</v>
      </c>
      <c r="DH39" s="23">
        <v>12.8</v>
      </c>
      <c r="DI39" s="23">
        <v>10.4</v>
      </c>
      <c r="DJ39" s="23">
        <v>13.9</v>
      </c>
      <c r="DK39" s="23">
        <v>12.9</v>
      </c>
      <c r="DL39" s="23">
        <v>7.6</v>
      </c>
      <c r="DM39" s="23">
        <v>16.8</v>
      </c>
    </row>
    <row r="40" ht="14.25" customHeight="1">
      <c r="A40" s="21" t="s">
        <v>157</v>
      </c>
      <c r="B40" s="22"/>
      <c r="C40" s="22"/>
      <c r="D40" s="23">
        <v>0.1</v>
      </c>
      <c r="K40" s="23">
        <v>0.1</v>
      </c>
      <c r="L40" s="23">
        <v>0.1</v>
      </c>
      <c r="M40" s="23">
        <v>0.0</v>
      </c>
      <c r="N40" s="23">
        <v>0.0</v>
      </c>
      <c r="O40" s="23">
        <v>0.1</v>
      </c>
      <c r="Q40" s="23">
        <v>0.1</v>
      </c>
      <c r="R40" s="23">
        <v>0.1</v>
      </c>
      <c r="U40" s="23">
        <v>0.2</v>
      </c>
      <c r="V40" s="23">
        <v>0.2</v>
      </c>
      <c r="X40" s="23">
        <v>0.2</v>
      </c>
      <c r="Y40" s="23">
        <v>0.2</v>
      </c>
      <c r="Z40" s="23">
        <v>0.4</v>
      </c>
      <c r="AA40" s="23">
        <v>0.3</v>
      </c>
      <c r="AB40" s="23">
        <v>0.5</v>
      </c>
      <c r="AC40" s="23">
        <v>0.5</v>
      </c>
      <c r="AD40" s="23">
        <v>0.1</v>
      </c>
      <c r="AE40" s="23">
        <v>0.1</v>
      </c>
      <c r="AF40" s="23">
        <v>0.3</v>
      </c>
      <c r="AH40" s="23">
        <v>0.5</v>
      </c>
      <c r="AK40" s="23">
        <v>0.1</v>
      </c>
      <c r="AL40" s="23">
        <v>0.1</v>
      </c>
      <c r="AM40" s="23">
        <v>0.1</v>
      </c>
      <c r="AN40" s="23">
        <v>0.1</v>
      </c>
      <c r="AQ40" s="23">
        <v>0.8</v>
      </c>
      <c r="AR40" s="23">
        <v>0.2</v>
      </c>
      <c r="AS40" s="23">
        <v>0.4</v>
      </c>
      <c r="AT40" s="23">
        <v>0.1</v>
      </c>
      <c r="AV40" s="23">
        <v>128.7</v>
      </c>
      <c r="BB40" s="23">
        <v>0.2</v>
      </c>
      <c r="BD40" s="23">
        <v>0.3</v>
      </c>
      <c r="BJ40" s="23">
        <v>0.1</v>
      </c>
      <c r="BL40" s="23">
        <v>0.1</v>
      </c>
      <c r="BM40" s="23">
        <v>0.1</v>
      </c>
      <c r="BN40" s="23">
        <v>0.6</v>
      </c>
      <c r="BO40" s="23">
        <v>0.9</v>
      </c>
      <c r="BP40" s="23">
        <v>0.7</v>
      </c>
      <c r="BQ40" s="23">
        <v>102.6</v>
      </c>
      <c r="BR40" s="23">
        <v>89.0</v>
      </c>
      <c r="BT40" s="23">
        <v>0.2</v>
      </c>
      <c r="BU40" s="23">
        <v>0.2</v>
      </c>
      <c r="BX40" s="23">
        <v>0.1</v>
      </c>
      <c r="BZ40" s="23">
        <v>0.1</v>
      </c>
      <c r="CM40" s="23">
        <v>0.2</v>
      </c>
      <c r="CN40" s="23">
        <v>0.2</v>
      </c>
      <c r="DB40" s="23">
        <v>0.3</v>
      </c>
      <c r="DC40" s="23">
        <v>0.1</v>
      </c>
    </row>
    <row r="41" ht="14.25" customHeight="1">
      <c r="A41" s="19" t="s">
        <v>158</v>
      </c>
      <c r="B41" s="27"/>
      <c r="C41" s="27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46"/>
      <c r="AW41" s="46"/>
      <c r="AX41" s="46"/>
      <c r="AY41" s="46"/>
      <c r="AZ41" s="46"/>
      <c r="BA41" s="46"/>
      <c r="BB41" s="46"/>
      <c r="BC41" s="46"/>
      <c r="BD41" s="46"/>
      <c r="BE41" s="46"/>
      <c r="BF41" s="46"/>
      <c r="BG41" s="46"/>
      <c r="BH41" s="46"/>
      <c r="BI41" s="46"/>
      <c r="BJ41" s="46"/>
      <c r="BK41" s="46"/>
      <c r="BL41" s="46"/>
      <c r="BM41" s="46"/>
      <c r="BN41" s="46"/>
      <c r="BO41" s="46"/>
      <c r="BP41" s="46"/>
      <c r="BQ41" s="46"/>
      <c r="BR41" s="46"/>
      <c r="BS41" s="46"/>
      <c r="BT41" s="46"/>
      <c r="BU41" s="46"/>
      <c r="BV41" s="46"/>
      <c r="BW41" s="46"/>
      <c r="BX41" s="46"/>
      <c r="BY41" s="46"/>
      <c r="BZ41" s="46"/>
      <c r="CA41" s="46"/>
      <c r="CB41" s="46"/>
      <c r="CC41" s="46"/>
      <c r="CD41" s="46"/>
      <c r="CE41" s="46"/>
      <c r="CF41" s="46"/>
      <c r="CG41" s="46"/>
      <c r="CH41" s="46"/>
      <c r="CI41" s="46"/>
      <c r="CJ41" s="46"/>
      <c r="CK41" s="46"/>
      <c r="CL41" s="46"/>
      <c r="CM41" s="46"/>
      <c r="CN41" s="46"/>
      <c r="CO41" s="46"/>
      <c r="CP41" s="46"/>
      <c r="CQ41" s="46"/>
      <c r="CR41" s="46"/>
      <c r="CS41" s="46"/>
      <c r="CT41" s="46"/>
      <c r="CU41" s="46"/>
      <c r="CV41" s="46"/>
      <c r="CW41" s="46"/>
      <c r="CX41" s="46"/>
      <c r="CY41" s="46"/>
      <c r="CZ41" s="46"/>
      <c r="DA41" s="46"/>
      <c r="DB41" s="46"/>
      <c r="DC41" s="46"/>
      <c r="DD41" s="46"/>
      <c r="DE41" s="46"/>
      <c r="DF41" s="46"/>
      <c r="DG41" s="46"/>
      <c r="DH41" s="46"/>
      <c r="DI41" s="46"/>
      <c r="DJ41" s="46"/>
      <c r="DK41" s="46"/>
      <c r="DL41" s="46"/>
      <c r="DM41" s="46"/>
      <c r="DN41" s="46"/>
    </row>
    <row r="42" ht="14.25" customHeight="1">
      <c r="A42" s="21" t="s">
        <v>159</v>
      </c>
      <c r="B42" s="22" t="s">
        <v>160</v>
      </c>
      <c r="C42" s="22" t="s">
        <v>161</v>
      </c>
      <c r="D42" s="23">
        <v>0.028</v>
      </c>
      <c r="E42" s="23">
        <v>0.025</v>
      </c>
      <c r="F42" s="23">
        <v>0.036</v>
      </c>
      <c r="G42" s="23">
        <v>0.028</v>
      </c>
      <c r="H42" s="23">
        <v>0.521</v>
      </c>
      <c r="I42" s="23">
        <v>0.008</v>
      </c>
      <c r="J42" s="23">
        <v>0.426</v>
      </c>
      <c r="K42" s="23">
        <v>0.037</v>
      </c>
      <c r="L42" s="23">
        <v>0.013</v>
      </c>
      <c r="M42" s="23">
        <v>0.052</v>
      </c>
      <c r="N42" s="23">
        <v>0.036</v>
      </c>
      <c r="O42" s="23">
        <v>0.027</v>
      </c>
      <c r="P42" s="23">
        <v>0.031</v>
      </c>
      <c r="Q42" s="23">
        <v>0.058</v>
      </c>
      <c r="R42" s="23">
        <v>1.557</v>
      </c>
      <c r="S42" s="23">
        <v>0.031</v>
      </c>
      <c r="T42" s="23">
        <v>0.029</v>
      </c>
      <c r="U42" s="23">
        <v>0.026</v>
      </c>
      <c r="V42" s="23">
        <v>0.026</v>
      </c>
      <c r="W42" s="23">
        <v>0.035</v>
      </c>
      <c r="X42" s="23">
        <v>0.026</v>
      </c>
      <c r="Y42" s="23">
        <v>0.026</v>
      </c>
      <c r="Z42" s="23">
        <v>0.034</v>
      </c>
      <c r="AA42" s="23">
        <v>0.0</v>
      </c>
      <c r="AB42" s="23">
        <v>0.034</v>
      </c>
      <c r="AC42" s="23">
        <v>0.026</v>
      </c>
      <c r="AD42" s="23">
        <v>0.021</v>
      </c>
      <c r="AE42" s="23">
        <v>0.011</v>
      </c>
      <c r="AF42" s="23">
        <v>0.043</v>
      </c>
      <c r="AG42" s="23">
        <v>0.036</v>
      </c>
      <c r="AH42" s="23">
        <v>0.013</v>
      </c>
      <c r="AI42" s="23">
        <v>0.012</v>
      </c>
      <c r="AJ42" s="23">
        <v>0.064</v>
      </c>
      <c r="AK42" s="23">
        <v>0.07</v>
      </c>
      <c r="AL42" s="23">
        <v>0.034</v>
      </c>
      <c r="AM42" s="23">
        <v>0.039</v>
      </c>
      <c r="AN42" s="23">
        <v>0.079</v>
      </c>
      <c r="AO42" s="23">
        <v>0.013</v>
      </c>
      <c r="AP42" s="23">
        <v>0.014</v>
      </c>
      <c r="AQ42" s="23">
        <v>0.062</v>
      </c>
      <c r="AR42" s="23">
        <v>0.102</v>
      </c>
      <c r="AS42" s="23">
        <v>0.037</v>
      </c>
      <c r="AT42" s="23">
        <v>0.03</v>
      </c>
      <c r="AU42" s="23">
        <v>0.027</v>
      </c>
      <c r="AV42" s="23">
        <v>0.027</v>
      </c>
      <c r="AW42" s="23">
        <v>0.028</v>
      </c>
      <c r="AX42" s="23">
        <v>0.013</v>
      </c>
      <c r="AY42" s="23">
        <v>0.044</v>
      </c>
      <c r="AZ42" s="23">
        <v>0.064</v>
      </c>
      <c r="BA42" s="23">
        <v>0.027</v>
      </c>
      <c r="BB42" s="23">
        <v>0.072</v>
      </c>
      <c r="BC42" s="23">
        <v>0.084</v>
      </c>
      <c r="BD42" s="23">
        <v>0.072</v>
      </c>
      <c r="BE42" s="23">
        <v>0.052</v>
      </c>
      <c r="BF42" s="23">
        <v>0.037</v>
      </c>
      <c r="BG42" s="23">
        <v>0.034</v>
      </c>
      <c r="BH42" s="23">
        <v>0.044</v>
      </c>
      <c r="BI42" s="23">
        <v>0.14</v>
      </c>
      <c r="BJ42" s="23">
        <v>0.032</v>
      </c>
      <c r="BK42" s="23">
        <v>0.03</v>
      </c>
      <c r="BL42" s="23">
        <v>0.03</v>
      </c>
      <c r="BM42" s="23">
        <v>0.073</v>
      </c>
      <c r="BN42" s="23">
        <v>0.04</v>
      </c>
      <c r="BO42" s="23">
        <v>0.048</v>
      </c>
      <c r="BP42" s="23">
        <v>0.096</v>
      </c>
      <c r="BQ42" s="23">
        <v>0.063</v>
      </c>
      <c r="BR42" s="23">
        <v>0.043</v>
      </c>
      <c r="BS42" s="23">
        <v>0.06</v>
      </c>
      <c r="BT42" s="23">
        <v>0.02</v>
      </c>
      <c r="BX42" s="23">
        <v>0.042</v>
      </c>
      <c r="BY42" s="23">
        <v>0.04</v>
      </c>
      <c r="BZ42" s="23">
        <v>0.042</v>
      </c>
      <c r="CA42" s="23">
        <v>0.031</v>
      </c>
      <c r="CB42" s="23">
        <v>0.011</v>
      </c>
      <c r="CC42" s="23">
        <v>0.016</v>
      </c>
      <c r="CD42" s="23">
        <v>0.087</v>
      </c>
      <c r="CE42" s="23">
        <v>0.067</v>
      </c>
      <c r="CF42" s="23">
        <v>0.017</v>
      </c>
      <c r="CG42" s="23">
        <v>0.04</v>
      </c>
      <c r="CH42" s="23">
        <v>0.027</v>
      </c>
      <c r="CI42" s="23">
        <v>0.089</v>
      </c>
      <c r="CJ42" s="23">
        <v>0.05</v>
      </c>
      <c r="CK42" s="23">
        <v>0.05</v>
      </c>
      <c r="CL42" s="23">
        <v>0.0</v>
      </c>
      <c r="CM42" s="23">
        <v>0.036</v>
      </c>
      <c r="CN42" s="23">
        <v>0.081</v>
      </c>
      <c r="CO42" s="23">
        <v>0.099</v>
      </c>
      <c r="CP42" s="23">
        <v>0.011</v>
      </c>
      <c r="CQ42" s="23">
        <v>0.008</v>
      </c>
      <c r="CR42" s="23">
        <v>0.017</v>
      </c>
      <c r="CS42" s="23">
        <v>0.07</v>
      </c>
      <c r="CT42" s="23">
        <v>0.053</v>
      </c>
      <c r="CU42" s="23">
        <v>0.073</v>
      </c>
      <c r="CV42" s="23">
        <v>0.07</v>
      </c>
      <c r="CW42" s="23">
        <v>0.018</v>
      </c>
      <c r="CX42" s="23">
        <v>0.031</v>
      </c>
      <c r="CY42" s="23">
        <v>0.034</v>
      </c>
      <c r="CZ42" s="23">
        <v>0.027</v>
      </c>
      <c r="DA42" s="23">
        <v>0.029</v>
      </c>
      <c r="DB42" s="23">
        <v>0.03</v>
      </c>
      <c r="DC42" s="23">
        <v>0.012</v>
      </c>
      <c r="DD42" s="23">
        <v>0.006</v>
      </c>
      <c r="DE42" s="23">
        <v>0.061</v>
      </c>
      <c r="DF42" s="23">
        <v>0.135</v>
      </c>
      <c r="DG42" s="23">
        <v>2.65</v>
      </c>
      <c r="DH42" s="23">
        <v>0.247</v>
      </c>
      <c r="DI42" s="23">
        <v>0.061</v>
      </c>
      <c r="DJ42" s="23">
        <v>0.13</v>
      </c>
      <c r="DK42" s="23">
        <v>0.033</v>
      </c>
      <c r="DL42" s="23">
        <v>0.139</v>
      </c>
      <c r="DM42" s="23">
        <v>0.048</v>
      </c>
    </row>
    <row r="43" ht="14.25" customHeight="1">
      <c r="A43" s="21" t="s">
        <v>162</v>
      </c>
      <c r="B43" s="22"/>
      <c r="C43" s="22"/>
      <c r="D43" s="23">
        <v>0.031</v>
      </c>
      <c r="E43" s="23">
        <v>0.028</v>
      </c>
      <c r="F43" s="23">
        <v>0.04</v>
      </c>
      <c r="G43" s="23">
        <v>0.03</v>
      </c>
      <c r="H43" s="23">
        <v>1.048</v>
      </c>
      <c r="I43" s="23">
        <v>0.009</v>
      </c>
      <c r="J43" s="23">
        <v>0.487</v>
      </c>
      <c r="K43" s="23">
        <v>0.005</v>
      </c>
      <c r="L43" s="23">
        <v>0.002</v>
      </c>
      <c r="M43" s="23">
        <v>0.003</v>
      </c>
      <c r="N43" s="23">
        <v>0.002</v>
      </c>
      <c r="O43" s="23">
        <v>0.003</v>
      </c>
      <c r="Q43" s="23">
        <v>0.008</v>
      </c>
      <c r="R43" s="23">
        <v>2.287</v>
      </c>
      <c r="S43" s="23">
        <v>0.014</v>
      </c>
      <c r="T43" s="23">
        <v>0.013</v>
      </c>
      <c r="U43" s="23">
        <v>0.002</v>
      </c>
      <c r="V43" s="23">
        <v>0.002</v>
      </c>
      <c r="W43" s="23">
        <v>0.003</v>
      </c>
      <c r="X43" s="23">
        <v>0.002</v>
      </c>
      <c r="Y43" s="23">
        <v>0.002</v>
      </c>
      <c r="Z43" s="23">
        <v>0.017</v>
      </c>
      <c r="AA43" s="23">
        <v>0.019</v>
      </c>
      <c r="AB43" s="23">
        <v>0.013</v>
      </c>
      <c r="AC43" s="23">
        <v>0.01</v>
      </c>
      <c r="AD43" s="23">
        <v>0.012</v>
      </c>
      <c r="AE43" s="23">
        <v>0.007</v>
      </c>
      <c r="AF43" s="23">
        <v>0.023</v>
      </c>
      <c r="AG43" s="23">
        <v>0.02</v>
      </c>
      <c r="AH43" s="23">
        <v>0.007</v>
      </c>
      <c r="AI43" s="23">
        <v>0.007</v>
      </c>
      <c r="AJ43" s="23">
        <v>0.017</v>
      </c>
      <c r="AK43" s="23">
        <v>0.032</v>
      </c>
      <c r="AL43" s="23">
        <v>0.015</v>
      </c>
      <c r="AM43" s="23">
        <v>0.011</v>
      </c>
      <c r="AN43" s="23">
        <v>0.04</v>
      </c>
      <c r="AO43" s="23">
        <v>0.007</v>
      </c>
      <c r="AP43" s="23">
        <v>0.008</v>
      </c>
      <c r="AQ43" s="23">
        <v>0.023</v>
      </c>
      <c r="AR43" s="23">
        <v>0.038</v>
      </c>
      <c r="AS43" s="23">
        <v>0.014</v>
      </c>
      <c r="AT43" s="23">
        <v>0.006</v>
      </c>
      <c r="AU43" s="23">
        <v>0.007</v>
      </c>
      <c r="AV43" s="23">
        <v>0.032</v>
      </c>
      <c r="AW43" s="23">
        <v>0.035</v>
      </c>
      <c r="AX43" s="23">
        <v>0.016</v>
      </c>
      <c r="AY43" s="23">
        <v>0.016</v>
      </c>
      <c r="AZ43" s="23">
        <v>0.023</v>
      </c>
      <c r="BA43" s="23">
        <v>0.01</v>
      </c>
      <c r="BB43" s="23">
        <v>0.026</v>
      </c>
      <c r="BC43" s="23">
        <v>0.011</v>
      </c>
      <c r="BD43" s="23">
        <v>0.029</v>
      </c>
      <c r="BE43" s="23">
        <v>0.013</v>
      </c>
      <c r="BF43" s="23">
        <v>0.009</v>
      </c>
      <c r="BG43" s="23">
        <v>0.016</v>
      </c>
      <c r="BH43" s="23">
        <v>0.02</v>
      </c>
      <c r="BI43" s="23">
        <v>0.063</v>
      </c>
      <c r="BJ43" s="23">
        <v>0.017</v>
      </c>
      <c r="BK43" s="23">
        <v>0.016</v>
      </c>
      <c r="BL43" s="23">
        <v>0.017</v>
      </c>
      <c r="BM43" s="23">
        <v>0.04</v>
      </c>
      <c r="BN43" s="23">
        <v>0.0</v>
      </c>
      <c r="BO43" s="23">
        <v>0.0</v>
      </c>
      <c r="BP43" s="23">
        <v>0.013</v>
      </c>
      <c r="BQ43" s="23">
        <v>0.01</v>
      </c>
      <c r="BR43" s="23">
        <v>0.006</v>
      </c>
      <c r="BS43" s="23">
        <v>0.01</v>
      </c>
      <c r="BT43" s="23">
        <v>0.006</v>
      </c>
      <c r="BX43" s="23">
        <v>0.032</v>
      </c>
      <c r="BY43" s="23">
        <v>0.03</v>
      </c>
      <c r="BZ43" s="23">
        <v>0.013</v>
      </c>
      <c r="CA43" s="23">
        <v>0.027</v>
      </c>
      <c r="CB43" s="23">
        <v>0.009</v>
      </c>
      <c r="CC43" s="23">
        <v>0.013</v>
      </c>
      <c r="CD43" s="23">
        <v>0.022</v>
      </c>
      <c r="CE43" s="23">
        <v>0.056</v>
      </c>
      <c r="CF43" s="23">
        <v>0.014</v>
      </c>
      <c r="CG43" s="23">
        <v>0.004</v>
      </c>
      <c r="CH43" s="23">
        <v>0.003</v>
      </c>
      <c r="CI43" s="23">
        <v>0.011</v>
      </c>
      <c r="CJ43" s="23">
        <v>0.112</v>
      </c>
      <c r="CK43" s="23">
        <v>0.112</v>
      </c>
      <c r="CL43" s="23">
        <v>0.004</v>
      </c>
      <c r="CM43" s="23">
        <v>0.005</v>
      </c>
      <c r="CN43" s="23">
        <v>0.011</v>
      </c>
      <c r="CO43" s="23">
        <v>0.012</v>
      </c>
      <c r="CP43" s="23">
        <v>0.006</v>
      </c>
      <c r="CQ43" s="23">
        <v>0.005</v>
      </c>
      <c r="CR43" s="23">
        <v>0.01</v>
      </c>
      <c r="CS43" s="23">
        <v>0.02</v>
      </c>
      <c r="CT43" s="23">
        <v>0.015</v>
      </c>
      <c r="CU43" s="23">
        <v>0.02</v>
      </c>
      <c r="CV43" s="23">
        <v>0.02</v>
      </c>
      <c r="CW43" s="23">
        <v>0.001</v>
      </c>
      <c r="CX43" s="23">
        <v>0.0</v>
      </c>
      <c r="CY43" s="23">
        <v>0.001</v>
      </c>
      <c r="CZ43" s="23">
        <v>0.025</v>
      </c>
      <c r="DA43" s="23">
        <v>0.027</v>
      </c>
      <c r="DB43" s="23">
        <v>0.04</v>
      </c>
      <c r="DC43" s="23">
        <v>0.016</v>
      </c>
      <c r="DD43" s="23">
        <v>0.003</v>
      </c>
      <c r="DE43" s="23">
        <v>0.027</v>
      </c>
      <c r="DF43" s="23">
        <v>0.034</v>
      </c>
      <c r="DG43" s="23">
        <v>0.675</v>
      </c>
      <c r="DH43" s="23">
        <v>0.098</v>
      </c>
      <c r="DI43" s="23">
        <v>0.025</v>
      </c>
      <c r="DJ43" s="23">
        <v>0.058</v>
      </c>
      <c r="DK43" s="23">
        <v>0.015</v>
      </c>
      <c r="DL43" s="23">
        <v>0.155</v>
      </c>
      <c r="DM43" s="23">
        <v>0.004</v>
      </c>
    </row>
    <row r="44" ht="14.25" customHeight="1">
      <c r="A44" s="21" t="s">
        <v>163</v>
      </c>
      <c r="B44" s="22"/>
      <c r="C44" s="22"/>
      <c r="D44" s="23">
        <v>0.083</v>
      </c>
      <c r="E44" s="23">
        <v>0.076</v>
      </c>
      <c r="F44" s="23">
        <v>0.108</v>
      </c>
      <c r="G44" s="23">
        <v>0.081</v>
      </c>
      <c r="H44" s="23">
        <v>0.878</v>
      </c>
      <c r="I44" s="23">
        <v>0.024</v>
      </c>
      <c r="J44" s="23">
        <v>1.115</v>
      </c>
      <c r="K44" s="23">
        <v>0.032</v>
      </c>
      <c r="L44" s="23">
        <v>0.003</v>
      </c>
      <c r="M44" s="23">
        <v>0.081</v>
      </c>
      <c r="N44" s="23">
        <v>0.056</v>
      </c>
      <c r="O44" s="23">
        <v>0.07</v>
      </c>
      <c r="Q44" s="23">
        <v>0.062</v>
      </c>
      <c r="R44" s="23">
        <v>5.719</v>
      </c>
      <c r="S44" s="23">
        <v>0.113</v>
      </c>
      <c r="T44" s="23">
        <v>0.106</v>
      </c>
      <c r="U44" s="23">
        <v>0.043</v>
      </c>
      <c r="V44" s="23">
        <v>0.043</v>
      </c>
      <c r="W44" s="23">
        <v>0.058</v>
      </c>
      <c r="X44" s="23">
        <v>0.043</v>
      </c>
      <c r="Y44" s="23">
        <v>0.043</v>
      </c>
      <c r="Z44" s="23">
        <v>0.017</v>
      </c>
      <c r="AA44" s="23">
        <v>0.023</v>
      </c>
      <c r="AB44" s="23">
        <v>0.067</v>
      </c>
      <c r="AC44" s="23">
        <v>0.051</v>
      </c>
      <c r="AD44" s="23">
        <v>0.08</v>
      </c>
      <c r="AE44" s="23">
        <v>0.043</v>
      </c>
      <c r="AF44" s="23">
        <v>0.072</v>
      </c>
      <c r="AG44" s="23">
        <v>0.061</v>
      </c>
      <c r="AH44" s="23">
        <v>0.049</v>
      </c>
      <c r="AI44" s="23">
        <v>0.043</v>
      </c>
      <c r="AJ44" s="23">
        <v>0.015</v>
      </c>
      <c r="AK44" s="23">
        <v>0.217</v>
      </c>
      <c r="AL44" s="23">
        <v>0.105</v>
      </c>
      <c r="AM44" s="23">
        <v>0.038</v>
      </c>
      <c r="AN44" s="23">
        <v>0.17</v>
      </c>
      <c r="AO44" s="23">
        <v>0.048</v>
      </c>
      <c r="AP44" s="23">
        <v>0.053</v>
      </c>
      <c r="AQ44" s="23">
        <v>0.153</v>
      </c>
      <c r="AR44" s="23">
        <v>0.255</v>
      </c>
      <c r="AS44" s="23">
        <v>0.117</v>
      </c>
      <c r="AT44" s="23">
        <v>0.089</v>
      </c>
      <c r="AU44" s="23">
        <v>0.071</v>
      </c>
      <c r="AV44" s="23">
        <v>0.06</v>
      </c>
      <c r="AW44" s="23">
        <v>0.064</v>
      </c>
      <c r="AX44" s="23">
        <v>0.029</v>
      </c>
      <c r="AY44" s="23">
        <v>0.089</v>
      </c>
      <c r="AZ44" s="23">
        <v>0.131</v>
      </c>
      <c r="BA44" s="23">
        <v>0.056</v>
      </c>
      <c r="BB44" s="23">
        <v>0.147</v>
      </c>
      <c r="BC44" s="23">
        <v>0.091</v>
      </c>
      <c r="BD44" s="23">
        <v>0.151</v>
      </c>
      <c r="BE44" s="23">
        <v>0.005</v>
      </c>
      <c r="BF44" s="23">
        <v>0.004</v>
      </c>
      <c r="BG44" s="23">
        <v>0.076</v>
      </c>
      <c r="BH44" s="23">
        <v>0.093</v>
      </c>
      <c r="BI44" s="23">
        <v>0.294</v>
      </c>
      <c r="BJ44" s="23">
        <v>0.048</v>
      </c>
      <c r="BK44" s="23">
        <v>0.045</v>
      </c>
      <c r="BL44" s="23">
        <v>0.045</v>
      </c>
      <c r="BM44" s="23">
        <v>0.108</v>
      </c>
      <c r="BN44" s="23">
        <v>0.05</v>
      </c>
      <c r="BO44" s="23">
        <v>0.105</v>
      </c>
      <c r="BP44" s="23">
        <v>0.185</v>
      </c>
      <c r="BQ44" s="23">
        <v>0.165</v>
      </c>
      <c r="BR44" s="23">
        <v>0.109</v>
      </c>
      <c r="BS44" s="23">
        <v>0.155</v>
      </c>
      <c r="BT44" s="23">
        <v>0.082</v>
      </c>
      <c r="BX44" s="23">
        <v>0.079</v>
      </c>
      <c r="BY44" s="23">
        <v>0.075</v>
      </c>
      <c r="BZ44" s="23">
        <v>0.017</v>
      </c>
      <c r="CA44" s="23">
        <v>0.073</v>
      </c>
      <c r="CB44" s="23">
        <v>0.025</v>
      </c>
      <c r="CC44" s="23">
        <v>0.036</v>
      </c>
      <c r="CD44" s="23">
        <v>0.064</v>
      </c>
      <c r="CE44" s="23">
        <v>0.156</v>
      </c>
      <c r="CF44" s="23">
        <v>0.039</v>
      </c>
      <c r="CG44" s="23">
        <v>0.166</v>
      </c>
      <c r="CH44" s="23">
        <v>0.111</v>
      </c>
      <c r="CI44" s="23">
        <v>0.249</v>
      </c>
      <c r="CJ44" s="23">
        <v>0.047</v>
      </c>
      <c r="CK44" s="23">
        <v>0.047</v>
      </c>
      <c r="CL44" s="23">
        <v>0.001</v>
      </c>
      <c r="CM44" s="23">
        <v>0.064</v>
      </c>
      <c r="CN44" s="23">
        <v>0.143</v>
      </c>
      <c r="CO44" s="23">
        <v>0.179</v>
      </c>
      <c r="CP44" s="23">
        <v>0.053</v>
      </c>
      <c r="CQ44" s="23">
        <v>0.042</v>
      </c>
      <c r="CR44" s="23">
        <v>0.085</v>
      </c>
      <c r="CS44" s="23">
        <v>0.12</v>
      </c>
      <c r="CT44" s="23">
        <v>0.091</v>
      </c>
      <c r="CU44" s="23">
        <v>0.125</v>
      </c>
      <c r="CV44" s="23">
        <v>0.12</v>
      </c>
      <c r="CW44" s="23">
        <v>0.014</v>
      </c>
      <c r="CX44" s="23">
        <v>0.061</v>
      </c>
      <c r="CY44" s="23">
        <v>0.064</v>
      </c>
      <c r="CZ44" s="23">
        <v>0.088</v>
      </c>
      <c r="DA44" s="23">
        <v>0.095</v>
      </c>
      <c r="DB44" s="23">
        <v>0.07</v>
      </c>
      <c r="DC44" s="23">
        <v>0.028</v>
      </c>
      <c r="DD44" s="23">
        <v>0.01</v>
      </c>
      <c r="DE44" s="23">
        <v>0.102</v>
      </c>
      <c r="DF44" s="23">
        <v>0.106</v>
      </c>
      <c r="DG44" s="23">
        <v>2.08</v>
      </c>
      <c r="DH44" s="23">
        <v>0.047</v>
      </c>
      <c r="DI44" s="23">
        <v>0.11</v>
      </c>
      <c r="DJ44" s="23">
        <v>0.218</v>
      </c>
      <c r="DK44" s="23">
        <v>0.055</v>
      </c>
      <c r="DL44" s="23">
        <v>0.417</v>
      </c>
      <c r="DM44" s="23">
        <v>0.087</v>
      </c>
    </row>
    <row r="45" ht="14.25" customHeight="1">
      <c r="A45" s="21" t="s">
        <v>164</v>
      </c>
      <c r="B45" s="22" t="s">
        <v>160</v>
      </c>
      <c r="C45" s="22" t="s">
        <v>165</v>
      </c>
      <c r="D45" s="23">
        <v>0.0</v>
      </c>
      <c r="E45" s="23">
        <v>0.0</v>
      </c>
      <c r="F45" s="23">
        <v>0.0</v>
      </c>
      <c r="G45" s="23">
        <v>0.0</v>
      </c>
      <c r="H45" s="23">
        <v>0.0</v>
      </c>
      <c r="I45" s="23">
        <v>0.0</v>
      </c>
      <c r="J45" s="23">
        <v>0.0</v>
      </c>
      <c r="K45" s="23">
        <v>0.0</v>
      </c>
      <c r="L45" s="23">
        <v>0.0</v>
      </c>
      <c r="M45" s="23">
        <v>0.0</v>
      </c>
      <c r="N45" s="23">
        <v>0.0</v>
      </c>
      <c r="O45" s="23">
        <v>0.0</v>
      </c>
      <c r="P45" s="23">
        <v>0.0</v>
      </c>
      <c r="Q45" s="23">
        <v>0.0</v>
      </c>
      <c r="R45" s="23">
        <v>0.0</v>
      </c>
      <c r="S45" s="23">
        <v>0.0</v>
      </c>
      <c r="T45" s="23">
        <v>0.0</v>
      </c>
      <c r="U45" s="23">
        <v>0.0</v>
      </c>
      <c r="V45" s="23">
        <v>0.0</v>
      </c>
      <c r="W45" s="23">
        <v>0.0</v>
      </c>
      <c r="X45" s="23">
        <v>0.0</v>
      </c>
      <c r="Y45" s="23">
        <v>0.0</v>
      </c>
      <c r="Z45" s="23">
        <v>0.0</v>
      </c>
      <c r="AA45" s="23">
        <v>0.0</v>
      </c>
      <c r="AB45" s="23">
        <v>0.0</v>
      </c>
      <c r="AC45" s="23">
        <v>0.0</v>
      </c>
      <c r="AD45" s="23">
        <v>0.0</v>
      </c>
      <c r="AE45" s="23">
        <v>0.0</v>
      </c>
      <c r="AF45" s="23">
        <v>0.0</v>
      </c>
      <c r="AG45" s="23">
        <v>0.0</v>
      </c>
      <c r="AH45" s="23">
        <v>0.0</v>
      </c>
      <c r="AI45" s="23">
        <v>0.0</v>
      </c>
      <c r="AJ45" s="23">
        <v>0.0</v>
      </c>
      <c r="AK45" s="23">
        <v>0.0</v>
      </c>
      <c r="AL45" s="23">
        <v>0.0</v>
      </c>
      <c r="AM45" s="23">
        <v>0.0</v>
      </c>
      <c r="AN45" s="23">
        <v>0.0</v>
      </c>
      <c r="AO45" s="23">
        <v>0.0</v>
      </c>
      <c r="AP45" s="23">
        <v>0.0</v>
      </c>
      <c r="AQ45" s="23">
        <v>0.0</v>
      </c>
      <c r="AR45" s="23">
        <v>0.0</v>
      </c>
      <c r="AS45" s="23">
        <v>0.0</v>
      </c>
      <c r="AT45" s="23">
        <v>0.0</v>
      </c>
      <c r="AU45" s="23">
        <v>0.0</v>
      </c>
      <c r="AV45" s="23">
        <v>0.0</v>
      </c>
      <c r="AW45" s="23">
        <v>0.0</v>
      </c>
      <c r="AX45" s="23">
        <v>0.0</v>
      </c>
      <c r="AY45" s="23">
        <v>0.0</v>
      </c>
      <c r="AZ45" s="23">
        <v>0.0</v>
      </c>
      <c r="BA45" s="23">
        <v>0.0</v>
      </c>
      <c r="BB45" s="23">
        <v>0.0</v>
      </c>
      <c r="BC45" s="23">
        <v>0.0</v>
      </c>
      <c r="BD45" s="23">
        <v>0.0</v>
      </c>
      <c r="BE45" s="23">
        <v>0.0</v>
      </c>
      <c r="BF45" s="23">
        <v>0.0</v>
      </c>
      <c r="BG45" s="23">
        <v>0.0</v>
      </c>
      <c r="BH45" s="23">
        <v>0.0</v>
      </c>
      <c r="BI45" s="23">
        <v>0.0</v>
      </c>
      <c r="BJ45" s="23">
        <v>0.0</v>
      </c>
      <c r="BK45" s="23">
        <v>0.0</v>
      </c>
      <c r="BL45" s="23">
        <v>0.0</v>
      </c>
      <c r="BM45" s="23">
        <v>0.0</v>
      </c>
      <c r="BN45" s="23">
        <v>0.0</v>
      </c>
      <c r="BO45" s="23">
        <v>0.0</v>
      </c>
      <c r="BP45" s="23">
        <v>0.0</v>
      </c>
      <c r="BQ45" s="23">
        <v>0.0</v>
      </c>
      <c r="BR45" s="23">
        <v>0.0</v>
      </c>
      <c r="BS45" s="23">
        <v>0.0</v>
      </c>
      <c r="BT45" s="23">
        <v>0.0</v>
      </c>
      <c r="BV45" s="23">
        <v>0.0</v>
      </c>
      <c r="BW45" s="23">
        <v>0.0</v>
      </c>
      <c r="BX45" s="23">
        <v>0.0</v>
      </c>
      <c r="BY45" s="23">
        <v>0.0</v>
      </c>
      <c r="BZ45" s="23">
        <v>0.0</v>
      </c>
      <c r="CA45" s="23">
        <v>0.0</v>
      </c>
      <c r="CB45" s="23">
        <v>0.0</v>
      </c>
      <c r="CC45" s="23">
        <v>0.0</v>
      </c>
      <c r="CD45" s="23">
        <v>0.0</v>
      </c>
      <c r="CE45" s="23">
        <v>0.0</v>
      </c>
      <c r="CF45" s="23">
        <v>0.0</v>
      </c>
      <c r="CG45" s="23">
        <v>0.0</v>
      </c>
      <c r="CH45" s="23">
        <v>0.0</v>
      </c>
      <c r="CI45" s="23">
        <v>0.0</v>
      </c>
      <c r="CJ45" s="23">
        <v>0.0</v>
      </c>
      <c r="CK45" s="23">
        <v>0.0</v>
      </c>
      <c r="CL45" s="23">
        <v>0.0</v>
      </c>
      <c r="CM45" s="23">
        <v>0.0</v>
      </c>
      <c r="CN45" s="23">
        <v>0.0</v>
      </c>
      <c r="CO45" s="23">
        <v>0.0</v>
      </c>
      <c r="CP45" s="23">
        <v>0.0</v>
      </c>
      <c r="CQ45" s="23">
        <v>0.0</v>
      </c>
      <c r="CR45" s="23">
        <v>0.0</v>
      </c>
      <c r="CS45" s="23">
        <v>0.0</v>
      </c>
      <c r="CT45" s="23">
        <v>0.0</v>
      </c>
      <c r="CU45" s="23">
        <v>0.0</v>
      </c>
      <c r="CV45" s="23">
        <v>0.0</v>
      </c>
      <c r="CW45" s="23">
        <v>0.0</v>
      </c>
      <c r="CX45" s="23">
        <v>0.0</v>
      </c>
      <c r="CY45" s="23">
        <v>0.0</v>
      </c>
      <c r="CZ45" s="23">
        <v>0.0</v>
      </c>
      <c r="DA45" s="23">
        <v>0.0</v>
      </c>
      <c r="DB45" s="23">
        <v>0.0</v>
      </c>
      <c r="DC45" s="23">
        <v>0.0</v>
      </c>
      <c r="DD45" s="23">
        <v>0.0</v>
      </c>
      <c r="DE45" s="23">
        <v>0.0</v>
      </c>
      <c r="DF45" s="23">
        <v>0.0</v>
      </c>
      <c r="DG45" s="23">
        <v>0.0</v>
      </c>
      <c r="DH45" s="23">
        <v>0.0</v>
      </c>
      <c r="DI45" s="23">
        <v>0.0</v>
      </c>
      <c r="DJ45" s="23">
        <v>0.0</v>
      </c>
      <c r="DK45" s="23">
        <v>0.0</v>
      </c>
      <c r="DL45" s="23">
        <v>0.0</v>
      </c>
      <c r="DM45" s="23">
        <v>0.0</v>
      </c>
    </row>
    <row r="46" ht="14.25" customHeight="1">
      <c r="A46" s="19" t="s">
        <v>166</v>
      </c>
      <c r="B46" s="30" t="s">
        <v>167</v>
      </c>
      <c r="C46" s="27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46"/>
      <c r="AW46" s="46"/>
      <c r="AX46" s="46"/>
      <c r="AY46" s="46"/>
      <c r="AZ46" s="46"/>
      <c r="BA46" s="46"/>
      <c r="BB46" s="46"/>
      <c r="BC46" s="46"/>
      <c r="BD46" s="46"/>
      <c r="BE46" s="46"/>
      <c r="BF46" s="46"/>
      <c r="BG46" s="46"/>
      <c r="BH46" s="46"/>
      <c r="BI46" s="46"/>
      <c r="BJ46" s="46"/>
      <c r="BK46" s="46"/>
      <c r="BL46" s="46"/>
      <c r="BM46" s="46"/>
      <c r="BN46" s="46"/>
      <c r="BO46" s="46"/>
      <c r="BP46" s="46"/>
      <c r="BQ46" s="46"/>
      <c r="BR46" s="46"/>
      <c r="BS46" s="46"/>
      <c r="BT46" s="46"/>
      <c r="BU46" s="46"/>
      <c r="BV46" s="46"/>
      <c r="BW46" s="46"/>
      <c r="BX46" s="46"/>
      <c r="BY46" s="46"/>
      <c r="BZ46" s="46"/>
      <c r="CA46" s="46"/>
      <c r="CB46" s="46"/>
      <c r="CC46" s="46"/>
      <c r="CD46" s="46"/>
      <c r="CE46" s="46"/>
      <c r="CF46" s="46"/>
      <c r="CG46" s="46"/>
      <c r="CH46" s="46"/>
      <c r="CI46" s="46"/>
      <c r="CJ46" s="46"/>
      <c r="CK46" s="46"/>
      <c r="CL46" s="46"/>
      <c r="CM46" s="46"/>
      <c r="CN46" s="46"/>
      <c r="CO46" s="46"/>
      <c r="CP46" s="46"/>
      <c r="CQ46" s="46"/>
      <c r="CR46" s="46"/>
      <c r="CS46" s="46"/>
      <c r="CT46" s="46"/>
      <c r="CU46" s="46"/>
      <c r="CV46" s="46"/>
      <c r="CW46" s="46"/>
      <c r="CX46" s="46"/>
      <c r="CY46" s="46"/>
      <c r="CZ46" s="46"/>
      <c r="DA46" s="46"/>
      <c r="DB46" s="46"/>
      <c r="DC46" s="46"/>
      <c r="DD46" s="46"/>
      <c r="DE46" s="46"/>
      <c r="DF46" s="46"/>
      <c r="DG46" s="46"/>
      <c r="DH46" s="46"/>
      <c r="DI46" s="46"/>
      <c r="DJ46" s="46"/>
      <c r="DK46" s="46"/>
      <c r="DL46" s="46"/>
      <c r="DM46" s="46"/>
      <c r="DN46" s="46"/>
    </row>
    <row r="47" ht="14.25" customHeight="1">
      <c r="A47" s="31" t="s">
        <v>168</v>
      </c>
      <c r="B47" s="32" t="s">
        <v>169</v>
      </c>
      <c r="C47" s="32"/>
      <c r="D47" s="31">
        <v>0.006</v>
      </c>
      <c r="E47" s="31">
        <v>0.008</v>
      </c>
      <c r="F47" s="31">
        <v>0.007</v>
      </c>
      <c r="G47" s="31">
        <v>0.009</v>
      </c>
      <c r="H47" s="31">
        <v>0.019</v>
      </c>
      <c r="I47" s="31">
        <v>0.005</v>
      </c>
      <c r="J47" s="31">
        <v>0.104</v>
      </c>
      <c r="K47" s="31">
        <v>0.005</v>
      </c>
      <c r="L47" s="31">
        <v>0.007</v>
      </c>
      <c r="M47" s="31">
        <v>0.003</v>
      </c>
      <c r="N47" s="31">
        <v>0.005</v>
      </c>
      <c r="O47" s="31">
        <v>0.012</v>
      </c>
      <c r="P47" s="31">
        <v>0.013</v>
      </c>
      <c r="Q47" s="31">
        <v>0.012</v>
      </c>
      <c r="R47" s="31">
        <v>0.012</v>
      </c>
      <c r="S47" s="31">
        <v>0.014</v>
      </c>
      <c r="T47" s="31">
        <v>0.012</v>
      </c>
      <c r="U47" s="31">
        <v>0.021</v>
      </c>
      <c r="V47" s="31">
        <v>0.03</v>
      </c>
      <c r="W47" s="31">
        <v>0.025</v>
      </c>
      <c r="X47" s="31">
        <v>0.027</v>
      </c>
      <c r="Y47" s="31">
        <v>0.029</v>
      </c>
      <c r="Z47" s="31">
        <v>0.011</v>
      </c>
      <c r="AA47" s="31">
        <v>0.011</v>
      </c>
      <c r="AB47" s="31">
        <v>0.008</v>
      </c>
      <c r="AC47" s="31"/>
      <c r="AD47" s="31">
        <v>0.012</v>
      </c>
      <c r="AE47" s="31">
        <v>0.013</v>
      </c>
      <c r="AF47" s="31">
        <v>0.012</v>
      </c>
      <c r="AG47" s="31">
        <v>0.015</v>
      </c>
      <c r="AH47" s="31">
        <v>0.02</v>
      </c>
      <c r="AI47" s="31">
        <v>0.018</v>
      </c>
      <c r="AJ47" s="31">
        <v>0.02</v>
      </c>
      <c r="AK47" s="31">
        <v>0.024</v>
      </c>
      <c r="AL47" s="31">
        <v>0.021</v>
      </c>
      <c r="AM47" s="31">
        <v>0.033</v>
      </c>
      <c r="AN47" s="31">
        <v>0.034</v>
      </c>
      <c r="AO47" s="31">
        <v>0.01</v>
      </c>
      <c r="AP47" s="31">
        <v>0.011</v>
      </c>
      <c r="AQ47" s="31">
        <v>0.037</v>
      </c>
      <c r="AR47" s="31">
        <v>0.028</v>
      </c>
      <c r="AS47" s="31">
        <v>0.012</v>
      </c>
      <c r="AT47" s="31">
        <v>0.01</v>
      </c>
      <c r="AU47" s="31"/>
      <c r="AV47" s="31">
        <v>0.019</v>
      </c>
      <c r="AW47" s="31">
        <v>0.02</v>
      </c>
      <c r="AX47" s="31">
        <v>0.009</v>
      </c>
      <c r="AY47" s="31">
        <v>0.011</v>
      </c>
      <c r="AZ47" s="31">
        <v>0.008</v>
      </c>
      <c r="BA47" s="31">
        <v>0.021</v>
      </c>
      <c r="BB47" s="31">
        <v>0.013</v>
      </c>
      <c r="BC47" s="31">
        <v>0.01</v>
      </c>
      <c r="BD47" s="31">
        <v>0.006</v>
      </c>
      <c r="BE47" s="31">
        <v>0.012</v>
      </c>
      <c r="BF47" s="31">
        <v>0.009</v>
      </c>
      <c r="BG47" s="31">
        <v>0.009</v>
      </c>
      <c r="BH47" s="31">
        <v>0.008</v>
      </c>
      <c r="BI47" s="31"/>
      <c r="BJ47" s="31">
        <v>0.009</v>
      </c>
      <c r="BK47" s="31">
        <v>0.006</v>
      </c>
      <c r="BL47" s="31">
        <v>0.003</v>
      </c>
      <c r="BM47" s="31">
        <v>0.004</v>
      </c>
      <c r="BN47" s="31">
        <v>0.027</v>
      </c>
      <c r="BO47" s="31">
        <v>0.029</v>
      </c>
      <c r="BP47" s="31">
        <v>0.029</v>
      </c>
      <c r="BQ47" s="31">
        <v>0.039</v>
      </c>
      <c r="BR47" s="31">
        <v>0.04</v>
      </c>
      <c r="BS47" s="31">
        <v>0.028</v>
      </c>
      <c r="BT47" s="31">
        <v>0.009</v>
      </c>
      <c r="BU47" s="31">
        <v>0.022</v>
      </c>
      <c r="BV47" s="31"/>
      <c r="BW47" s="31"/>
      <c r="BX47" s="31">
        <v>0.009</v>
      </c>
      <c r="BY47" s="31">
        <v>0.011</v>
      </c>
      <c r="BZ47" s="31">
        <v>0.014</v>
      </c>
      <c r="CA47" s="31">
        <v>0.02</v>
      </c>
      <c r="CB47" s="31">
        <v>0.013</v>
      </c>
      <c r="CC47" s="31">
        <v>0.012</v>
      </c>
      <c r="CD47" s="31"/>
      <c r="CE47" s="31">
        <v>0.021</v>
      </c>
      <c r="CF47" s="31">
        <v>0.028</v>
      </c>
      <c r="CG47" s="31">
        <v>0.012</v>
      </c>
      <c r="CH47" s="31">
        <v>0.006</v>
      </c>
      <c r="CI47" s="31">
        <v>0.066</v>
      </c>
      <c r="CJ47" s="31"/>
      <c r="CK47" s="31"/>
      <c r="CL47" s="31"/>
      <c r="CM47" s="31"/>
      <c r="CN47" s="31"/>
      <c r="CO47" s="31"/>
      <c r="CP47" s="31">
        <v>0.009</v>
      </c>
      <c r="CQ47" s="31">
        <v>0.007</v>
      </c>
      <c r="CR47" s="31">
        <v>0.01</v>
      </c>
      <c r="CS47" s="31">
        <v>0.026</v>
      </c>
      <c r="CT47" s="31">
        <v>0.02</v>
      </c>
      <c r="CU47" s="31">
        <v>0.043</v>
      </c>
      <c r="CV47" s="31"/>
      <c r="CW47" s="31">
        <v>0.031</v>
      </c>
      <c r="CX47" s="31">
        <v>0.028</v>
      </c>
      <c r="CY47" s="31">
        <v>0.04</v>
      </c>
      <c r="CZ47" s="31">
        <v>0.013</v>
      </c>
      <c r="DA47" s="31">
        <v>0.014</v>
      </c>
      <c r="DB47" s="31">
        <v>0.017</v>
      </c>
      <c r="DC47" s="31">
        <v>0.018</v>
      </c>
      <c r="DD47" s="31"/>
      <c r="DE47" s="31"/>
      <c r="DF47" s="31">
        <v>0.096</v>
      </c>
      <c r="DG47" s="31">
        <v>0.929</v>
      </c>
      <c r="DH47" s="31">
        <v>0.048</v>
      </c>
      <c r="DI47" s="31">
        <v>0.043</v>
      </c>
      <c r="DJ47" s="31">
        <v>0.035</v>
      </c>
      <c r="DK47" s="31"/>
      <c r="DL47" s="31"/>
      <c r="DM47" s="31">
        <v>0.005</v>
      </c>
      <c r="DN47" s="31"/>
    </row>
    <row r="48" ht="14.25" customHeight="1">
      <c r="A48" s="31" t="s">
        <v>170</v>
      </c>
      <c r="B48" s="32" t="s">
        <v>171</v>
      </c>
      <c r="C48" s="32"/>
      <c r="D48" s="31">
        <v>0.027</v>
      </c>
      <c r="E48" s="31">
        <v>0.029</v>
      </c>
      <c r="F48" s="31">
        <v>0.024</v>
      </c>
      <c r="G48" s="31">
        <v>0.03</v>
      </c>
      <c r="H48" s="31">
        <v>0.054</v>
      </c>
      <c r="I48" s="31">
        <v>0.017</v>
      </c>
      <c r="J48" s="31">
        <v>0.357</v>
      </c>
      <c r="K48" s="31">
        <v>0.019</v>
      </c>
      <c r="L48" s="31">
        <v>0.012</v>
      </c>
      <c r="M48" s="31">
        <v>0.009</v>
      </c>
      <c r="N48" s="31">
        <v>0.017</v>
      </c>
      <c r="O48" s="31">
        <v>0.04</v>
      </c>
      <c r="P48" s="31">
        <v>0.037</v>
      </c>
      <c r="Q48" s="31">
        <v>0.036</v>
      </c>
      <c r="R48" s="31">
        <v>0.042</v>
      </c>
      <c r="S48" s="31">
        <v>0.04</v>
      </c>
      <c r="T48" s="31">
        <v>0.034</v>
      </c>
      <c r="U48" s="31">
        <v>0.066</v>
      </c>
      <c r="V48" s="31">
        <v>0.071</v>
      </c>
      <c r="W48" s="31">
        <v>0.081</v>
      </c>
      <c r="X48" s="31">
        <v>0.062</v>
      </c>
      <c r="Y48" s="31">
        <v>0.068</v>
      </c>
      <c r="Z48" s="31">
        <v>0.035</v>
      </c>
      <c r="AA48" s="31">
        <v>0.035</v>
      </c>
      <c r="AB48" s="31">
        <v>0.025</v>
      </c>
      <c r="AC48" s="31"/>
      <c r="AD48" s="31">
        <v>0.039</v>
      </c>
      <c r="AE48" s="31">
        <v>0.041</v>
      </c>
      <c r="AF48" s="31">
        <v>0.039</v>
      </c>
      <c r="AG48" s="31">
        <v>0.049</v>
      </c>
      <c r="AH48" s="31">
        <v>0.069</v>
      </c>
      <c r="AI48" s="31">
        <v>0.062</v>
      </c>
      <c r="AJ48" s="31">
        <v>0.076</v>
      </c>
      <c r="AK48" s="31">
        <v>0.067</v>
      </c>
      <c r="AL48" s="31">
        <v>0.059</v>
      </c>
      <c r="AM48" s="31">
        <v>0.088</v>
      </c>
      <c r="AN48" s="31">
        <v>0.096</v>
      </c>
      <c r="AO48" s="31">
        <v>0.049</v>
      </c>
      <c r="AP48" s="31">
        <v>0.052</v>
      </c>
      <c r="AQ48" s="31">
        <v>0.12</v>
      </c>
      <c r="AR48" s="31">
        <v>0.091</v>
      </c>
      <c r="AS48" s="31">
        <v>0.191</v>
      </c>
      <c r="AT48" s="31">
        <v>0.157</v>
      </c>
      <c r="AU48" s="31"/>
      <c r="AV48" s="31">
        <v>0.047</v>
      </c>
      <c r="AW48" s="31">
        <v>0.049</v>
      </c>
      <c r="AX48" s="31">
        <v>0.024</v>
      </c>
      <c r="AY48" s="31">
        <v>0.028</v>
      </c>
      <c r="AZ48" s="31">
        <v>0.022</v>
      </c>
      <c r="BA48" s="31">
        <v>0.043</v>
      </c>
      <c r="BB48" s="31">
        <v>0.027</v>
      </c>
      <c r="BC48" s="31">
        <v>0.029</v>
      </c>
      <c r="BD48" s="31">
        <v>0.015</v>
      </c>
      <c r="BE48" s="31">
        <v>0.029</v>
      </c>
      <c r="BF48" s="31">
        <v>0.021</v>
      </c>
      <c r="BG48" s="31">
        <v>0.037</v>
      </c>
      <c r="BH48" s="31">
        <v>0.03</v>
      </c>
      <c r="BI48" s="31"/>
      <c r="BJ48" s="31">
        <v>0.023</v>
      </c>
      <c r="BK48" s="31">
        <v>0.045</v>
      </c>
      <c r="BL48" s="31">
        <v>0.025</v>
      </c>
      <c r="BM48" s="31">
        <v>0.028</v>
      </c>
      <c r="BN48" s="31">
        <v>0.084</v>
      </c>
      <c r="BO48" s="31">
        <v>0.092</v>
      </c>
      <c r="BP48" s="31">
        <v>0.082</v>
      </c>
      <c r="BQ48" s="31">
        <v>0.122</v>
      </c>
      <c r="BR48" s="31">
        <v>0.127</v>
      </c>
      <c r="BS48" s="31">
        <v>0.09</v>
      </c>
      <c r="BT48" s="31">
        <v>0.059</v>
      </c>
      <c r="BU48" s="31">
        <v>0.048</v>
      </c>
      <c r="BV48" s="31">
        <v>0.094</v>
      </c>
      <c r="BW48" s="31">
        <v>0.086</v>
      </c>
      <c r="BX48" s="31">
        <v>0.02</v>
      </c>
      <c r="BY48" s="31">
        <v>0.024</v>
      </c>
      <c r="BZ48" s="31">
        <v>0.021</v>
      </c>
      <c r="CA48" s="31">
        <v>0.033</v>
      </c>
      <c r="CB48" s="31">
        <v>0.022</v>
      </c>
      <c r="CC48" s="31">
        <v>0.02</v>
      </c>
      <c r="CD48" s="31"/>
      <c r="CE48" s="31">
        <v>0.074</v>
      </c>
      <c r="CF48" s="31">
        <v>0.098</v>
      </c>
      <c r="CG48" s="31">
        <v>0.063</v>
      </c>
      <c r="CH48" s="31">
        <v>0.034</v>
      </c>
      <c r="CI48" s="31">
        <v>0.157</v>
      </c>
      <c r="CJ48" s="31"/>
      <c r="CK48" s="31"/>
      <c r="CL48" s="31"/>
      <c r="CM48" s="31"/>
      <c r="CN48" s="31"/>
      <c r="CO48" s="31"/>
      <c r="CP48" s="31">
        <v>0.025</v>
      </c>
      <c r="CQ48" s="31">
        <v>0.02</v>
      </c>
      <c r="CR48" s="31">
        <v>0.029</v>
      </c>
      <c r="CS48" s="31">
        <v>0.082</v>
      </c>
      <c r="CT48" s="31">
        <v>0.063</v>
      </c>
      <c r="CU48" s="31">
        <v>0.135</v>
      </c>
      <c r="CV48" s="31"/>
      <c r="CW48" s="31">
        <v>0.083</v>
      </c>
      <c r="CX48" s="31">
        <v>0.073</v>
      </c>
      <c r="CY48" s="31">
        <v>0.107</v>
      </c>
      <c r="CZ48" s="31">
        <v>0.046</v>
      </c>
      <c r="DA48" s="31">
        <v>0.05</v>
      </c>
      <c r="DB48" s="31">
        <v>0.083</v>
      </c>
      <c r="DC48" s="31">
        <v>0.086</v>
      </c>
      <c r="DD48" s="31"/>
      <c r="DE48" s="31"/>
      <c r="DF48" s="31">
        <v>0.306</v>
      </c>
      <c r="DG48" s="31">
        <v>2.97</v>
      </c>
      <c r="DH48" s="31">
        <v>0.055</v>
      </c>
      <c r="DI48" s="31">
        <v>0.232</v>
      </c>
      <c r="DJ48" s="31">
        <v>0.165</v>
      </c>
      <c r="DK48" s="31"/>
      <c r="DL48" s="31"/>
      <c r="DM48" s="31">
        <v>0.05</v>
      </c>
      <c r="DN48" s="31"/>
    </row>
    <row r="49" ht="14.25" customHeight="1">
      <c r="A49" s="31" t="s">
        <v>172</v>
      </c>
      <c r="B49" s="32" t="s">
        <v>173</v>
      </c>
      <c r="C49" s="32"/>
      <c r="D49" s="31">
        <v>0.018</v>
      </c>
      <c r="E49" s="31">
        <v>0.027</v>
      </c>
      <c r="F49" s="31">
        <v>0.023</v>
      </c>
      <c r="G49" s="31">
        <v>0.029</v>
      </c>
      <c r="H49" s="31">
        <v>0.064</v>
      </c>
      <c r="I49" s="31">
        <v>0.015</v>
      </c>
      <c r="J49" s="31">
        <v>0.339</v>
      </c>
      <c r="K49" s="31">
        <v>0.021</v>
      </c>
      <c r="L49" s="31">
        <v>0.012</v>
      </c>
      <c r="M49" s="31">
        <v>0.01</v>
      </c>
      <c r="N49" s="31">
        <v>0.019</v>
      </c>
      <c r="O49" s="31">
        <v>0.021</v>
      </c>
      <c r="P49" s="31">
        <v>0.032</v>
      </c>
      <c r="Q49" s="31">
        <v>0.024</v>
      </c>
      <c r="R49" s="31">
        <v>0.022</v>
      </c>
      <c r="S49" s="31">
        <v>0.035</v>
      </c>
      <c r="T49" s="31">
        <v>0.03</v>
      </c>
      <c r="U49" s="31">
        <v>0.065</v>
      </c>
      <c r="V49" s="31">
        <v>0.08</v>
      </c>
      <c r="W49" s="31">
        <v>0.08</v>
      </c>
      <c r="X49" s="31">
        <v>0.07</v>
      </c>
      <c r="Y49" s="31">
        <v>0.076</v>
      </c>
      <c r="Z49" s="31">
        <v>0.03</v>
      </c>
      <c r="AA49" s="31">
        <v>0.03</v>
      </c>
      <c r="AB49" s="31">
        <v>0.021</v>
      </c>
      <c r="AC49" s="31"/>
      <c r="AD49" s="31">
        <v>0.034</v>
      </c>
      <c r="AE49" s="31">
        <v>0.036</v>
      </c>
      <c r="AF49" s="31">
        <v>0.068</v>
      </c>
      <c r="AG49" s="31">
        <v>0.085</v>
      </c>
      <c r="AH49" s="31">
        <v>0.101</v>
      </c>
      <c r="AI49" s="31">
        <v>0.091</v>
      </c>
      <c r="AJ49" s="31">
        <v>0.071</v>
      </c>
      <c r="AK49" s="31">
        <v>0.07</v>
      </c>
      <c r="AL49" s="31">
        <v>0.061</v>
      </c>
      <c r="AM49" s="31">
        <v>0.079</v>
      </c>
      <c r="AN49" s="31">
        <v>0.092</v>
      </c>
      <c r="AO49" s="31">
        <v>0.078</v>
      </c>
      <c r="AP49" s="31">
        <v>0.083</v>
      </c>
      <c r="AQ49" s="31">
        <v>0.132</v>
      </c>
      <c r="AR49" s="31">
        <v>0.1</v>
      </c>
      <c r="AS49" s="31">
        <v>0.077</v>
      </c>
      <c r="AT49" s="31">
        <v>0.063</v>
      </c>
      <c r="AU49" s="31"/>
      <c r="AV49" s="31">
        <v>0.048</v>
      </c>
      <c r="AW49" s="31">
        <v>0.05</v>
      </c>
      <c r="AX49" s="31">
        <v>0.024</v>
      </c>
      <c r="AY49" s="31">
        <v>0.042</v>
      </c>
      <c r="AZ49" s="31">
        <v>0.033</v>
      </c>
      <c r="BA49" s="31">
        <v>0.057</v>
      </c>
      <c r="BB49" s="31">
        <v>0.035</v>
      </c>
      <c r="BC49" s="31">
        <v>0.044</v>
      </c>
      <c r="BD49" s="31">
        <v>0.023</v>
      </c>
      <c r="BE49" s="31">
        <v>0.031</v>
      </c>
      <c r="BF49" s="31">
        <v>0.023</v>
      </c>
      <c r="BG49" s="31">
        <v>0.045</v>
      </c>
      <c r="BH49" s="31">
        <v>0.036</v>
      </c>
      <c r="BI49" s="31"/>
      <c r="BJ49" s="31">
        <v>0.02</v>
      </c>
      <c r="BK49" s="31">
        <v>0.048</v>
      </c>
      <c r="BL49" s="31">
        <v>0.026</v>
      </c>
      <c r="BM49" s="31">
        <v>0.029</v>
      </c>
      <c r="BN49" s="31">
        <v>0.075</v>
      </c>
      <c r="BO49" s="31">
        <v>0.082</v>
      </c>
      <c r="BP49" s="31">
        <v>0.109</v>
      </c>
      <c r="BQ49" s="31">
        <v>0.147</v>
      </c>
      <c r="BR49" s="31">
        <v>0.152</v>
      </c>
      <c r="BS49" s="31">
        <v>0.108</v>
      </c>
      <c r="BT49" s="31">
        <v>0.084</v>
      </c>
      <c r="BU49" s="31">
        <v>0.038</v>
      </c>
      <c r="BV49" s="31">
        <v>0.102</v>
      </c>
      <c r="BW49" s="31">
        <v>0.093</v>
      </c>
      <c r="BX49" s="31">
        <v>0.021</v>
      </c>
      <c r="BY49" s="31">
        <v>0.025</v>
      </c>
      <c r="BZ49" s="31">
        <v>0.014</v>
      </c>
      <c r="CA49" s="31">
        <v>0.048</v>
      </c>
      <c r="CB49" s="31">
        <v>0.032</v>
      </c>
      <c r="CC49" s="31">
        <v>0.029</v>
      </c>
      <c r="CD49" s="31"/>
      <c r="CE49" s="31">
        <v>0.081</v>
      </c>
      <c r="CF49" s="31">
        <v>0.106</v>
      </c>
      <c r="CG49" s="31">
        <v>0.052</v>
      </c>
      <c r="CH49" s="31">
        <v>0.028</v>
      </c>
      <c r="CI49" s="31">
        <v>0.217</v>
      </c>
      <c r="CJ49" s="31"/>
      <c r="CK49" s="31"/>
      <c r="CL49" s="31"/>
      <c r="CM49" s="31"/>
      <c r="CN49" s="31"/>
      <c r="CO49" s="31"/>
      <c r="CP49" s="31">
        <v>0.036</v>
      </c>
      <c r="CQ49" s="31">
        <v>0.029</v>
      </c>
      <c r="CR49" s="31">
        <v>0.042</v>
      </c>
      <c r="CS49" s="31">
        <v>0.078</v>
      </c>
      <c r="CT49" s="31">
        <v>0.059</v>
      </c>
      <c r="CU49" s="31">
        <v>0.128</v>
      </c>
      <c r="CV49" s="31"/>
      <c r="CW49" s="31">
        <v>0.055</v>
      </c>
      <c r="CX49" s="31">
        <v>0.048</v>
      </c>
      <c r="CY49" s="31">
        <v>0.07</v>
      </c>
      <c r="CZ49" s="31">
        <v>0.05</v>
      </c>
      <c r="DA49" s="31">
        <v>0.053</v>
      </c>
      <c r="DB49" s="31">
        <v>0.147</v>
      </c>
      <c r="DC49" s="31">
        <v>0.154</v>
      </c>
      <c r="DD49" s="31"/>
      <c r="DE49" s="31"/>
      <c r="DF49" s="31">
        <v>0.331</v>
      </c>
      <c r="DG49" s="31">
        <v>3.209</v>
      </c>
      <c r="DH49" s="31">
        <v>0.076</v>
      </c>
      <c r="DI49" s="31">
        <v>0.259</v>
      </c>
      <c r="DJ49" s="31">
        <v>0.087</v>
      </c>
      <c r="DK49" s="31"/>
      <c r="DL49" s="31"/>
      <c r="DM49" s="31">
        <v>0.072</v>
      </c>
      <c r="DN49" s="31"/>
    </row>
    <row r="50" ht="14.25" customHeight="1">
      <c r="A50" s="31" t="s">
        <v>174</v>
      </c>
      <c r="B50" s="32" t="s">
        <v>175</v>
      </c>
      <c r="C50" s="32"/>
      <c r="D50" s="31">
        <v>0.025</v>
      </c>
      <c r="E50" s="31">
        <v>0.042</v>
      </c>
      <c r="F50" s="31">
        <v>0.036</v>
      </c>
      <c r="G50" s="31">
        <v>0.044</v>
      </c>
      <c r="H50" s="31">
        <v>0.106</v>
      </c>
      <c r="I50" s="31">
        <v>0.021</v>
      </c>
      <c r="J50" s="31">
        <v>0.517</v>
      </c>
      <c r="K50" s="31">
        <v>0.029</v>
      </c>
      <c r="L50" s="31">
        <v>0.025</v>
      </c>
      <c r="M50" s="31">
        <v>0.014</v>
      </c>
      <c r="N50" s="31">
        <v>0.026</v>
      </c>
      <c r="O50" s="31">
        <v>0.036</v>
      </c>
      <c r="P50" s="31">
        <v>0.052</v>
      </c>
      <c r="Q50" s="31">
        <v>0.036</v>
      </c>
      <c r="R50" s="31">
        <v>0.037</v>
      </c>
      <c r="S50" s="31">
        <v>0.056</v>
      </c>
      <c r="T50" s="31">
        <v>0.048</v>
      </c>
      <c r="U50" s="31">
        <v>0.096</v>
      </c>
      <c r="V50" s="31">
        <v>0.118</v>
      </c>
      <c r="W50" s="31">
        <v>0.119</v>
      </c>
      <c r="X50" s="31">
        <v>0.103</v>
      </c>
      <c r="Y50" s="31">
        <v>0.112</v>
      </c>
      <c r="Z50" s="31">
        <v>0.041</v>
      </c>
      <c r="AA50" s="31">
        <v>0.041</v>
      </c>
      <c r="AB50" s="31">
        <v>0.029</v>
      </c>
      <c r="AC50" s="31"/>
      <c r="AD50" s="31">
        <v>0.046</v>
      </c>
      <c r="AE50" s="31">
        <v>0.049</v>
      </c>
      <c r="AF50" s="31">
        <v>0.07</v>
      </c>
      <c r="AG50" s="31">
        <v>0.088</v>
      </c>
      <c r="AH50" s="31">
        <v>0.103</v>
      </c>
      <c r="AI50" s="31">
        <v>0.093</v>
      </c>
      <c r="AJ50" s="31">
        <v>0.106</v>
      </c>
      <c r="AK50" s="31">
        <v>0.107</v>
      </c>
      <c r="AL50" s="31">
        <v>0.094</v>
      </c>
      <c r="AM50" s="31">
        <v>0.129</v>
      </c>
      <c r="AN50" s="31">
        <v>0.147</v>
      </c>
      <c r="AO50" s="31">
        <v>0.067</v>
      </c>
      <c r="AP50" s="31">
        <v>0.071</v>
      </c>
      <c r="AQ50" s="31">
        <v>0.152</v>
      </c>
      <c r="AR50" s="31">
        <v>0.114</v>
      </c>
      <c r="AS50" s="31">
        <v>0.102</v>
      </c>
      <c r="AT50" s="31">
        <v>0.084</v>
      </c>
      <c r="AU50" s="31"/>
      <c r="AV50" s="31">
        <v>0.068</v>
      </c>
      <c r="AW50" s="31">
        <v>0.071</v>
      </c>
      <c r="AX50" s="31">
        <v>0.034</v>
      </c>
      <c r="AY50" s="31">
        <v>0.069</v>
      </c>
      <c r="AZ50" s="31">
        <v>0.053</v>
      </c>
      <c r="BA50" s="31">
        <v>0.082</v>
      </c>
      <c r="BB50" s="31">
        <v>0.05</v>
      </c>
      <c r="BC50" s="31">
        <v>0.071</v>
      </c>
      <c r="BD50" s="31">
        <v>0.037</v>
      </c>
      <c r="BE50" s="31">
        <v>0.046</v>
      </c>
      <c r="BF50" s="31">
        <v>0.034</v>
      </c>
      <c r="BG50" s="31">
        <v>0.064</v>
      </c>
      <c r="BH50" s="31">
        <v>0.052</v>
      </c>
      <c r="BI50" s="31"/>
      <c r="BJ50" s="31">
        <v>0.031</v>
      </c>
      <c r="BK50" s="31">
        <v>0.058</v>
      </c>
      <c r="BL50" s="31">
        <v>0.031</v>
      </c>
      <c r="BM50" s="31">
        <v>0.035</v>
      </c>
      <c r="BN50" s="31">
        <v>0.128</v>
      </c>
      <c r="BO50" s="31">
        <v>0.14</v>
      </c>
      <c r="BP50" s="31">
        <v>0.128</v>
      </c>
      <c r="BQ50" s="31">
        <v>0.223</v>
      </c>
      <c r="BR50" s="31">
        <v>0.231</v>
      </c>
      <c r="BS50" s="31">
        <v>0.164</v>
      </c>
      <c r="BT50" s="31">
        <v>0.079</v>
      </c>
      <c r="BU50" s="31">
        <v>0.07</v>
      </c>
      <c r="BV50" s="31">
        <v>0.167</v>
      </c>
      <c r="BW50" s="31">
        <v>0.152</v>
      </c>
      <c r="BX50" s="31">
        <v>0.032</v>
      </c>
      <c r="BY50" s="31">
        <v>0.039</v>
      </c>
      <c r="BZ50" s="31">
        <v>0.025</v>
      </c>
      <c r="CA50" s="31">
        <v>0.048</v>
      </c>
      <c r="CB50" s="31">
        <v>0.031</v>
      </c>
      <c r="CC50" s="31">
        <v>0.028</v>
      </c>
      <c r="CD50" s="31"/>
      <c r="CE50" s="31">
        <v>0.113</v>
      </c>
      <c r="CF50" s="31">
        <v>0.149</v>
      </c>
      <c r="CG50" s="31">
        <v>0.096</v>
      </c>
      <c r="CH50" s="31">
        <v>0.052</v>
      </c>
      <c r="CI50" s="31">
        <v>0.308</v>
      </c>
      <c r="CJ50" s="31"/>
      <c r="CK50" s="31"/>
      <c r="CL50" s="31"/>
      <c r="CM50" s="31"/>
      <c r="CN50" s="31"/>
      <c r="CO50" s="31"/>
      <c r="CP50" s="31">
        <v>0.033</v>
      </c>
      <c r="CQ50" s="31">
        <v>0.026</v>
      </c>
      <c r="CR50" s="31">
        <v>0.038</v>
      </c>
      <c r="CS50" s="31">
        <v>0.137</v>
      </c>
      <c r="CT50" s="31">
        <v>0.105</v>
      </c>
      <c r="CU50" s="31">
        <v>0.226</v>
      </c>
      <c r="CV50" s="31"/>
      <c r="CW50" s="31">
        <v>0.092</v>
      </c>
      <c r="CX50" s="31">
        <v>0.081</v>
      </c>
      <c r="CY50" s="31">
        <v>0.118</v>
      </c>
      <c r="CZ50" s="31">
        <v>0.038</v>
      </c>
      <c r="DA50" s="31">
        <v>0.041</v>
      </c>
      <c r="DB50" s="31">
        <v>0.13</v>
      </c>
      <c r="DC50" s="31">
        <v>0.135</v>
      </c>
      <c r="DD50" s="31"/>
      <c r="DE50" s="31"/>
      <c r="DF50" s="31">
        <v>0.509</v>
      </c>
      <c r="DG50" s="31">
        <v>4.947</v>
      </c>
      <c r="DH50" s="31">
        <v>0.083</v>
      </c>
      <c r="DI50" s="31">
        <v>0.501</v>
      </c>
      <c r="DJ50" s="31">
        <v>0.257</v>
      </c>
      <c r="DK50" s="31"/>
      <c r="DL50" s="31"/>
      <c r="DM50" s="31">
        <v>0.098</v>
      </c>
      <c r="DN50" s="31"/>
    </row>
    <row r="51" ht="14.25" customHeight="1">
      <c r="A51" s="31" t="s">
        <v>176</v>
      </c>
      <c r="B51" s="32" t="s">
        <v>177</v>
      </c>
      <c r="C51" s="32"/>
      <c r="D51" s="31">
        <v>0.027</v>
      </c>
      <c r="E51" s="31">
        <v>0.042</v>
      </c>
      <c r="F51" s="31">
        <v>0.036</v>
      </c>
      <c r="G51" s="31">
        <v>0.044</v>
      </c>
      <c r="H51" s="31">
        <v>0.062</v>
      </c>
      <c r="I51" s="31">
        <v>0.022</v>
      </c>
      <c r="J51" s="31">
        <v>0.519</v>
      </c>
      <c r="K51" s="31">
        <v>0.029</v>
      </c>
      <c r="L51" s="31">
        <v>0.025</v>
      </c>
      <c r="M51" s="31">
        <v>0.014</v>
      </c>
      <c r="N51" s="31">
        <v>0.026</v>
      </c>
      <c r="O51" s="31">
        <v>0.036</v>
      </c>
      <c r="P51" s="31">
        <v>0.044</v>
      </c>
      <c r="Q51" s="31">
        <v>0.039</v>
      </c>
      <c r="R51" s="31">
        <v>0.037</v>
      </c>
      <c r="S51" s="31">
        <v>0.048</v>
      </c>
      <c r="T51" s="31">
        <v>0.041</v>
      </c>
      <c r="U51" s="31">
        <v>0.105</v>
      </c>
      <c r="V51" s="31">
        <v>0.119</v>
      </c>
      <c r="W51" s="31">
        <v>0.13</v>
      </c>
      <c r="X51" s="31">
        <v>0.104</v>
      </c>
      <c r="Y51" s="31">
        <v>0.114</v>
      </c>
      <c r="Z51" s="31">
        <v>0.044</v>
      </c>
      <c r="AA51" s="31">
        <v>0.043</v>
      </c>
      <c r="AB51" s="31">
        <v>0.031</v>
      </c>
      <c r="AC51" s="31"/>
      <c r="AD51" s="31">
        <v>0.049</v>
      </c>
      <c r="AE51" s="31">
        <v>0.051</v>
      </c>
      <c r="AF51" s="31">
        <v>0.071</v>
      </c>
      <c r="AG51" s="31">
        <v>0.089</v>
      </c>
      <c r="AH51" s="31">
        <v>0.094</v>
      </c>
      <c r="AI51" s="31">
        <v>0.085</v>
      </c>
      <c r="AJ51" s="31">
        <v>0.217</v>
      </c>
      <c r="AK51" s="31">
        <v>0.099</v>
      </c>
      <c r="AL51" s="31">
        <v>0.086</v>
      </c>
      <c r="AM51" s="31">
        <v>0.135</v>
      </c>
      <c r="AN51" s="31">
        <v>0.155</v>
      </c>
      <c r="AO51" s="31">
        <v>0.056</v>
      </c>
      <c r="AP51" s="31">
        <v>0.059</v>
      </c>
      <c r="AQ51" s="31">
        <v>0.154</v>
      </c>
      <c r="AR51" s="31">
        <v>0.116</v>
      </c>
      <c r="AS51" s="31">
        <v>0.101</v>
      </c>
      <c r="AT51" s="31">
        <v>0.083</v>
      </c>
      <c r="AU51" s="31"/>
      <c r="AV51" s="31">
        <v>0.058</v>
      </c>
      <c r="AW51" s="31">
        <v>0.06</v>
      </c>
      <c r="AX51" s="31">
        <v>0.029</v>
      </c>
      <c r="AY51" s="31">
        <v>0.065</v>
      </c>
      <c r="AZ51" s="31">
        <v>0.05</v>
      </c>
      <c r="BA51" s="31">
        <v>0.053</v>
      </c>
      <c r="BB51" s="31">
        <v>0.033</v>
      </c>
      <c r="BC51" s="31">
        <v>0.067</v>
      </c>
      <c r="BD51" s="31">
        <v>0.035</v>
      </c>
      <c r="BE51" s="31">
        <v>0.054</v>
      </c>
      <c r="BF51" s="31">
        <v>0.039</v>
      </c>
      <c r="BG51" s="31">
        <v>0.047</v>
      </c>
      <c r="BH51" s="31">
        <v>0.039</v>
      </c>
      <c r="BI51" s="31"/>
      <c r="BJ51" s="31">
        <v>0.033</v>
      </c>
      <c r="BK51" s="31">
        <v>0.055</v>
      </c>
      <c r="BL51" s="31">
        <v>0.03</v>
      </c>
      <c r="BM51" s="31">
        <v>0.033</v>
      </c>
      <c r="BN51" s="31">
        <v>0.104</v>
      </c>
      <c r="BO51" s="31">
        <v>0.113</v>
      </c>
      <c r="BP51" s="31">
        <v>0.14</v>
      </c>
      <c r="BQ51" s="31">
        <v>0.174</v>
      </c>
      <c r="BR51" s="31">
        <v>0.182</v>
      </c>
      <c r="BS51" s="31">
        <v>0.129</v>
      </c>
      <c r="BT51" s="31">
        <v>0.084</v>
      </c>
      <c r="BU51" s="31">
        <v>0.045</v>
      </c>
      <c r="BV51" s="31">
        <v>0.115</v>
      </c>
      <c r="BW51" s="31">
        <v>0.105</v>
      </c>
      <c r="BX51" s="31">
        <v>0.027</v>
      </c>
      <c r="BY51" s="31">
        <v>0.032</v>
      </c>
      <c r="BZ51" s="31">
        <v>0.039</v>
      </c>
      <c r="CA51" s="31">
        <v>0.065</v>
      </c>
      <c r="CB51" s="31">
        <v>0.043</v>
      </c>
      <c r="CC51" s="31">
        <v>0.039</v>
      </c>
      <c r="CD51" s="31"/>
      <c r="CE51" s="31">
        <v>0.095</v>
      </c>
      <c r="CF51" s="31">
        <v>0.125</v>
      </c>
      <c r="CG51" s="31">
        <v>0.078</v>
      </c>
      <c r="CH51" s="31">
        <v>0.042</v>
      </c>
      <c r="CI51" s="31">
        <v>0.273</v>
      </c>
      <c r="CJ51" s="31"/>
      <c r="CK51" s="31"/>
      <c r="CL51" s="31"/>
      <c r="CM51" s="31"/>
      <c r="CN51" s="31"/>
      <c r="CO51" s="31"/>
      <c r="CP51" s="31">
        <v>0.036</v>
      </c>
      <c r="CQ51" s="31">
        <v>0.028</v>
      </c>
      <c r="CR51" s="31">
        <v>0.041</v>
      </c>
      <c r="CS51" s="31">
        <v>0.098</v>
      </c>
      <c r="CT51" s="31">
        <v>0.074</v>
      </c>
      <c r="CU51" s="31">
        <v>0.161</v>
      </c>
      <c r="CV51" s="31"/>
      <c r="CW51" s="31">
        <v>0.066</v>
      </c>
      <c r="CX51" s="31">
        <v>0.058</v>
      </c>
      <c r="CY51" s="31">
        <v>0.084</v>
      </c>
      <c r="CZ51" s="31">
        <v>0.039</v>
      </c>
      <c r="DA51" s="31">
        <v>0.042</v>
      </c>
      <c r="DB51" s="31">
        <v>0.099</v>
      </c>
      <c r="DC51" s="31">
        <v>0.103</v>
      </c>
      <c r="DD51" s="31"/>
      <c r="DE51" s="31"/>
      <c r="DF51" s="31">
        <v>0.312</v>
      </c>
      <c r="DG51" s="31">
        <v>3.025</v>
      </c>
      <c r="DH51" s="31">
        <v>0.082</v>
      </c>
      <c r="DI51" s="31">
        <v>0.222</v>
      </c>
      <c r="DJ51" s="31">
        <v>0.112</v>
      </c>
      <c r="DK51" s="31"/>
      <c r="DL51" s="31"/>
      <c r="DM51" s="31">
        <v>0.063</v>
      </c>
      <c r="DN51" s="31"/>
    </row>
    <row r="52" ht="14.25" customHeight="1">
      <c r="A52" s="31" t="s">
        <v>178</v>
      </c>
      <c r="B52" s="32" t="s">
        <v>179</v>
      </c>
      <c r="C52" s="32"/>
      <c r="D52" s="31">
        <v>0.006</v>
      </c>
      <c r="E52" s="31">
        <v>0.01</v>
      </c>
      <c r="F52" s="31">
        <v>0.008</v>
      </c>
      <c r="G52" s="31">
        <v>0.01</v>
      </c>
      <c r="H52" s="31">
        <v>0.024</v>
      </c>
      <c r="I52" s="31">
        <v>0.004</v>
      </c>
      <c r="J52" s="31">
        <v>0.122</v>
      </c>
      <c r="K52" s="31">
        <v>0.006</v>
      </c>
      <c r="L52" s="31">
        <v>0.012</v>
      </c>
      <c r="M52" s="31">
        <v>0.003</v>
      </c>
      <c r="N52" s="31">
        <v>0.005</v>
      </c>
      <c r="O52" s="31">
        <v>0.006</v>
      </c>
      <c r="P52" s="31">
        <v>0.012</v>
      </c>
      <c r="Q52" s="31">
        <v>0.007</v>
      </c>
      <c r="R52" s="31">
        <v>0.006</v>
      </c>
      <c r="S52" s="31">
        <v>0.013</v>
      </c>
      <c r="T52" s="31">
        <v>0.011</v>
      </c>
      <c r="U52" s="31">
        <v>0.031</v>
      </c>
      <c r="V52" s="31">
        <v>0.031</v>
      </c>
      <c r="W52" s="31">
        <v>0.038</v>
      </c>
      <c r="X52" s="31">
        <v>0.027</v>
      </c>
      <c r="Y52" s="31">
        <v>0.03</v>
      </c>
      <c r="Z52" s="31">
        <v>0.012</v>
      </c>
      <c r="AA52" s="31">
        <v>0.012</v>
      </c>
      <c r="AB52" s="31">
        <v>0.009</v>
      </c>
      <c r="AC52" s="31"/>
      <c r="AD52" s="31">
        <v>0.014</v>
      </c>
      <c r="AE52" s="31">
        <v>0.014</v>
      </c>
      <c r="AF52" s="31">
        <v>0.007</v>
      </c>
      <c r="AG52" s="31">
        <v>0.009</v>
      </c>
      <c r="AH52" s="31">
        <v>0.02</v>
      </c>
      <c r="AI52" s="31">
        <v>0.018</v>
      </c>
      <c r="AJ52" s="31">
        <v>0.02</v>
      </c>
      <c r="AK52" s="31">
        <v>0.026</v>
      </c>
      <c r="AL52" s="31">
        <v>0.023</v>
      </c>
      <c r="AM52" s="31">
        <v>0.038</v>
      </c>
      <c r="AN52" s="31">
        <v>0.043</v>
      </c>
      <c r="AO52" s="31">
        <v>0.013</v>
      </c>
      <c r="AP52" s="31">
        <v>0.014</v>
      </c>
      <c r="AQ52" s="31">
        <v>0.032</v>
      </c>
      <c r="AR52" s="31">
        <v>0.024</v>
      </c>
      <c r="AS52" s="31">
        <v>0.02</v>
      </c>
      <c r="AT52" s="31">
        <v>0.017</v>
      </c>
      <c r="AU52" s="31"/>
      <c r="AV52" s="31">
        <v>0.018</v>
      </c>
      <c r="AW52" s="31">
        <v>0.019</v>
      </c>
      <c r="AX52" s="31">
        <v>0.009</v>
      </c>
      <c r="AY52" s="31">
        <v>0.017</v>
      </c>
      <c r="AZ52" s="31">
        <v>0.013</v>
      </c>
      <c r="BA52" s="31">
        <v>0.018</v>
      </c>
      <c r="BB52" s="31">
        <v>0.011</v>
      </c>
      <c r="BC52" s="31">
        <v>0.018</v>
      </c>
      <c r="BD52" s="31">
        <v>0.009</v>
      </c>
      <c r="BE52" s="31">
        <v>0.011</v>
      </c>
      <c r="BF52" s="31">
        <v>0.008</v>
      </c>
      <c r="BG52" s="31">
        <v>0.011</v>
      </c>
      <c r="BH52" s="31">
        <v>0.009</v>
      </c>
      <c r="BI52" s="31"/>
      <c r="BJ52" s="31">
        <v>0.01</v>
      </c>
      <c r="BK52" s="31">
        <v>0.01</v>
      </c>
      <c r="BL52" s="31">
        <v>0.006</v>
      </c>
      <c r="BM52" s="31">
        <v>0.006</v>
      </c>
      <c r="BN52" s="31">
        <v>0.031</v>
      </c>
      <c r="BO52" s="31">
        <v>0.034</v>
      </c>
      <c r="BP52" s="31">
        <v>0.028</v>
      </c>
      <c r="BQ52" s="31">
        <v>0.053</v>
      </c>
      <c r="BR52" s="31">
        <v>0.055</v>
      </c>
      <c r="BS52" s="31">
        <v>0.039</v>
      </c>
      <c r="BT52" s="31">
        <v>0.016</v>
      </c>
      <c r="BU52" s="31">
        <v>0.016</v>
      </c>
      <c r="BV52" s="31">
        <v>0.035</v>
      </c>
      <c r="BW52" s="31">
        <v>0.032</v>
      </c>
      <c r="BX52" s="31">
        <v>0.005</v>
      </c>
      <c r="BY52" s="31">
        <v>0.007</v>
      </c>
      <c r="BZ52" s="31">
        <v>0.002</v>
      </c>
      <c r="CA52" s="31">
        <v>0.011</v>
      </c>
      <c r="CB52" s="31">
        <v>0.007</v>
      </c>
      <c r="CC52" s="31">
        <v>0.007</v>
      </c>
      <c r="CD52" s="31"/>
      <c r="CE52" s="31">
        <v>0.021</v>
      </c>
      <c r="CF52" s="31">
        <v>0.027</v>
      </c>
      <c r="CG52" s="31">
        <v>0.018</v>
      </c>
      <c r="CH52" s="31">
        <v>0.01</v>
      </c>
      <c r="CI52" s="31">
        <v>0.076</v>
      </c>
      <c r="CJ52" s="31"/>
      <c r="CK52" s="31"/>
      <c r="CL52" s="31"/>
      <c r="CM52" s="31"/>
      <c r="CN52" s="31"/>
      <c r="CO52" s="31"/>
      <c r="CP52" s="31">
        <v>0.011</v>
      </c>
      <c r="CQ52" s="31">
        <v>0.009</v>
      </c>
      <c r="CR52" s="31">
        <v>0.013</v>
      </c>
      <c r="CS52" s="31">
        <v>0.034</v>
      </c>
      <c r="CT52" s="31">
        <v>0.026</v>
      </c>
      <c r="CU52" s="31">
        <v>0.056</v>
      </c>
      <c r="CV52" s="31"/>
      <c r="CW52" s="31">
        <v>0.029</v>
      </c>
      <c r="CX52" s="31">
        <v>0.025</v>
      </c>
      <c r="CY52" s="31">
        <v>0.037</v>
      </c>
      <c r="CZ52" s="31">
        <v>0.01</v>
      </c>
      <c r="DA52" s="31">
        <v>0.01</v>
      </c>
      <c r="DB52" s="31">
        <v>0.019</v>
      </c>
      <c r="DC52" s="31">
        <v>0.02</v>
      </c>
      <c r="DD52" s="31"/>
      <c r="DE52" s="31"/>
      <c r="DF52" s="31">
        <v>0.118</v>
      </c>
      <c r="DG52" s="31">
        <v>1.149</v>
      </c>
      <c r="DH52" s="31">
        <v>0.025</v>
      </c>
      <c r="DI52" s="31">
        <v>0.145</v>
      </c>
      <c r="DJ52" s="31">
        <v>0.063</v>
      </c>
      <c r="DK52" s="31"/>
      <c r="DL52" s="31"/>
      <c r="DM52" s="31">
        <v>0.014</v>
      </c>
      <c r="DN52" s="31"/>
    </row>
    <row r="53" ht="14.25" customHeight="1">
      <c r="A53" s="21" t="s">
        <v>180</v>
      </c>
      <c r="B53" s="22" t="s">
        <v>181</v>
      </c>
      <c r="C53" s="22"/>
      <c r="D53" s="23">
        <v>0.009</v>
      </c>
      <c r="E53" s="23">
        <v>0.015</v>
      </c>
      <c r="F53" s="23">
        <v>0.013</v>
      </c>
      <c r="G53" s="23">
        <v>0.016</v>
      </c>
      <c r="H53" s="23">
        <v>0.029</v>
      </c>
      <c r="I53" s="23">
        <v>0.004</v>
      </c>
      <c r="J53" s="23">
        <v>0.183</v>
      </c>
      <c r="K53" s="23">
        <v>0.004</v>
      </c>
      <c r="L53" s="23">
        <v>0.007</v>
      </c>
      <c r="M53" s="23">
        <v>0.002</v>
      </c>
      <c r="N53" s="23">
        <v>0.004</v>
      </c>
      <c r="O53" s="23">
        <v>0.019</v>
      </c>
      <c r="P53" s="23">
        <v>0.019</v>
      </c>
      <c r="Q53" s="23">
        <v>0.012</v>
      </c>
      <c r="R53" s="23">
        <v>0.02</v>
      </c>
      <c r="S53" s="23">
        <v>0.021</v>
      </c>
      <c r="T53" s="23">
        <v>0.018</v>
      </c>
      <c r="U53" s="23">
        <v>0.024</v>
      </c>
      <c r="V53" s="23">
        <v>0.025</v>
      </c>
      <c r="W53" s="23">
        <v>0.029</v>
      </c>
      <c r="X53" s="23">
        <v>0.022</v>
      </c>
      <c r="Y53" s="23">
        <v>0.024</v>
      </c>
      <c r="Z53" s="23">
        <v>0.011</v>
      </c>
      <c r="AA53" s="23">
        <v>0.011</v>
      </c>
      <c r="AB53" s="23">
        <v>0.008</v>
      </c>
      <c r="AD53" s="23">
        <v>0.012</v>
      </c>
      <c r="AE53" s="23">
        <v>0.013</v>
      </c>
      <c r="AF53" s="23">
        <v>0.013</v>
      </c>
      <c r="AG53" s="23">
        <v>0.017</v>
      </c>
      <c r="AH53" s="23">
        <v>0.017</v>
      </c>
      <c r="AI53" s="23">
        <v>0.015</v>
      </c>
      <c r="AJ53" s="23">
        <v>0.02</v>
      </c>
      <c r="AK53" s="23">
        <v>0.021</v>
      </c>
      <c r="AL53" s="23">
        <v>0.019</v>
      </c>
      <c r="AM53" s="23">
        <v>0.028</v>
      </c>
      <c r="AN53" s="23">
        <v>0.031</v>
      </c>
      <c r="AO53" s="23">
        <v>0.007</v>
      </c>
      <c r="AP53" s="23">
        <v>0.007</v>
      </c>
      <c r="AQ53" s="23">
        <v>0.022</v>
      </c>
      <c r="AR53" s="23">
        <v>0.016</v>
      </c>
      <c r="AS53" s="23">
        <v>0.083</v>
      </c>
      <c r="AT53" s="23">
        <v>0.068</v>
      </c>
      <c r="AV53" s="23">
        <v>0.019</v>
      </c>
      <c r="AW53" s="23">
        <v>0.02</v>
      </c>
      <c r="AX53" s="23">
        <v>0.01</v>
      </c>
      <c r="AY53" s="23">
        <v>0.012</v>
      </c>
      <c r="AZ53" s="23">
        <v>0.01</v>
      </c>
      <c r="BA53" s="23">
        <v>0.013</v>
      </c>
      <c r="BB53" s="23">
        <v>0.008</v>
      </c>
      <c r="BC53" s="23">
        <v>0.012</v>
      </c>
      <c r="BD53" s="23">
        <v>0.007</v>
      </c>
      <c r="BE53" s="23">
        <v>0.003</v>
      </c>
      <c r="BF53" s="23">
        <v>0.002</v>
      </c>
      <c r="BG53" s="23">
        <v>0.006</v>
      </c>
      <c r="BH53" s="23">
        <v>0.004</v>
      </c>
      <c r="BJ53" s="23">
        <v>0.01</v>
      </c>
      <c r="BK53" s="23">
        <v>0.009</v>
      </c>
      <c r="BL53" s="23">
        <v>0.005</v>
      </c>
      <c r="BM53" s="23">
        <v>0.005</v>
      </c>
      <c r="BN53" s="23">
        <v>0.031</v>
      </c>
      <c r="BO53" s="23">
        <v>0.034</v>
      </c>
      <c r="BP53" s="23">
        <v>0.035</v>
      </c>
      <c r="BQ53" s="23">
        <v>0.035</v>
      </c>
      <c r="BR53" s="23">
        <v>0.035</v>
      </c>
      <c r="BS53" s="23">
        <v>0.025</v>
      </c>
      <c r="BT53" s="23">
        <v>0.016</v>
      </c>
      <c r="BU53" s="23">
        <v>0.009</v>
      </c>
      <c r="BX53" s="23">
        <v>0.004</v>
      </c>
      <c r="BY53" s="23">
        <v>0.005</v>
      </c>
      <c r="BZ53" s="23">
        <v>0.004</v>
      </c>
      <c r="CA53" s="23">
        <v>0.024</v>
      </c>
      <c r="CB53" s="23">
        <v>0.016</v>
      </c>
      <c r="CC53" s="23">
        <v>0.015</v>
      </c>
      <c r="CG53" s="23">
        <v>0.025</v>
      </c>
      <c r="CH53" s="23">
        <v>0.014</v>
      </c>
      <c r="CI53" s="23">
        <v>0.065</v>
      </c>
      <c r="CP53" s="23">
        <v>0.005</v>
      </c>
      <c r="CQ53" s="23">
        <v>0.004</v>
      </c>
      <c r="CR53" s="23">
        <v>0.006</v>
      </c>
      <c r="CS53" s="23">
        <v>0.017</v>
      </c>
      <c r="CT53" s="23">
        <v>0.013</v>
      </c>
      <c r="CU53" s="23">
        <v>0.028</v>
      </c>
      <c r="CW53" s="23">
        <v>0.022</v>
      </c>
      <c r="CX53" s="23">
        <v>0.019</v>
      </c>
      <c r="CY53" s="23">
        <v>0.028</v>
      </c>
      <c r="CZ53" s="23">
        <v>0.011</v>
      </c>
      <c r="DA53" s="23">
        <v>0.012</v>
      </c>
      <c r="DF53" s="23">
        <v>0.068</v>
      </c>
      <c r="DG53" s="23">
        <v>0.662</v>
      </c>
      <c r="DH53" s="23">
        <v>0.098</v>
      </c>
      <c r="DI53" s="23">
        <v>0.1</v>
      </c>
      <c r="DJ53" s="23">
        <v>0.028</v>
      </c>
      <c r="DM53" s="23">
        <v>0.01</v>
      </c>
    </row>
    <row r="54" ht="14.25" customHeight="1">
      <c r="A54" s="31" t="s">
        <v>182</v>
      </c>
      <c r="B54" s="33" t="s">
        <v>183</v>
      </c>
      <c r="C54" s="32"/>
      <c r="D54" s="31">
        <v>0.027</v>
      </c>
      <c r="E54" s="31">
        <v>0.03</v>
      </c>
      <c r="F54" s="31">
        <v>0.025</v>
      </c>
      <c r="G54" s="31">
        <v>0.031</v>
      </c>
      <c r="H54" s="31">
        <v>0.075</v>
      </c>
      <c r="I54" s="31">
        <v>0.016</v>
      </c>
      <c r="J54" s="31">
        <v>0.366</v>
      </c>
      <c r="K54" s="31">
        <v>0.019</v>
      </c>
      <c r="L54" s="31">
        <v>0.031</v>
      </c>
      <c r="M54" s="31">
        <v>0.009</v>
      </c>
      <c r="N54" s="31">
        <v>0.017</v>
      </c>
      <c r="O54" s="31">
        <v>0.05</v>
      </c>
      <c r="P54" s="31">
        <v>0.031</v>
      </c>
      <c r="Q54" s="31">
        <v>0.092</v>
      </c>
      <c r="R54" s="31">
        <v>0.053</v>
      </c>
      <c r="S54" s="31">
        <v>0.033</v>
      </c>
      <c r="T54" s="31">
        <v>0.029</v>
      </c>
      <c r="U54" s="31">
        <v>0.08</v>
      </c>
      <c r="V54" s="31">
        <v>0.087</v>
      </c>
      <c r="W54" s="31">
        <v>0.099</v>
      </c>
      <c r="X54" s="31">
        <v>0.076</v>
      </c>
      <c r="Y54" s="31">
        <v>0.083</v>
      </c>
      <c r="Z54" s="31">
        <v>0.032</v>
      </c>
      <c r="AA54" s="31">
        <v>0.032</v>
      </c>
      <c r="AB54" s="31">
        <v>0.023</v>
      </c>
      <c r="AC54" s="31"/>
      <c r="AD54" s="31">
        <v>0.036</v>
      </c>
      <c r="AE54" s="31">
        <v>0.038</v>
      </c>
      <c r="AF54" s="31">
        <v>0.035</v>
      </c>
      <c r="AG54" s="31">
        <v>0.044</v>
      </c>
      <c r="AH54" s="31">
        <v>0.064</v>
      </c>
      <c r="AI54" s="31">
        <v>0.058</v>
      </c>
      <c r="AJ54" s="31">
        <v>0.065</v>
      </c>
      <c r="AK54" s="31">
        <v>0.066</v>
      </c>
      <c r="AL54" s="31">
        <v>0.058</v>
      </c>
      <c r="AM54" s="31">
        <v>0.117</v>
      </c>
      <c r="AN54" s="31">
        <v>0.116</v>
      </c>
      <c r="AO54" s="31">
        <v>0.039</v>
      </c>
      <c r="AP54" s="31">
        <v>0.041</v>
      </c>
      <c r="AQ54" s="31">
        <v>0.098</v>
      </c>
      <c r="AR54" s="31">
        <v>0.074</v>
      </c>
      <c r="AS54" s="31">
        <v>0.061</v>
      </c>
      <c r="AT54" s="31">
        <v>0.05</v>
      </c>
      <c r="AU54" s="31"/>
      <c r="AV54" s="31">
        <v>0.046</v>
      </c>
      <c r="AW54" s="31">
        <v>0.048</v>
      </c>
      <c r="AX54" s="31">
        <v>0.023</v>
      </c>
      <c r="AY54" s="31">
        <v>0.041</v>
      </c>
      <c r="AZ54" s="31">
        <v>0.032</v>
      </c>
      <c r="BA54" s="31">
        <v>0.057</v>
      </c>
      <c r="BB54" s="31">
        <v>0.035</v>
      </c>
      <c r="BC54" s="31">
        <v>0.043</v>
      </c>
      <c r="BD54" s="31">
        <v>0.022</v>
      </c>
      <c r="BE54" s="31">
        <v>0.032</v>
      </c>
      <c r="BF54" s="31">
        <v>0.023</v>
      </c>
      <c r="BG54" s="31">
        <v>0.043</v>
      </c>
      <c r="BH54" s="31">
        <v>0.035</v>
      </c>
      <c r="BI54" s="31"/>
      <c r="BJ54" s="31">
        <v>0.036</v>
      </c>
      <c r="BK54" s="31">
        <v>0.036</v>
      </c>
      <c r="BL54" s="31">
        <v>0.02</v>
      </c>
      <c r="BM54" s="31">
        <v>0.022</v>
      </c>
      <c r="BN54" s="31">
        <v>0.075</v>
      </c>
      <c r="BO54" s="31">
        <v>0.082</v>
      </c>
      <c r="BP54" s="31">
        <v>0.07</v>
      </c>
      <c r="BQ54" s="31">
        <v>0.129</v>
      </c>
      <c r="BR54" s="31">
        <v>0.134</v>
      </c>
      <c r="BS54" s="31">
        <v>0.095</v>
      </c>
      <c r="BT54" s="31">
        <v>0.055</v>
      </c>
      <c r="BU54" s="31">
        <v>0.067</v>
      </c>
      <c r="BV54" s="31">
        <v>0.114</v>
      </c>
      <c r="BW54" s="31">
        <v>0.104</v>
      </c>
      <c r="BX54" s="31">
        <v>0.02</v>
      </c>
      <c r="BY54" s="31">
        <v>0.024</v>
      </c>
      <c r="BZ54" s="31">
        <v>0.025</v>
      </c>
      <c r="CA54" s="31">
        <v>0.035</v>
      </c>
      <c r="CB54" s="31">
        <v>0.023</v>
      </c>
      <c r="CC54" s="31">
        <v>0.021</v>
      </c>
      <c r="CD54" s="31"/>
      <c r="CE54" s="31">
        <v>0.061</v>
      </c>
      <c r="CF54" s="31">
        <v>0.081</v>
      </c>
      <c r="CG54" s="31">
        <v>0.055</v>
      </c>
      <c r="CH54" s="31">
        <v>0.03</v>
      </c>
      <c r="CI54" s="31">
        <v>0.183</v>
      </c>
      <c r="CJ54" s="31"/>
      <c r="CK54" s="31"/>
      <c r="CL54" s="31"/>
      <c r="CM54" s="31"/>
      <c r="CN54" s="31"/>
      <c r="CO54" s="31"/>
      <c r="CP54" s="31">
        <v>0.017</v>
      </c>
      <c r="CQ54" s="31">
        <v>0.014</v>
      </c>
      <c r="CR54" s="31">
        <v>0.02</v>
      </c>
      <c r="CS54" s="31">
        <v>0.092</v>
      </c>
      <c r="CT54" s="31">
        <v>0.07</v>
      </c>
      <c r="CU54" s="31">
        <v>0.152</v>
      </c>
      <c r="CV54" s="31"/>
      <c r="CW54" s="31">
        <v>0.089</v>
      </c>
      <c r="CX54" s="31">
        <v>0.078</v>
      </c>
      <c r="CY54" s="31">
        <v>0.114</v>
      </c>
      <c r="CZ54" s="31">
        <v>0.031</v>
      </c>
      <c r="DA54" s="31">
        <v>0.034</v>
      </c>
      <c r="DB54" s="31">
        <v>0.11</v>
      </c>
      <c r="DC54" s="31">
        <v>0.114</v>
      </c>
      <c r="DD54" s="31"/>
      <c r="DE54" s="31"/>
      <c r="DF54" s="31">
        <v>0.286</v>
      </c>
      <c r="DG54" s="31">
        <v>2.777</v>
      </c>
      <c r="DH54" s="31">
        <v>0.043</v>
      </c>
      <c r="DI54" s="31">
        <v>0.273</v>
      </c>
      <c r="DJ54" s="31">
        <v>0.112</v>
      </c>
      <c r="DK54" s="31"/>
      <c r="DL54" s="31"/>
      <c r="DM54" s="31">
        <v>0.053</v>
      </c>
      <c r="DN54" s="31"/>
    </row>
    <row r="55" ht="14.25" customHeight="1">
      <c r="A55" s="21" t="s">
        <v>184</v>
      </c>
      <c r="C55" s="22"/>
      <c r="D55" s="23">
        <v>0.014</v>
      </c>
      <c r="E55" s="23">
        <v>0.02</v>
      </c>
      <c r="F55" s="23">
        <v>0.017</v>
      </c>
      <c r="G55" s="23">
        <v>0.021</v>
      </c>
      <c r="H55" s="23">
        <v>0.041</v>
      </c>
      <c r="I55" s="23">
        <v>0.01</v>
      </c>
      <c r="J55" s="23">
        <v>0.242</v>
      </c>
      <c r="K55" s="23">
        <v>0.011</v>
      </c>
      <c r="L55" s="23">
        <v>0.002</v>
      </c>
      <c r="M55" s="23">
        <v>0.006</v>
      </c>
      <c r="N55" s="23">
        <v>0.01</v>
      </c>
      <c r="O55" s="23">
        <v>0.009</v>
      </c>
      <c r="P55" s="23">
        <v>0.021</v>
      </c>
      <c r="Q55" s="23">
        <v>0.012</v>
      </c>
      <c r="R55" s="23">
        <v>0.01</v>
      </c>
      <c r="S55" s="23">
        <v>0.022</v>
      </c>
      <c r="T55" s="23">
        <v>0.019</v>
      </c>
      <c r="U55" s="23">
        <v>0.047</v>
      </c>
      <c r="V55" s="23">
        <v>0.073</v>
      </c>
      <c r="W55" s="23">
        <v>0.058</v>
      </c>
      <c r="X55" s="23">
        <v>0.064</v>
      </c>
      <c r="Y55" s="23">
        <v>0.069</v>
      </c>
      <c r="Z55" s="23">
        <v>0.019</v>
      </c>
      <c r="AA55" s="23">
        <v>0.019</v>
      </c>
      <c r="AB55" s="23">
        <v>0.014</v>
      </c>
      <c r="AD55" s="23">
        <v>0.022</v>
      </c>
      <c r="AE55" s="23">
        <v>0.023</v>
      </c>
      <c r="AF55" s="23">
        <v>0.023</v>
      </c>
      <c r="AG55" s="23">
        <v>0.029</v>
      </c>
      <c r="AH55" s="23">
        <v>0.034</v>
      </c>
      <c r="AI55" s="23">
        <v>0.031</v>
      </c>
      <c r="AJ55" s="23">
        <v>0.051</v>
      </c>
      <c r="AK55" s="23">
        <v>0.04</v>
      </c>
      <c r="AL55" s="23">
        <v>0.035</v>
      </c>
      <c r="AM55" s="23">
        <v>0.05</v>
      </c>
      <c r="AN55" s="23">
        <v>0.06</v>
      </c>
      <c r="AS55" s="23">
        <v>0.043</v>
      </c>
      <c r="AT55" s="23">
        <v>0.035</v>
      </c>
      <c r="AV55" s="23">
        <v>0.038</v>
      </c>
      <c r="AW55" s="23">
        <v>0.04</v>
      </c>
      <c r="AX55" s="23">
        <v>0.019</v>
      </c>
      <c r="AY55" s="23">
        <v>0.031</v>
      </c>
      <c r="AZ55" s="23">
        <v>0.024</v>
      </c>
      <c r="BA55" s="23">
        <v>0.049</v>
      </c>
      <c r="BB55" s="23">
        <v>0.03</v>
      </c>
      <c r="BC55" s="23">
        <v>0.032</v>
      </c>
      <c r="BD55" s="23">
        <v>0.017</v>
      </c>
      <c r="BE55" s="23">
        <v>0.042</v>
      </c>
      <c r="BF55" s="23">
        <v>0.03</v>
      </c>
      <c r="BG55" s="23">
        <v>0.027</v>
      </c>
      <c r="BH55" s="23">
        <v>0.022</v>
      </c>
      <c r="BJ55" s="23">
        <v>0.009</v>
      </c>
      <c r="BK55" s="23">
        <v>0.021</v>
      </c>
      <c r="BL55" s="23">
        <v>0.011</v>
      </c>
      <c r="BM55" s="23">
        <v>0.013</v>
      </c>
      <c r="BN55" s="23">
        <v>0.052</v>
      </c>
      <c r="BO55" s="23">
        <v>0.057</v>
      </c>
      <c r="BP55" s="23">
        <v>0.047</v>
      </c>
      <c r="BQ55" s="23">
        <v>0.108</v>
      </c>
      <c r="BR55" s="23">
        <v>0.113</v>
      </c>
      <c r="BS55" s="23">
        <v>0.08</v>
      </c>
      <c r="BT55" s="23">
        <v>0.032</v>
      </c>
      <c r="BU55" s="23">
        <v>0.029</v>
      </c>
      <c r="BV55" s="23">
        <v>0.083</v>
      </c>
      <c r="BW55" s="23">
        <v>0.075</v>
      </c>
      <c r="BX55" s="23">
        <v>0.009</v>
      </c>
      <c r="BY55" s="23">
        <v>0.011</v>
      </c>
      <c r="BZ55" s="23">
        <v>0.014</v>
      </c>
      <c r="CA55" s="23">
        <v>0.034</v>
      </c>
      <c r="CB55" s="23">
        <v>0.022</v>
      </c>
      <c r="CC55" s="23">
        <v>0.02</v>
      </c>
      <c r="CE55" s="23">
        <v>0.055</v>
      </c>
      <c r="CF55" s="23">
        <v>0.072</v>
      </c>
      <c r="CG55" s="23">
        <v>0.041</v>
      </c>
      <c r="CH55" s="23">
        <v>0.022</v>
      </c>
      <c r="CI55" s="23">
        <v>0.081</v>
      </c>
      <c r="CP55" s="23">
        <v>0.013</v>
      </c>
      <c r="CQ55" s="23">
        <v>0.011</v>
      </c>
      <c r="CR55" s="23">
        <v>0.015</v>
      </c>
      <c r="CS55" s="23">
        <v>0.058</v>
      </c>
      <c r="CT55" s="23">
        <v>0.044</v>
      </c>
      <c r="CU55" s="23">
        <v>0.096</v>
      </c>
      <c r="CW55" s="23">
        <v>0.034</v>
      </c>
      <c r="CX55" s="23">
        <v>0.03</v>
      </c>
      <c r="CY55" s="23">
        <v>0.044</v>
      </c>
      <c r="CZ55" s="23">
        <v>0.023</v>
      </c>
      <c r="DA55" s="23">
        <v>0.025</v>
      </c>
      <c r="DF55" s="23">
        <v>0.266</v>
      </c>
      <c r="DG55" s="23">
        <v>2.584</v>
      </c>
      <c r="DH55" s="23">
        <v>0.026</v>
      </c>
      <c r="DI55" s="23">
        <v>0.254</v>
      </c>
      <c r="DJ55" s="23">
        <v>0.049</v>
      </c>
      <c r="DM55" s="23">
        <v>0.04</v>
      </c>
    </row>
    <row r="56" ht="14.25" customHeight="1">
      <c r="A56" s="31" t="s">
        <v>185</v>
      </c>
      <c r="B56" s="32" t="s">
        <v>186</v>
      </c>
      <c r="C56" s="32"/>
      <c r="D56" s="31">
        <v>0.018</v>
      </c>
      <c r="E56" s="31">
        <v>0.03</v>
      </c>
      <c r="F56" s="31">
        <v>0.025</v>
      </c>
      <c r="G56" s="31">
        <v>0.031</v>
      </c>
      <c r="H56" s="31">
        <v>0.075</v>
      </c>
      <c r="I56" s="31">
        <v>0.015</v>
      </c>
      <c r="J56" s="31">
        <v>0.361</v>
      </c>
      <c r="K56" s="31">
        <v>0.022</v>
      </c>
      <c r="L56" s="31">
        <v>0.012</v>
      </c>
      <c r="M56" s="31">
        <v>0.011</v>
      </c>
      <c r="N56" s="31">
        <v>0.02</v>
      </c>
      <c r="O56" s="31">
        <v>0.031</v>
      </c>
      <c r="P56" s="31">
        <v>0.042</v>
      </c>
      <c r="Q56" s="31">
        <v>0.036</v>
      </c>
      <c r="R56" s="31">
        <v>0.032</v>
      </c>
      <c r="S56" s="31">
        <v>0.045</v>
      </c>
      <c r="T56" s="31">
        <v>0.039</v>
      </c>
      <c r="U56" s="31">
        <v>0.101</v>
      </c>
      <c r="V56" s="31">
        <v>0.11</v>
      </c>
      <c r="W56" s="31">
        <v>0.125</v>
      </c>
      <c r="X56" s="31">
        <v>0.096</v>
      </c>
      <c r="Y56" s="31">
        <v>0.105</v>
      </c>
      <c r="Z56" s="31">
        <v>0.042</v>
      </c>
      <c r="AA56" s="31">
        <v>0.042</v>
      </c>
      <c r="AB56" s="31">
        <v>0.03</v>
      </c>
      <c r="AC56" s="31"/>
      <c r="AD56" s="31">
        <v>0.048</v>
      </c>
      <c r="AE56" s="31">
        <v>0.05</v>
      </c>
      <c r="AF56" s="31">
        <v>0.053</v>
      </c>
      <c r="AG56" s="31">
        <v>0.066</v>
      </c>
      <c r="AH56" s="31">
        <v>0.085</v>
      </c>
      <c r="AI56" s="31">
        <v>0.077</v>
      </c>
      <c r="AJ56" s="31">
        <v>0.125</v>
      </c>
      <c r="AK56" s="31">
        <v>0.092</v>
      </c>
      <c r="AL56" s="31">
        <v>0.081</v>
      </c>
      <c r="AM56" s="31">
        <v>0.125</v>
      </c>
      <c r="AN56" s="31">
        <v>0.138</v>
      </c>
      <c r="AO56" s="31">
        <v>0.05</v>
      </c>
      <c r="AP56" s="31">
        <v>0.053</v>
      </c>
      <c r="AQ56" s="31">
        <v>0.155</v>
      </c>
      <c r="AR56" s="31">
        <v>0.117</v>
      </c>
      <c r="AS56" s="31">
        <v>0.069</v>
      </c>
      <c r="AT56" s="31">
        <v>0.056</v>
      </c>
      <c r="AU56" s="31"/>
      <c r="AV56" s="31">
        <v>0.056</v>
      </c>
      <c r="AW56" s="31">
        <v>0.059</v>
      </c>
      <c r="AX56" s="31">
        <v>0.028</v>
      </c>
      <c r="AY56" s="31">
        <v>0.053</v>
      </c>
      <c r="AZ56" s="31">
        <v>0.041</v>
      </c>
      <c r="BA56" s="31">
        <v>0.062</v>
      </c>
      <c r="BB56" s="31">
        <v>0.038</v>
      </c>
      <c r="BC56" s="31">
        <v>0.054</v>
      </c>
      <c r="BD56" s="31">
        <v>0.029</v>
      </c>
      <c r="BE56" s="31">
        <v>0.035</v>
      </c>
      <c r="BF56" s="31">
        <v>0.025</v>
      </c>
      <c r="BG56" s="31">
        <v>0.053</v>
      </c>
      <c r="BH56" s="31">
        <v>0.043</v>
      </c>
      <c r="BI56" s="31"/>
      <c r="BJ56" s="31">
        <v>0.035</v>
      </c>
      <c r="BK56" s="31">
        <v>0.051</v>
      </c>
      <c r="BL56" s="31">
        <v>0.028</v>
      </c>
      <c r="BM56" s="31">
        <v>0.031</v>
      </c>
      <c r="BN56" s="31">
        <v>0.115</v>
      </c>
      <c r="BO56" s="31">
        <v>0.125</v>
      </c>
      <c r="BP56" s="31">
        <v>0.114</v>
      </c>
      <c r="BQ56" s="31">
        <v>0.161</v>
      </c>
      <c r="BR56" s="31">
        <v>0.168</v>
      </c>
      <c r="BS56" s="31">
        <v>0.119</v>
      </c>
      <c r="BT56" s="31">
        <v>0.07</v>
      </c>
      <c r="BU56" s="31">
        <v>0.048</v>
      </c>
      <c r="BV56" s="31">
        <v>0.133</v>
      </c>
      <c r="BW56" s="31">
        <v>0.121</v>
      </c>
      <c r="BX56" s="31">
        <v>0.027</v>
      </c>
      <c r="BY56" s="31">
        <v>0.033</v>
      </c>
      <c r="BZ56" s="31">
        <v>0.021</v>
      </c>
      <c r="CA56" s="31">
        <v>0.031</v>
      </c>
      <c r="CB56" s="31">
        <v>0.021</v>
      </c>
      <c r="CC56" s="31">
        <v>0.019</v>
      </c>
      <c r="CD56" s="31"/>
      <c r="CE56" s="31">
        <v>0.084</v>
      </c>
      <c r="CF56" s="31">
        <v>0.11</v>
      </c>
      <c r="CG56" s="31">
        <v>0.056</v>
      </c>
      <c r="CH56" s="31">
        <v>0.031</v>
      </c>
      <c r="CI56" s="31">
        <v>0.291</v>
      </c>
      <c r="CJ56" s="31"/>
      <c r="CK56" s="31"/>
      <c r="CL56" s="31"/>
      <c r="CM56" s="31"/>
      <c r="CN56" s="31"/>
      <c r="CO56" s="31"/>
      <c r="CP56" s="31">
        <v>0.03</v>
      </c>
      <c r="CQ56" s="31">
        <v>0.023</v>
      </c>
      <c r="CR56" s="31">
        <v>0.034</v>
      </c>
      <c r="CS56" s="31">
        <v>0.102</v>
      </c>
      <c r="CT56" s="31">
        <v>0.078</v>
      </c>
      <c r="CU56" s="31">
        <v>0.168</v>
      </c>
      <c r="CV56" s="31"/>
      <c r="CW56" s="31">
        <v>0.086</v>
      </c>
      <c r="CX56" s="31">
        <v>0.075</v>
      </c>
      <c r="CY56" s="31">
        <v>0.11</v>
      </c>
      <c r="CZ56" s="31">
        <v>0.048</v>
      </c>
      <c r="DA56" s="31">
        <v>0.051</v>
      </c>
      <c r="DB56" s="31">
        <v>0.11</v>
      </c>
      <c r="DC56" s="31">
        <v>0.114</v>
      </c>
      <c r="DD56" s="31"/>
      <c r="DE56" s="31"/>
      <c r="DF56" s="31">
        <v>0.362</v>
      </c>
      <c r="DG56" s="31">
        <v>3.512</v>
      </c>
      <c r="DH56" s="31">
        <v>0.072</v>
      </c>
      <c r="DI56" s="31">
        <v>0.402</v>
      </c>
      <c r="DJ56" s="31">
        <v>0.209</v>
      </c>
      <c r="DK56" s="31"/>
      <c r="DL56" s="31"/>
      <c r="DM56" s="31">
        <v>0.063</v>
      </c>
      <c r="DN56" s="31"/>
    </row>
    <row r="57" ht="14.25" customHeight="1">
      <c r="A57" s="34" t="s">
        <v>187</v>
      </c>
      <c r="B57" s="35"/>
      <c r="C57" s="35"/>
      <c r="D57" s="34">
        <v>0.021</v>
      </c>
      <c r="E57" s="34">
        <v>0.029</v>
      </c>
      <c r="F57" s="34">
        <v>0.024</v>
      </c>
      <c r="G57" s="34">
        <v>0.029</v>
      </c>
      <c r="H57" s="34">
        <v>0.067</v>
      </c>
      <c r="I57" s="34">
        <v>0.015</v>
      </c>
      <c r="J57" s="34">
        <v>0.343</v>
      </c>
      <c r="K57" s="34">
        <v>0.044</v>
      </c>
      <c r="L57" s="34">
        <v>0.031</v>
      </c>
      <c r="M57" s="34">
        <v>0.021</v>
      </c>
      <c r="N57" s="34">
        <v>0.04</v>
      </c>
      <c r="O57" s="34">
        <v>0.036</v>
      </c>
      <c r="P57" s="34">
        <v>0.048</v>
      </c>
      <c r="Q57" s="34">
        <v>0.027</v>
      </c>
      <c r="R57" s="34">
        <v>0.037</v>
      </c>
      <c r="S57" s="34">
        <v>0.052</v>
      </c>
      <c r="T57" s="34">
        <v>0.044</v>
      </c>
      <c r="U57" s="34">
        <v>0.099</v>
      </c>
      <c r="V57" s="34">
        <v>0.09</v>
      </c>
      <c r="W57" s="34">
        <v>0.123</v>
      </c>
      <c r="X57" s="34">
        <v>0.079</v>
      </c>
      <c r="Y57" s="34">
        <v>0.086</v>
      </c>
      <c r="Z57" s="34">
        <v>0.075</v>
      </c>
      <c r="AA57" s="34">
        <v>0.074</v>
      </c>
      <c r="AB57" s="48">
        <v>0.053</v>
      </c>
      <c r="AC57" s="48"/>
      <c r="AD57" s="34">
        <v>0.083</v>
      </c>
      <c r="AE57" s="34">
        <v>0.088</v>
      </c>
      <c r="AF57" s="34">
        <v>0.067</v>
      </c>
      <c r="AG57" s="34">
        <v>0.084</v>
      </c>
      <c r="AH57" s="34">
        <v>0.114</v>
      </c>
      <c r="AI57" s="34">
        <v>0.102</v>
      </c>
      <c r="AJ57" s="34">
        <v>0.086</v>
      </c>
      <c r="AK57" s="34">
        <v>0.089</v>
      </c>
      <c r="AL57" s="34">
        <v>0.078</v>
      </c>
      <c r="AM57" s="34">
        <v>0.191</v>
      </c>
      <c r="AN57" s="34">
        <v>0.2</v>
      </c>
      <c r="AO57" s="34">
        <v>0.105</v>
      </c>
      <c r="AP57" s="34">
        <v>0.111</v>
      </c>
      <c r="AQ57" s="34">
        <v>0.203</v>
      </c>
      <c r="AR57" s="34">
        <v>0.153</v>
      </c>
      <c r="AS57" s="34">
        <v>0.091</v>
      </c>
      <c r="AT57" s="34">
        <v>0.075</v>
      </c>
      <c r="AU57" s="34"/>
      <c r="AV57" s="34">
        <v>0.042</v>
      </c>
      <c r="AW57" s="34">
        <v>0.044</v>
      </c>
      <c r="AX57" s="34">
        <v>0.021</v>
      </c>
      <c r="AY57" s="34">
        <v>0.05</v>
      </c>
      <c r="AZ57" s="34">
        <v>0.038</v>
      </c>
      <c r="BA57" s="34">
        <v>0.081</v>
      </c>
      <c r="BB57" s="34">
        <v>0.049</v>
      </c>
      <c r="BC57" s="34">
        <v>0.051</v>
      </c>
      <c r="BD57" s="34">
        <v>0.027</v>
      </c>
      <c r="BE57" s="34">
        <v>0.054</v>
      </c>
      <c r="BF57" s="34">
        <v>0.039</v>
      </c>
      <c r="BG57" s="34">
        <v>0.057</v>
      </c>
      <c r="BH57" s="34">
        <v>0.046</v>
      </c>
      <c r="BI57" s="34"/>
      <c r="BJ57" s="34">
        <v>0.038</v>
      </c>
      <c r="BK57" s="34">
        <v>0.064</v>
      </c>
      <c r="BL57" s="34">
        <v>0.035</v>
      </c>
      <c r="BM57" s="34">
        <v>0.039</v>
      </c>
      <c r="BN57" s="34">
        <v>0.091</v>
      </c>
      <c r="BO57" s="34">
        <v>0.099</v>
      </c>
      <c r="BP57" s="34">
        <v>0.138</v>
      </c>
      <c r="BQ57" s="34">
        <v>0.162</v>
      </c>
      <c r="BR57" s="34">
        <v>0.168</v>
      </c>
      <c r="BS57" s="34">
        <v>0.119</v>
      </c>
      <c r="BT57" s="34">
        <v>0.071</v>
      </c>
      <c r="BU57" s="34">
        <v>0.041</v>
      </c>
      <c r="BV57" s="34">
        <v>0.108</v>
      </c>
      <c r="BW57" s="34">
        <v>0.098</v>
      </c>
      <c r="BX57" s="34">
        <v>0.02</v>
      </c>
      <c r="BY57" s="34">
        <v>0.024</v>
      </c>
      <c r="BZ57" s="34">
        <v>0.104</v>
      </c>
      <c r="CA57" s="34">
        <v>0.183</v>
      </c>
      <c r="CB57" s="34">
        <v>0.12</v>
      </c>
      <c r="CC57" s="34">
        <v>0.109</v>
      </c>
      <c r="CD57" s="34"/>
      <c r="CE57" s="34">
        <v>0.137</v>
      </c>
      <c r="CF57" s="34">
        <v>0.181</v>
      </c>
      <c r="CG57" s="34">
        <v>0.078</v>
      </c>
      <c r="CH57" s="34">
        <v>0.042</v>
      </c>
      <c r="CI57" s="34">
        <v>0.634</v>
      </c>
      <c r="CJ57" s="34"/>
      <c r="CK57" s="34"/>
      <c r="CL57" s="34"/>
      <c r="CM57" s="34"/>
      <c r="CN57" s="34"/>
      <c r="CO57" s="34"/>
      <c r="CP57" s="34">
        <v>0.024</v>
      </c>
      <c r="CQ57" s="34">
        <v>0.019</v>
      </c>
      <c r="CR57" s="34">
        <v>0.028</v>
      </c>
      <c r="CS57" s="34">
        <v>0.094</v>
      </c>
      <c r="CT57" s="34">
        <v>0.072</v>
      </c>
      <c r="CU57" s="34">
        <v>0.154</v>
      </c>
      <c r="CV57" s="34"/>
      <c r="CW57" s="34">
        <v>0.055</v>
      </c>
      <c r="CX57" s="34">
        <v>0.048</v>
      </c>
      <c r="CY57" s="34">
        <v>0.07</v>
      </c>
      <c r="CZ57" s="34">
        <v>0.148</v>
      </c>
      <c r="DA57" s="34">
        <v>0.159</v>
      </c>
      <c r="DB57" s="34">
        <v>0.117</v>
      </c>
      <c r="DC57" s="34">
        <v>0.122</v>
      </c>
      <c r="DD57" s="34"/>
      <c r="DE57" s="34"/>
      <c r="DF57" s="34">
        <v>0.427</v>
      </c>
      <c r="DG57" s="34">
        <v>4.147</v>
      </c>
      <c r="DH57" s="34">
        <v>0.065</v>
      </c>
      <c r="DI57" s="34">
        <v>0.285</v>
      </c>
      <c r="DJ57" s="34">
        <v>0.092</v>
      </c>
      <c r="DK57" s="34"/>
      <c r="DL57" s="34"/>
      <c r="DM57" s="34">
        <v>0.062</v>
      </c>
      <c r="DN57" s="34"/>
    </row>
    <row r="58" ht="14.25" customHeight="1">
      <c r="A58" s="34" t="s">
        <v>188</v>
      </c>
      <c r="B58" s="35" t="s">
        <v>189</v>
      </c>
      <c r="C58" s="35"/>
      <c r="D58" s="34">
        <v>0.014</v>
      </c>
      <c r="E58" s="34">
        <v>0.018</v>
      </c>
      <c r="F58" s="34">
        <v>0.015</v>
      </c>
      <c r="G58" s="34">
        <v>0.018</v>
      </c>
      <c r="H58" s="34">
        <v>0.036</v>
      </c>
      <c r="I58" s="34">
        <v>0.012</v>
      </c>
      <c r="J58" s="34">
        <v>0.214</v>
      </c>
      <c r="K58" s="34">
        <v>0.01</v>
      </c>
      <c r="L58" s="34">
        <v>0.002</v>
      </c>
      <c r="M58" s="34">
        <v>0.005</v>
      </c>
      <c r="N58" s="34">
        <v>0.009</v>
      </c>
      <c r="O58" s="34">
        <v>0.017</v>
      </c>
      <c r="P58" s="34">
        <v>0.02</v>
      </c>
      <c r="Q58" s="34">
        <v>0.01</v>
      </c>
      <c r="R58" s="34">
        <v>0.017</v>
      </c>
      <c r="S58" s="34">
        <v>0.022</v>
      </c>
      <c r="T58" s="34">
        <v>0.019</v>
      </c>
      <c r="U58" s="34">
        <v>0.034</v>
      </c>
      <c r="V58" s="34">
        <v>0.043</v>
      </c>
      <c r="W58" s="34">
        <v>0.042</v>
      </c>
      <c r="X58" s="34">
        <v>0.038</v>
      </c>
      <c r="Y58" s="34">
        <v>0.041</v>
      </c>
      <c r="Z58" s="34">
        <v>0.022</v>
      </c>
      <c r="AA58" s="34">
        <v>0.022</v>
      </c>
      <c r="AB58" s="48">
        <v>0.016</v>
      </c>
      <c r="AC58" s="48"/>
      <c r="AD58" s="34">
        <v>0.024</v>
      </c>
      <c r="AE58" s="34">
        <v>0.026</v>
      </c>
      <c r="AF58" s="34">
        <v>0.021</v>
      </c>
      <c r="AG58" s="34">
        <v>0.026</v>
      </c>
      <c r="AH58" s="34">
        <v>0.041</v>
      </c>
      <c r="AI58" s="34">
        <v>0.037</v>
      </c>
      <c r="AJ58" s="34">
        <v>0.056</v>
      </c>
      <c r="AK58" s="34">
        <v>0.037</v>
      </c>
      <c r="AL58" s="34">
        <v>0.033</v>
      </c>
      <c r="AM58" s="34">
        <v>0.059</v>
      </c>
      <c r="AN58" s="34">
        <v>0.063</v>
      </c>
      <c r="AO58" s="34">
        <v>0.019</v>
      </c>
      <c r="AP58" s="34">
        <v>0.02</v>
      </c>
      <c r="AQ58" s="34">
        <v>0.076</v>
      </c>
      <c r="AR58" s="34">
        <v>0.057</v>
      </c>
      <c r="AS58" s="34">
        <v>0.04</v>
      </c>
      <c r="AT58" s="34">
        <v>0.033</v>
      </c>
      <c r="AU58" s="34"/>
      <c r="AV58" s="34">
        <v>0.021</v>
      </c>
      <c r="AW58" s="34">
        <v>0.022</v>
      </c>
      <c r="AX58" s="34">
        <v>0.011</v>
      </c>
      <c r="AY58" s="34">
        <v>0.025</v>
      </c>
      <c r="AZ58" s="34">
        <v>0.02</v>
      </c>
      <c r="BA58" s="34">
        <v>0.027</v>
      </c>
      <c r="BB58" s="34">
        <v>0.017</v>
      </c>
      <c r="BC58" s="34">
        <v>0.026</v>
      </c>
      <c r="BD58" s="34">
        <v>0.014</v>
      </c>
      <c r="BE58" s="34">
        <v>0.016</v>
      </c>
      <c r="BF58" s="34">
        <v>0.011</v>
      </c>
      <c r="BG58" s="34">
        <v>0.023</v>
      </c>
      <c r="BH58" s="34">
        <v>0.019</v>
      </c>
      <c r="BI58" s="34"/>
      <c r="BJ58" s="34">
        <v>0.013</v>
      </c>
      <c r="BK58" s="34">
        <v>0.021</v>
      </c>
      <c r="BL58" s="34">
        <v>0.011</v>
      </c>
      <c r="BM58" s="34">
        <v>0.013</v>
      </c>
      <c r="BN58" s="34">
        <v>0.049</v>
      </c>
      <c r="BO58" s="34">
        <v>0.053</v>
      </c>
      <c r="BP58" s="34">
        <v>0.046</v>
      </c>
      <c r="BQ58" s="34">
        <v>0.064</v>
      </c>
      <c r="BR58" s="34">
        <v>0.066</v>
      </c>
      <c r="BS58" s="34">
        <v>0.047</v>
      </c>
      <c r="BT58" s="34">
        <v>0.022</v>
      </c>
      <c r="BU58" s="34">
        <v>0.019</v>
      </c>
      <c r="BV58" s="34">
        <v>0.054</v>
      </c>
      <c r="BW58" s="34">
        <v>0.049</v>
      </c>
      <c r="BX58" s="34">
        <v>0.012</v>
      </c>
      <c r="BY58" s="34">
        <v>0.014</v>
      </c>
      <c r="BZ58" s="34">
        <v>0.014</v>
      </c>
      <c r="CA58" s="34">
        <v>0.022</v>
      </c>
      <c r="CB58" s="34">
        <v>0.015</v>
      </c>
      <c r="CC58" s="34">
        <v>0.013</v>
      </c>
      <c r="CD58" s="34"/>
      <c r="CE58" s="34">
        <v>0.033</v>
      </c>
      <c r="CF58" s="34">
        <v>0.043</v>
      </c>
      <c r="CG58" s="34">
        <v>0.025</v>
      </c>
      <c r="CH58" s="34">
        <v>0.014</v>
      </c>
      <c r="CI58" s="34">
        <v>0.113</v>
      </c>
      <c r="CJ58" s="34"/>
      <c r="CK58" s="34"/>
      <c r="CL58" s="34"/>
      <c r="CM58" s="34"/>
      <c r="CN58" s="34"/>
      <c r="CO58" s="34"/>
      <c r="CP58" s="34">
        <v>0.014</v>
      </c>
      <c r="CQ58" s="34">
        <v>0.011</v>
      </c>
      <c r="CR58" s="34">
        <v>0.016</v>
      </c>
      <c r="CS58" s="34">
        <v>0.036</v>
      </c>
      <c r="CT58" s="34">
        <v>0.028</v>
      </c>
      <c r="CU58" s="34">
        <v>0.06</v>
      </c>
      <c r="CV58" s="34"/>
      <c r="CW58" s="34">
        <v>0.031</v>
      </c>
      <c r="CX58" s="34">
        <v>0.027</v>
      </c>
      <c r="CY58" s="34">
        <v>0.039</v>
      </c>
      <c r="CZ58" s="34">
        <v>0.03</v>
      </c>
      <c r="DA58" s="34">
        <v>0.032</v>
      </c>
      <c r="DB58" s="34">
        <v>0.036</v>
      </c>
      <c r="DC58" s="34">
        <v>0.038</v>
      </c>
      <c r="DD58" s="34"/>
      <c r="DE58" s="34"/>
      <c r="DF58" s="34">
        <v>0.112</v>
      </c>
      <c r="DG58" s="34">
        <v>1.085</v>
      </c>
      <c r="DH58" s="34">
        <v>0.024</v>
      </c>
      <c r="DI58" s="34">
        <v>0.14</v>
      </c>
      <c r="DJ58" s="34">
        <v>0.015</v>
      </c>
      <c r="DK58" s="34"/>
      <c r="DL58" s="34"/>
      <c r="DM58" s="34">
        <v>0.023</v>
      </c>
      <c r="DN58" s="34"/>
    </row>
    <row r="59" ht="14.25" customHeight="1">
      <c r="A59" s="21" t="s">
        <v>190</v>
      </c>
      <c r="B59" s="22"/>
      <c r="C59" s="22"/>
      <c r="D59" s="23">
        <v>0.027</v>
      </c>
      <c r="E59" s="23">
        <v>0.033</v>
      </c>
      <c r="F59" s="23">
        <v>0.028</v>
      </c>
      <c r="G59" s="23">
        <v>0.034</v>
      </c>
      <c r="H59" s="23">
        <v>0.063</v>
      </c>
      <c r="I59" s="23">
        <v>0.024</v>
      </c>
      <c r="J59" s="23">
        <v>0.402</v>
      </c>
      <c r="K59" s="23">
        <v>0.024</v>
      </c>
      <c r="L59" s="23">
        <v>0.031</v>
      </c>
      <c r="M59" s="23">
        <v>0.011</v>
      </c>
      <c r="N59" s="23">
        <v>0.021</v>
      </c>
      <c r="O59" s="23">
        <v>0.026</v>
      </c>
      <c r="P59" s="23">
        <v>0.041</v>
      </c>
      <c r="Q59" s="23">
        <v>0.036</v>
      </c>
      <c r="R59" s="23">
        <v>0.027</v>
      </c>
      <c r="S59" s="23">
        <v>0.044</v>
      </c>
      <c r="T59" s="23">
        <v>0.038</v>
      </c>
      <c r="U59" s="23">
        <v>0.062</v>
      </c>
      <c r="V59" s="23">
        <v>0.06</v>
      </c>
      <c r="W59" s="23">
        <v>0.076</v>
      </c>
      <c r="X59" s="23">
        <v>0.053</v>
      </c>
      <c r="Y59" s="23">
        <v>0.057</v>
      </c>
      <c r="Z59" s="23">
        <v>0.042</v>
      </c>
      <c r="AA59" s="23">
        <v>0.042</v>
      </c>
      <c r="AB59" s="23">
        <v>0.03</v>
      </c>
      <c r="AD59" s="23">
        <v>0.048</v>
      </c>
      <c r="AE59" s="23">
        <v>0.05</v>
      </c>
      <c r="AF59" s="23">
        <v>0.069</v>
      </c>
      <c r="AG59" s="23">
        <v>0.086</v>
      </c>
      <c r="AH59" s="23">
        <v>0.07</v>
      </c>
      <c r="AI59" s="23">
        <v>0.063</v>
      </c>
      <c r="AJ59" s="23">
        <v>0.116</v>
      </c>
      <c r="AK59" s="23">
        <v>0.097</v>
      </c>
      <c r="AL59" s="23">
        <v>0.085</v>
      </c>
      <c r="AM59" s="23">
        <v>0.104</v>
      </c>
      <c r="AN59" s="23">
        <v>0.114</v>
      </c>
      <c r="AS59" s="23">
        <v>0.113</v>
      </c>
      <c r="AT59" s="23">
        <v>0.093</v>
      </c>
      <c r="AV59" s="23">
        <v>0.06</v>
      </c>
      <c r="AW59" s="23">
        <v>0.063</v>
      </c>
      <c r="AX59" s="23">
        <v>0.03</v>
      </c>
      <c r="AY59" s="23">
        <v>0.062</v>
      </c>
      <c r="AZ59" s="23">
        <v>0.048</v>
      </c>
      <c r="BA59" s="23">
        <v>0.061</v>
      </c>
      <c r="BB59" s="23">
        <v>0.037</v>
      </c>
      <c r="BC59" s="23">
        <v>0.063</v>
      </c>
      <c r="BD59" s="23">
        <v>0.033</v>
      </c>
      <c r="BE59" s="23">
        <v>0.028</v>
      </c>
      <c r="BF59" s="23">
        <v>0.02</v>
      </c>
      <c r="BG59" s="23">
        <v>0.051</v>
      </c>
      <c r="BH59" s="23">
        <v>0.042</v>
      </c>
      <c r="BJ59" s="23">
        <v>0.026</v>
      </c>
      <c r="BK59" s="23">
        <v>0.034</v>
      </c>
      <c r="BL59" s="23">
        <v>0.019</v>
      </c>
      <c r="BM59" s="23">
        <v>0.021</v>
      </c>
      <c r="BN59" s="23">
        <v>0.115</v>
      </c>
      <c r="BO59" s="23">
        <v>0.125</v>
      </c>
      <c r="BP59" s="23">
        <v>0.139</v>
      </c>
      <c r="BQ59" s="23">
        <v>0.142</v>
      </c>
      <c r="BR59" s="23">
        <v>0.147</v>
      </c>
      <c r="BS59" s="23">
        <v>0.104</v>
      </c>
      <c r="BT59" s="23">
        <v>0.056</v>
      </c>
      <c r="BU59" s="23">
        <v>0.051</v>
      </c>
      <c r="BV59" s="23">
        <v>0.132</v>
      </c>
      <c r="BW59" s="23">
        <v>0.121</v>
      </c>
      <c r="BX59" s="23">
        <v>0.023</v>
      </c>
      <c r="BY59" s="23">
        <v>0.027</v>
      </c>
      <c r="BZ59" s="23">
        <v>0.021</v>
      </c>
      <c r="CA59" s="23">
        <v>0.038</v>
      </c>
      <c r="CB59" s="23">
        <v>0.025</v>
      </c>
      <c r="CC59" s="23">
        <v>0.023</v>
      </c>
      <c r="CE59" s="23">
        <v>0.086</v>
      </c>
      <c r="CF59" s="23">
        <v>0.113</v>
      </c>
      <c r="CG59" s="23">
        <v>0.074</v>
      </c>
      <c r="CH59" s="23">
        <v>0.04</v>
      </c>
      <c r="CI59" s="23">
        <v>0.132</v>
      </c>
      <c r="CP59" s="23">
        <v>0.035</v>
      </c>
      <c r="CQ59" s="23">
        <v>0.027</v>
      </c>
      <c r="CR59" s="23">
        <v>0.04</v>
      </c>
      <c r="CS59" s="23">
        <v>0.103</v>
      </c>
      <c r="CT59" s="23">
        <v>0.078</v>
      </c>
      <c r="CU59" s="23">
        <v>0.169</v>
      </c>
      <c r="CW59" s="23">
        <v>0.077</v>
      </c>
      <c r="CX59" s="23">
        <v>0.067</v>
      </c>
      <c r="CY59" s="23">
        <v>0.099</v>
      </c>
      <c r="CZ59" s="23">
        <v>0.033</v>
      </c>
      <c r="DA59" s="23">
        <v>0.035</v>
      </c>
      <c r="DF59" s="23">
        <v>0.465</v>
      </c>
      <c r="DG59" s="23">
        <v>4.515</v>
      </c>
      <c r="DH59" s="23">
        <v>0.122</v>
      </c>
      <c r="DI59" s="23">
        <v>0.651</v>
      </c>
      <c r="DJ59" s="23">
        <v>0.136</v>
      </c>
      <c r="DM59" s="23">
        <v>0.062</v>
      </c>
    </row>
    <row r="60" ht="14.25" customHeight="1">
      <c r="A60" s="21" t="s">
        <v>191</v>
      </c>
      <c r="B60" s="22"/>
      <c r="C60" s="22"/>
      <c r="D60" s="23">
        <v>0.135</v>
      </c>
      <c r="E60" s="23">
        <v>0.161</v>
      </c>
      <c r="F60" s="23">
        <v>0.135</v>
      </c>
      <c r="G60" s="23">
        <v>0.166</v>
      </c>
      <c r="H60" s="23">
        <v>0.174</v>
      </c>
      <c r="I60" s="23">
        <v>0.095</v>
      </c>
      <c r="J60" s="23">
        <v>1.957</v>
      </c>
      <c r="K60" s="23">
        <v>0.041</v>
      </c>
      <c r="L60" s="23">
        <v>0.037</v>
      </c>
      <c r="M60" s="23">
        <v>0.02</v>
      </c>
      <c r="N60" s="23">
        <v>0.037</v>
      </c>
      <c r="O60" s="23">
        <v>0.284</v>
      </c>
      <c r="P60" s="23">
        <v>0.143</v>
      </c>
      <c r="Q60" s="23">
        <v>0.208</v>
      </c>
      <c r="R60" s="23">
        <v>0.298</v>
      </c>
      <c r="S60" s="23">
        <v>0.154</v>
      </c>
      <c r="T60" s="23">
        <v>0.132</v>
      </c>
      <c r="U60" s="23">
        <v>0.472</v>
      </c>
      <c r="V60" s="23">
        <v>0.479</v>
      </c>
      <c r="W60" s="23">
        <v>0.583</v>
      </c>
      <c r="X60" s="23">
        <v>0.419</v>
      </c>
      <c r="Y60" s="23">
        <v>0.457</v>
      </c>
      <c r="Z60" s="23">
        <v>0.122</v>
      </c>
      <c r="AA60" s="23">
        <v>0.121</v>
      </c>
      <c r="AB60" s="23">
        <v>0.087</v>
      </c>
      <c r="AD60" s="23">
        <v>0.136</v>
      </c>
      <c r="AE60" s="23">
        <v>0.144</v>
      </c>
      <c r="AF60" s="23">
        <v>0.086</v>
      </c>
      <c r="AG60" s="23">
        <v>0.108</v>
      </c>
      <c r="AH60" s="23">
        <v>0.197</v>
      </c>
      <c r="AI60" s="23">
        <v>0.177</v>
      </c>
      <c r="AJ60" s="23">
        <v>0.177</v>
      </c>
      <c r="AK60" s="23">
        <v>0.216</v>
      </c>
      <c r="AL60" s="23">
        <v>0.189</v>
      </c>
      <c r="AM60" s="23">
        <v>0.325</v>
      </c>
      <c r="AN60" s="23">
        <v>0.329</v>
      </c>
      <c r="AS60" s="23">
        <v>0.19</v>
      </c>
      <c r="AT60" s="23">
        <v>0.156</v>
      </c>
      <c r="AV60" s="23">
        <v>0.116</v>
      </c>
      <c r="AW60" s="23">
        <v>0.121</v>
      </c>
      <c r="AX60" s="23">
        <v>0.057</v>
      </c>
      <c r="AY60" s="23">
        <v>0.144</v>
      </c>
      <c r="AZ60" s="23">
        <v>0.111</v>
      </c>
      <c r="BA60" s="23">
        <v>0.156</v>
      </c>
      <c r="BB60" s="23">
        <v>0.095</v>
      </c>
      <c r="BC60" s="23">
        <v>0.147</v>
      </c>
      <c r="BD60" s="23">
        <v>0.078</v>
      </c>
      <c r="BE60" s="23">
        <v>0.102</v>
      </c>
      <c r="BF60" s="23">
        <v>0.074</v>
      </c>
      <c r="BG60" s="23">
        <v>0.164</v>
      </c>
      <c r="BH60" s="23">
        <v>0.134</v>
      </c>
      <c r="BJ60" s="23">
        <v>0.064</v>
      </c>
      <c r="BK60" s="23">
        <v>0.075</v>
      </c>
      <c r="BL60" s="23">
        <v>0.041</v>
      </c>
      <c r="BM60" s="23">
        <v>0.046</v>
      </c>
      <c r="BN60" s="23">
        <v>0.508</v>
      </c>
      <c r="BO60" s="23">
        <v>0.555</v>
      </c>
      <c r="BP60" s="23">
        <v>0.342</v>
      </c>
      <c r="BQ60" s="23">
        <v>0.24</v>
      </c>
      <c r="BR60" s="23">
        <v>0.25</v>
      </c>
      <c r="BS60" s="23">
        <v>0.177</v>
      </c>
      <c r="BT60" s="23">
        <v>0.142</v>
      </c>
      <c r="BU60" s="23">
        <v>0.14</v>
      </c>
      <c r="BV60" s="23">
        <v>0.181</v>
      </c>
      <c r="BW60" s="23">
        <v>0.166</v>
      </c>
      <c r="BX60" s="23">
        <v>0.117</v>
      </c>
      <c r="BY60" s="23">
        <v>0.141</v>
      </c>
      <c r="BZ60" s="23">
        <v>0.091</v>
      </c>
      <c r="CA60" s="23">
        <v>0.074</v>
      </c>
      <c r="CB60" s="23">
        <v>0.049</v>
      </c>
      <c r="CC60" s="23">
        <v>0.044</v>
      </c>
      <c r="CE60" s="23">
        <v>0.176</v>
      </c>
      <c r="CF60" s="23">
        <v>0.231</v>
      </c>
      <c r="CG60" s="23">
        <v>0.14</v>
      </c>
      <c r="CH60" s="23">
        <v>0.076</v>
      </c>
      <c r="CI60" s="23">
        <v>0.489</v>
      </c>
      <c r="CP60" s="23">
        <v>0.063</v>
      </c>
      <c r="CQ60" s="23">
        <v>0.05</v>
      </c>
      <c r="CR60" s="23">
        <v>0.073</v>
      </c>
      <c r="CS60" s="23">
        <v>0.158</v>
      </c>
      <c r="CT60" s="23">
        <v>0.121</v>
      </c>
      <c r="CU60" s="23">
        <v>0.26</v>
      </c>
      <c r="CW60" s="23">
        <v>0.382</v>
      </c>
      <c r="CX60" s="23">
        <v>0.335</v>
      </c>
      <c r="CY60" s="23">
        <v>0.488</v>
      </c>
      <c r="CZ60" s="23">
        <v>0.087</v>
      </c>
      <c r="DA60" s="23">
        <v>0.094</v>
      </c>
      <c r="DF60" s="23">
        <v>0.597</v>
      </c>
      <c r="DG60" s="23">
        <v>5.793</v>
      </c>
      <c r="DH60" s="23">
        <v>0.125</v>
      </c>
      <c r="DI60" s="23">
        <v>0.567</v>
      </c>
      <c r="DJ60" s="23">
        <v>0.179</v>
      </c>
      <c r="DM60" s="23">
        <v>0.13</v>
      </c>
    </row>
    <row r="61" ht="14.25" customHeight="1">
      <c r="A61" s="21" t="s">
        <v>192</v>
      </c>
      <c r="B61" s="22"/>
      <c r="C61" s="22"/>
      <c r="D61" s="23">
        <v>0.431</v>
      </c>
      <c r="E61" s="23">
        <v>0.427</v>
      </c>
      <c r="F61" s="23">
        <v>0.359</v>
      </c>
      <c r="G61" s="23">
        <v>0.442</v>
      </c>
      <c r="H61" s="23">
        <v>0.643</v>
      </c>
      <c r="I61" s="23">
        <v>0.303</v>
      </c>
      <c r="J61" s="23">
        <v>5.202</v>
      </c>
      <c r="K61" s="23">
        <v>0.196</v>
      </c>
      <c r="L61" s="23">
        <v>0.204</v>
      </c>
      <c r="M61" s="23">
        <v>0.095</v>
      </c>
      <c r="N61" s="23">
        <v>0.177</v>
      </c>
      <c r="O61" s="23">
        <v>0.211</v>
      </c>
      <c r="P61" s="23">
        <v>0.132</v>
      </c>
      <c r="Q61" s="23">
        <v>0.194</v>
      </c>
      <c r="R61" s="23">
        <v>0.221</v>
      </c>
      <c r="S61" s="23">
        <v>0.142</v>
      </c>
      <c r="T61" s="23">
        <v>0.122</v>
      </c>
      <c r="U61" s="23">
        <v>0.345</v>
      </c>
      <c r="V61" s="23">
        <v>0.328</v>
      </c>
      <c r="W61" s="23">
        <v>0.427</v>
      </c>
      <c r="X61" s="23">
        <v>0.287</v>
      </c>
      <c r="Y61" s="23">
        <v>0.314</v>
      </c>
      <c r="Z61" s="23">
        <v>0.294</v>
      </c>
      <c r="AA61" s="23">
        <v>0.292</v>
      </c>
      <c r="AB61" s="23">
        <v>0.209</v>
      </c>
      <c r="AD61" s="23">
        <v>0.329</v>
      </c>
      <c r="AE61" s="23">
        <v>0.346</v>
      </c>
      <c r="AF61" s="23">
        <v>0.288</v>
      </c>
      <c r="AG61" s="23">
        <v>0.36</v>
      </c>
      <c r="AH61" s="23">
        <v>0.445</v>
      </c>
      <c r="AI61" s="23">
        <v>0.4</v>
      </c>
      <c r="AJ61" s="23">
        <v>0.257</v>
      </c>
      <c r="AK61" s="23">
        <v>0.245</v>
      </c>
      <c r="AL61" s="23">
        <v>0.215</v>
      </c>
      <c r="AM61" s="23">
        <v>0.542</v>
      </c>
      <c r="AN61" s="23">
        <v>0.549</v>
      </c>
      <c r="AS61" s="23">
        <v>0.366</v>
      </c>
      <c r="AT61" s="23">
        <v>0.301</v>
      </c>
      <c r="AV61" s="23">
        <v>0.428</v>
      </c>
      <c r="AW61" s="23">
        <v>0.446</v>
      </c>
      <c r="AX61" s="23">
        <v>0.212</v>
      </c>
      <c r="AY61" s="23">
        <v>0.126</v>
      </c>
      <c r="AZ61" s="23">
        <v>0.097</v>
      </c>
      <c r="BA61" s="23">
        <v>0.254</v>
      </c>
      <c r="BB61" s="23">
        <v>0.155</v>
      </c>
      <c r="BC61" s="23">
        <v>0.129</v>
      </c>
      <c r="BD61" s="23">
        <v>0.068</v>
      </c>
      <c r="BE61" s="23">
        <v>0.184</v>
      </c>
      <c r="BF61" s="23">
        <v>0.133</v>
      </c>
      <c r="BG61" s="23">
        <v>0.186</v>
      </c>
      <c r="BH61" s="23">
        <v>0.152</v>
      </c>
      <c r="BJ61" s="23">
        <v>0.157</v>
      </c>
      <c r="BK61" s="23">
        <v>0.208</v>
      </c>
      <c r="BL61" s="23">
        <v>0.113</v>
      </c>
      <c r="BM61" s="23">
        <v>0.126</v>
      </c>
      <c r="BN61" s="23">
        <v>0.233</v>
      </c>
      <c r="BO61" s="23">
        <v>0.255</v>
      </c>
      <c r="BP61" s="23">
        <v>0.483</v>
      </c>
      <c r="BQ61" s="23">
        <v>0.343</v>
      </c>
      <c r="BR61" s="23">
        <v>0.357</v>
      </c>
      <c r="BS61" s="23">
        <v>0.253</v>
      </c>
      <c r="BT61" s="23">
        <v>0.182</v>
      </c>
      <c r="BU61" s="23">
        <v>0.155</v>
      </c>
      <c r="BV61" s="23">
        <v>0.216</v>
      </c>
      <c r="BW61" s="23">
        <v>0.197</v>
      </c>
      <c r="BX61" s="23">
        <v>0.09</v>
      </c>
      <c r="BY61" s="23">
        <v>0.107</v>
      </c>
      <c r="BZ61" s="23">
        <v>0.258</v>
      </c>
      <c r="CA61" s="23">
        <v>0.22</v>
      </c>
      <c r="CB61" s="23">
        <v>0.144</v>
      </c>
      <c r="CC61" s="23">
        <v>0.131</v>
      </c>
      <c r="CE61" s="23">
        <v>0.393</v>
      </c>
      <c r="CF61" s="23">
        <v>0.517</v>
      </c>
      <c r="CG61" s="23">
        <v>0.226</v>
      </c>
      <c r="CH61" s="23">
        <v>0.123</v>
      </c>
      <c r="CI61" s="23">
        <v>0.805</v>
      </c>
      <c r="CP61" s="23">
        <v>0.13</v>
      </c>
      <c r="CQ61" s="23">
        <v>0.102</v>
      </c>
      <c r="CR61" s="23">
        <v>0.149</v>
      </c>
      <c r="CS61" s="23">
        <v>0.204</v>
      </c>
      <c r="CT61" s="23">
        <v>0.156</v>
      </c>
      <c r="CU61" s="23">
        <v>0.337</v>
      </c>
      <c r="CW61" s="23">
        <v>0.155</v>
      </c>
      <c r="CX61" s="23">
        <v>0.135</v>
      </c>
      <c r="CY61" s="23">
        <v>0.198</v>
      </c>
      <c r="CZ61" s="23">
        <v>0.142</v>
      </c>
      <c r="DA61" s="23">
        <v>0.152</v>
      </c>
      <c r="DF61" s="23">
        <v>0.864</v>
      </c>
      <c r="DG61" s="23">
        <v>8.386</v>
      </c>
      <c r="DH61" s="23">
        <v>0.268</v>
      </c>
      <c r="DI61" s="23">
        <v>0.547</v>
      </c>
      <c r="DJ61" s="23">
        <v>0.199</v>
      </c>
      <c r="DM61" s="23">
        <v>0.166</v>
      </c>
    </row>
    <row r="62" ht="14.25" customHeight="1">
      <c r="A62" s="21" t="s">
        <v>193</v>
      </c>
      <c r="B62" s="22"/>
      <c r="C62" s="22"/>
      <c r="D62" s="23">
        <v>0.019</v>
      </c>
      <c r="E62" s="23">
        <v>0.029</v>
      </c>
      <c r="F62" s="23">
        <v>0.024</v>
      </c>
      <c r="G62" s="23">
        <v>0.03</v>
      </c>
      <c r="H62" s="23">
        <v>0.063</v>
      </c>
      <c r="I62" s="23">
        <v>0.012</v>
      </c>
      <c r="J62" s="23">
        <v>0.348</v>
      </c>
      <c r="K62" s="23">
        <v>0.024</v>
      </c>
      <c r="L62" s="23">
        <v>0.025</v>
      </c>
      <c r="M62" s="23">
        <v>0.012</v>
      </c>
      <c r="N62" s="23">
        <v>0.022</v>
      </c>
      <c r="O62" s="23">
        <v>0.028</v>
      </c>
      <c r="P62" s="23">
        <v>0.037</v>
      </c>
      <c r="Q62" s="23">
        <v>0.03</v>
      </c>
      <c r="R62" s="23">
        <v>0.03</v>
      </c>
      <c r="S62" s="23">
        <v>0.04</v>
      </c>
      <c r="T62" s="23">
        <v>0.034</v>
      </c>
      <c r="U62" s="23">
        <v>0.056</v>
      </c>
      <c r="V62" s="23">
        <v>0.058</v>
      </c>
      <c r="W62" s="23">
        <v>0.069</v>
      </c>
      <c r="X62" s="23">
        <v>0.051</v>
      </c>
      <c r="Y62" s="23">
        <v>0.056</v>
      </c>
      <c r="Z62" s="23">
        <v>0.03</v>
      </c>
      <c r="AA62" s="23">
        <v>0.03</v>
      </c>
      <c r="AB62" s="23">
        <v>0.021</v>
      </c>
      <c r="AD62" s="23">
        <v>0.034</v>
      </c>
      <c r="AE62" s="23">
        <v>0.036</v>
      </c>
      <c r="AF62" s="23">
        <v>0.035</v>
      </c>
      <c r="AG62" s="23">
        <v>0.043</v>
      </c>
      <c r="AH62" s="23">
        <v>0.044</v>
      </c>
      <c r="AI62" s="23">
        <v>0.04</v>
      </c>
      <c r="AJ62" s="23">
        <v>0.071</v>
      </c>
      <c r="AK62" s="23">
        <v>0.059</v>
      </c>
      <c r="AL62" s="23">
        <v>0.052</v>
      </c>
      <c r="AM62" s="23">
        <v>0.089</v>
      </c>
      <c r="AN62" s="23">
        <v>0.101</v>
      </c>
      <c r="AS62" s="23">
        <v>0.047</v>
      </c>
      <c r="AT62" s="23">
        <v>0.038</v>
      </c>
      <c r="AV62" s="23">
        <v>0.031</v>
      </c>
      <c r="AW62" s="23">
        <v>0.033</v>
      </c>
      <c r="AX62" s="23">
        <v>0.015</v>
      </c>
      <c r="AY62" s="23">
        <v>0.044</v>
      </c>
      <c r="AZ62" s="23">
        <v>0.034</v>
      </c>
      <c r="BA62" s="23">
        <v>0.053</v>
      </c>
      <c r="BB62" s="23">
        <v>0.033</v>
      </c>
      <c r="BC62" s="23">
        <v>0.046</v>
      </c>
      <c r="BD62" s="23">
        <v>0.024</v>
      </c>
      <c r="BE62" s="23">
        <v>0.027</v>
      </c>
      <c r="BF62" s="23">
        <v>0.019</v>
      </c>
      <c r="BG62" s="23">
        <v>0.041</v>
      </c>
      <c r="BH62" s="23">
        <v>0.033</v>
      </c>
      <c r="BJ62" s="23">
        <v>0.026</v>
      </c>
      <c r="BK62" s="23">
        <v>0.034</v>
      </c>
      <c r="BL62" s="23">
        <v>0.019</v>
      </c>
      <c r="BM62" s="23">
        <v>0.021</v>
      </c>
      <c r="BN62" s="23">
        <v>0.093</v>
      </c>
      <c r="BO62" s="23">
        <v>0.101</v>
      </c>
      <c r="BP62" s="23">
        <v>0.096</v>
      </c>
      <c r="BQ62" s="23">
        <v>0.134</v>
      </c>
      <c r="BR62" s="23">
        <v>0.14</v>
      </c>
      <c r="BS62" s="23">
        <v>0.099</v>
      </c>
      <c r="BT62" s="23">
        <v>0.057</v>
      </c>
      <c r="BU62" s="23">
        <v>0.048</v>
      </c>
      <c r="BV62" s="23">
        <v>0.114</v>
      </c>
      <c r="BW62" s="23">
        <v>0.104</v>
      </c>
      <c r="BX62" s="23">
        <v>0.021</v>
      </c>
      <c r="BY62" s="23">
        <v>0.026</v>
      </c>
      <c r="BZ62" s="23">
        <v>0.025</v>
      </c>
      <c r="CA62" s="23">
        <v>0.057</v>
      </c>
      <c r="CB62" s="23">
        <v>0.037</v>
      </c>
      <c r="CC62" s="23">
        <v>0.034</v>
      </c>
      <c r="CE62" s="23">
        <v>0.094</v>
      </c>
      <c r="CF62" s="23">
        <v>0.124</v>
      </c>
      <c r="CG62" s="23">
        <v>0.069</v>
      </c>
      <c r="CH62" s="23">
        <v>0.037</v>
      </c>
      <c r="CI62" s="23">
        <v>0.2</v>
      </c>
      <c r="CP62" s="23">
        <v>0.025</v>
      </c>
      <c r="CQ62" s="23">
        <v>0.019</v>
      </c>
      <c r="CR62" s="23">
        <v>0.029</v>
      </c>
      <c r="CS62" s="23">
        <v>0.09</v>
      </c>
      <c r="CT62" s="23">
        <v>0.069</v>
      </c>
      <c r="CU62" s="23">
        <v>0.148</v>
      </c>
      <c r="CW62" s="23">
        <v>0.063</v>
      </c>
      <c r="CX62" s="23">
        <v>0.055</v>
      </c>
      <c r="CY62" s="23">
        <v>0.081</v>
      </c>
      <c r="CZ62" s="23">
        <v>0.027</v>
      </c>
      <c r="DA62" s="23">
        <v>0.03</v>
      </c>
      <c r="DF62" s="23">
        <v>0.319</v>
      </c>
      <c r="DG62" s="23">
        <v>3.099</v>
      </c>
      <c r="DH62" s="23">
        <v>0.1</v>
      </c>
      <c r="DI62" s="23">
        <v>0.363</v>
      </c>
      <c r="DJ62" s="23">
        <v>0.112</v>
      </c>
      <c r="DM62" s="23">
        <v>0.058</v>
      </c>
    </row>
    <row r="63" ht="14.25" customHeight="1">
      <c r="A63" s="21" t="s">
        <v>194</v>
      </c>
      <c r="B63" s="22"/>
      <c r="C63" s="22"/>
      <c r="D63" s="23">
        <v>0.015</v>
      </c>
      <c r="E63" s="23">
        <v>0.022</v>
      </c>
      <c r="F63" s="23">
        <v>0.018</v>
      </c>
      <c r="G63" s="23">
        <v>0.023</v>
      </c>
      <c r="H63" s="23">
        <v>0.13</v>
      </c>
      <c r="I63" s="23">
        <v>0.017</v>
      </c>
      <c r="J63" s="23">
        <v>0.266</v>
      </c>
      <c r="K63" s="23">
        <v>0.015</v>
      </c>
      <c r="L63" s="23">
        <v>0.012</v>
      </c>
      <c r="M63" s="23">
        <v>0.008</v>
      </c>
      <c r="N63" s="23">
        <v>0.014</v>
      </c>
      <c r="O63" s="23">
        <v>0.024</v>
      </c>
      <c r="P63" s="23">
        <v>0.044</v>
      </c>
      <c r="Q63" s="23">
        <v>0.024</v>
      </c>
      <c r="R63" s="23">
        <v>0.025</v>
      </c>
      <c r="S63" s="23">
        <v>0.047</v>
      </c>
      <c r="T63" s="23">
        <v>0.04</v>
      </c>
      <c r="U63" s="23">
        <v>0.062</v>
      </c>
      <c r="V63" s="23">
        <v>0.07</v>
      </c>
      <c r="W63" s="23">
        <v>0.076</v>
      </c>
      <c r="X63" s="23">
        <v>0.062</v>
      </c>
      <c r="Y63" s="23">
        <v>0.067</v>
      </c>
      <c r="Z63" s="23">
        <v>0.048</v>
      </c>
      <c r="AA63" s="23">
        <v>0.048</v>
      </c>
      <c r="AB63" s="23">
        <v>0.034</v>
      </c>
      <c r="AD63" s="23">
        <v>0.054</v>
      </c>
      <c r="AE63" s="23">
        <v>0.056</v>
      </c>
      <c r="AF63" s="23">
        <v>0.025</v>
      </c>
      <c r="AG63" s="23">
        <v>0.031</v>
      </c>
      <c r="AH63" s="23">
        <v>0.393</v>
      </c>
      <c r="AI63" s="23">
        <v>0.353</v>
      </c>
      <c r="AJ63" s="23">
        <v>0.071</v>
      </c>
      <c r="AK63" s="23">
        <v>0.079</v>
      </c>
      <c r="AL63" s="23">
        <v>0.07</v>
      </c>
      <c r="AM63" s="23">
        <v>0.11</v>
      </c>
      <c r="AN63" s="23">
        <v>0.111</v>
      </c>
      <c r="AS63" s="23">
        <v>0.054</v>
      </c>
      <c r="AT63" s="23">
        <v>0.044</v>
      </c>
      <c r="AV63" s="23">
        <v>0.042</v>
      </c>
      <c r="AW63" s="23">
        <v>0.043</v>
      </c>
      <c r="AX63" s="23">
        <v>0.021</v>
      </c>
      <c r="AY63" s="23">
        <v>0.037</v>
      </c>
      <c r="AZ63" s="23">
        <v>0.028</v>
      </c>
      <c r="BA63" s="23">
        <v>0.052</v>
      </c>
      <c r="BB63" s="23">
        <v>0.032</v>
      </c>
      <c r="BC63" s="23">
        <v>0.037</v>
      </c>
      <c r="BD63" s="23">
        <v>0.02</v>
      </c>
      <c r="BE63" s="23">
        <v>0.026</v>
      </c>
      <c r="BF63" s="23">
        <v>0.019</v>
      </c>
      <c r="BG63" s="23">
        <v>0.043</v>
      </c>
      <c r="BH63" s="23">
        <v>0.034</v>
      </c>
      <c r="BJ63" s="23">
        <v>0.022</v>
      </c>
      <c r="BK63" s="23">
        <v>0.028</v>
      </c>
      <c r="BL63" s="23">
        <v>0.015</v>
      </c>
      <c r="BM63" s="23">
        <v>0.017</v>
      </c>
      <c r="BN63" s="23">
        <v>0.071</v>
      </c>
      <c r="BO63" s="23">
        <v>0.077</v>
      </c>
      <c r="BP63" s="23">
        <v>0.157</v>
      </c>
      <c r="BQ63" s="23">
        <v>0.112</v>
      </c>
      <c r="BR63" s="23">
        <v>0.116</v>
      </c>
      <c r="BS63" s="23">
        <v>0.082</v>
      </c>
      <c r="BT63" s="23">
        <v>0.048</v>
      </c>
      <c r="BU63" s="23">
        <v>0.038</v>
      </c>
      <c r="BV63" s="23">
        <v>0.116</v>
      </c>
      <c r="BW63" s="23">
        <v>0.106</v>
      </c>
      <c r="BX63" s="23">
        <v>0.018</v>
      </c>
      <c r="BY63" s="23">
        <v>0.022</v>
      </c>
      <c r="BZ63" s="23">
        <v>0.012</v>
      </c>
      <c r="CA63" s="23">
        <v>0.042</v>
      </c>
      <c r="CB63" s="23">
        <v>0.028</v>
      </c>
      <c r="CC63" s="23">
        <v>0.025</v>
      </c>
      <c r="CE63" s="23">
        <v>0.126</v>
      </c>
      <c r="CF63" s="23">
        <v>0.165</v>
      </c>
      <c r="CG63" s="23">
        <v>0.066</v>
      </c>
      <c r="CH63" s="23">
        <v>0.036</v>
      </c>
      <c r="CI63" s="23">
        <v>0.1</v>
      </c>
      <c r="CP63" s="23">
        <v>0.026</v>
      </c>
      <c r="CQ63" s="23">
        <v>0.021</v>
      </c>
      <c r="CR63" s="23">
        <v>0.03</v>
      </c>
      <c r="CS63" s="23">
        <v>0.071</v>
      </c>
      <c r="CT63" s="23">
        <v>0.054</v>
      </c>
      <c r="CU63" s="23">
        <v>0.116</v>
      </c>
      <c r="CW63" s="23">
        <v>0.052</v>
      </c>
      <c r="CX63" s="23">
        <v>0.046</v>
      </c>
      <c r="CY63" s="23">
        <v>0.067</v>
      </c>
      <c r="DF63" s="23">
        <v>0.245</v>
      </c>
      <c r="DG63" s="23">
        <v>2.382</v>
      </c>
      <c r="DH63" s="23">
        <v>0.073</v>
      </c>
      <c r="DI63" s="23">
        <v>0.251</v>
      </c>
      <c r="DJ63" s="23">
        <v>0.092</v>
      </c>
      <c r="DM63" s="23">
        <v>0.059</v>
      </c>
    </row>
    <row r="64" ht="14.25" customHeight="1">
      <c r="A64" s="21" t="s">
        <v>195</v>
      </c>
      <c r="B64" s="22"/>
      <c r="C64" s="22"/>
      <c r="D64" s="23">
        <v>0.026</v>
      </c>
      <c r="E64" s="23">
        <v>0.031</v>
      </c>
      <c r="F64" s="23">
        <v>0.026</v>
      </c>
      <c r="G64" s="23">
        <v>0.032</v>
      </c>
      <c r="H64" s="23">
        <v>0.077</v>
      </c>
      <c r="I64" s="23">
        <v>0.018</v>
      </c>
      <c r="J64" s="23">
        <v>0.375</v>
      </c>
      <c r="K64" s="23">
        <v>0.02</v>
      </c>
      <c r="L64" s="23">
        <v>0.025</v>
      </c>
      <c r="M64" s="23">
        <v>0.01</v>
      </c>
      <c r="N64" s="23">
        <v>0.018</v>
      </c>
      <c r="O64" s="23">
        <v>0.05</v>
      </c>
      <c r="P64" s="23">
        <v>0.04</v>
      </c>
      <c r="Q64" s="23">
        <v>0.054</v>
      </c>
      <c r="R64" s="23">
        <v>0.052</v>
      </c>
      <c r="S64" s="23">
        <v>0.043</v>
      </c>
      <c r="T64" s="23">
        <v>0.037</v>
      </c>
      <c r="U64" s="23">
        <v>0.073</v>
      </c>
      <c r="V64" s="23">
        <v>0.085</v>
      </c>
      <c r="W64" s="23">
        <v>0.091</v>
      </c>
      <c r="X64" s="23">
        <v>0.075</v>
      </c>
      <c r="Y64" s="23">
        <v>0.081</v>
      </c>
      <c r="Z64" s="23">
        <v>0.053</v>
      </c>
      <c r="AA64" s="23">
        <v>0.052</v>
      </c>
      <c r="AB64" s="23">
        <v>0.037</v>
      </c>
      <c r="AD64" s="23">
        <v>0.059</v>
      </c>
      <c r="AE64" s="23">
        <v>0.062</v>
      </c>
      <c r="AF64" s="23">
        <v>0.038</v>
      </c>
      <c r="AG64" s="23">
        <v>0.048</v>
      </c>
      <c r="AH64" s="23">
        <v>0.116</v>
      </c>
      <c r="AI64" s="23">
        <v>0.105</v>
      </c>
      <c r="AJ64" s="23">
        <v>0.086</v>
      </c>
      <c r="AK64" s="23">
        <v>0.096</v>
      </c>
      <c r="AL64" s="23">
        <v>0.084</v>
      </c>
      <c r="AM64" s="23">
        <v>0.121</v>
      </c>
      <c r="AN64" s="23">
        <v>0.129</v>
      </c>
      <c r="AS64" s="23">
        <v>0.054</v>
      </c>
      <c r="AT64" s="23">
        <v>0.044</v>
      </c>
      <c r="AV64" s="23">
        <v>0.059</v>
      </c>
      <c r="AW64" s="23">
        <v>0.062</v>
      </c>
      <c r="AX64" s="23">
        <v>0.029</v>
      </c>
      <c r="AY64" s="23">
        <v>0.048</v>
      </c>
      <c r="AZ64" s="23">
        <v>0.037</v>
      </c>
      <c r="BA64" s="23">
        <v>0.057</v>
      </c>
      <c r="BB64" s="23">
        <v>0.035</v>
      </c>
      <c r="BC64" s="23">
        <v>0.049</v>
      </c>
      <c r="BD64" s="23">
        <v>0.026</v>
      </c>
      <c r="BE64" s="23">
        <v>0.044</v>
      </c>
      <c r="BF64" s="23">
        <v>0.032</v>
      </c>
      <c r="BG64" s="23">
        <v>0.042</v>
      </c>
      <c r="BH64" s="23">
        <v>0.034</v>
      </c>
      <c r="BJ64" s="23">
        <v>0.027</v>
      </c>
      <c r="BK64" s="23">
        <v>0.033</v>
      </c>
      <c r="BL64" s="23">
        <v>0.018</v>
      </c>
      <c r="BM64" s="23">
        <v>0.02</v>
      </c>
      <c r="BN64" s="23">
        <v>0.106</v>
      </c>
      <c r="BO64" s="23">
        <v>0.116</v>
      </c>
      <c r="BP64" s="23">
        <v>0.112</v>
      </c>
      <c r="BQ64" s="23">
        <v>0.104</v>
      </c>
      <c r="BR64" s="23">
        <v>0.107</v>
      </c>
      <c r="BS64" s="23">
        <v>0.076</v>
      </c>
      <c r="BT64" s="23">
        <v>0.039</v>
      </c>
      <c r="BU64" s="23">
        <v>0.044</v>
      </c>
      <c r="BV64" s="23">
        <v>0.077</v>
      </c>
      <c r="BW64" s="23">
        <v>0.07</v>
      </c>
      <c r="BX64" s="23">
        <v>0.02</v>
      </c>
      <c r="BY64" s="23">
        <v>0.024</v>
      </c>
      <c r="BZ64" s="23">
        <v>0.021</v>
      </c>
      <c r="CA64" s="23">
        <v>0.04</v>
      </c>
      <c r="CB64" s="23">
        <v>0.026</v>
      </c>
      <c r="CC64" s="23">
        <v>0.024</v>
      </c>
      <c r="CE64" s="23">
        <v>0.086</v>
      </c>
      <c r="CF64" s="23">
        <v>0.113</v>
      </c>
      <c r="CG64" s="23">
        <v>0.092</v>
      </c>
      <c r="CH64" s="23">
        <v>0.05</v>
      </c>
      <c r="CI64" s="23">
        <v>0.19</v>
      </c>
      <c r="CP64" s="23">
        <v>0.029</v>
      </c>
      <c r="CQ64" s="23">
        <v>0.023</v>
      </c>
      <c r="CR64" s="23">
        <v>0.033</v>
      </c>
      <c r="CS64" s="23">
        <v>0.061</v>
      </c>
      <c r="CT64" s="23">
        <v>0.047</v>
      </c>
      <c r="CU64" s="23">
        <v>0.101</v>
      </c>
      <c r="CW64" s="23">
        <v>0.088</v>
      </c>
      <c r="CX64" s="23">
        <v>0.077</v>
      </c>
      <c r="CY64" s="23">
        <v>0.113</v>
      </c>
      <c r="CZ64" s="23">
        <v>0.035</v>
      </c>
      <c r="DA64" s="23">
        <v>0.037</v>
      </c>
      <c r="DF64" s="23">
        <v>0.309</v>
      </c>
      <c r="DG64" s="23">
        <v>2.998</v>
      </c>
      <c r="DH64" s="23">
        <v>0.098</v>
      </c>
      <c r="DI64" s="23">
        <v>0.299</v>
      </c>
      <c r="DJ64" s="23">
        <v>0.078</v>
      </c>
      <c r="DM64" s="23">
        <v>0.049</v>
      </c>
    </row>
    <row r="65" ht="14.25" customHeight="1">
      <c r="A65" s="21"/>
      <c r="B65" s="22"/>
      <c r="C65" s="22"/>
    </row>
    <row r="66" ht="14.25" customHeight="1">
      <c r="A66" s="36" t="s">
        <v>196</v>
      </c>
      <c r="B66" s="37"/>
      <c r="C66" s="38"/>
    </row>
    <row r="67" ht="14.25" customHeight="1">
      <c r="A67" s="39"/>
      <c r="C67" s="40"/>
    </row>
    <row r="68" ht="14.25" customHeight="1">
      <c r="A68" s="39"/>
      <c r="C68" s="40"/>
    </row>
    <row r="69" ht="14.25" customHeight="1">
      <c r="A69" s="39"/>
      <c r="C69" s="40"/>
    </row>
    <row r="70" ht="14.25" customHeight="1">
      <c r="A70" s="41"/>
      <c r="B70" s="42"/>
      <c r="C70" s="43"/>
    </row>
    <row r="71" ht="14.25" customHeight="1">
      <c r="A71" s="44" t="s">
        <v>197</v>
      </c>
      <c r="B71" s="21"/>
      <c r="C71" s="21"/>
    </row>
    <row r="72" ht="14.25" customHeight="1">
      <c r="A72" s="44" t="s">
        <v>198</v>
      </c>
      <c r="B72" s="21"/>
      <c r="C72" s="21"/>
    </row>
    <row r="73" ht="14.25" customHeight="1">
      <c r="A73" s="21"/>
      <c r="B73" s="21"/>
      <c r="C73" s="21"/>
    </row>
    <row r="74" ht="15.0" customHeight="1">
      <c r="A74" s="36" t="s">
        <v>199</v>
      </c>
      <c r="B74" s="37"/>
      <c r="C74" s="38"/>
    </row>
    <row r="75" ht="15.0" customHeight="1">
      <c r="A75" s="41"/>
      <c r="B75" s="42"/>
      <c r="C75" s="43"/>
    </row>
    <row r="76" ht="15.0" customHeight="1">
      <c r="A76" s="44" t="s">
        <v>200</v>
      </c>
      <c r="B76" s="22"/>
      <c r="C76" s="22"/>
    </row>
    <row r="77" ht="14.25" customHeight="1">
      <c r="B77" s="22"/>
      <c r="C77" s="22"/>
    </row>
    <row r="78" ht="14.25" customHeight="1">
      <c r="A78" s="45" t="s">
        <v>201</v>
      </c>
      <c r="B78" s="37"/>
      <c r="C78" s="38"/>
    </row>
    <row r="79" ht="14.25" customHeight="1">
      <c r="A79" s="39"/>
      <c r="C79" s="40"/>
    </row>
    <row r="80" ht="14.25" customHeight="1">
      <c r="A80" s="41"/>
      <c r="B80" s="42"/>
      <c r="C80" s="43"/>
    </row>
    <row r="81" ht="14.25" customHeight="1">
      <c r="A81" s="44" t="s">
        <v>202</v>
      </c>
      <c r="B81" s="22"/>
      <c r="C81" s="22"/>
    </row>
    <row r="82" ht="14.25" customHeight="1">
      <c r="A82" s="21"/>
      <c r="B82" s="22"/>
      <c r="C82" s="22"/>
    </row>
    <row r="83" ht="14.25" customHeight="1">
      <c r="A83" s="21"/>
      <c r="B83" s="22"/>
      <c r="C83" s="22"/>
    </row>
    <row r="84" ht="14.25" customHeight="1">
      <c r="A84" s="21"/>
      <c r="B84" s="22"/>
      <c r="C84" s="22"/>
    </row>
    <row r="85" ht="14.25" customHeight="1">
      <c r="A85" s="21"/>
      <c r="B85" s="22"/>
      <c r="C85" s="22"/>
    </row>
    <row r="86" ht="14.25" customHeight="1">
      <c r="A86" s="21"/>
      <c r="B86" s="22"/>
      <c r="C86" s="22"/>
    </row>
    <row r="87" ht="14.25" customHeight="1">
      <c r="A87" s="21"/>
      <c r="B87" s="22"/>
      <c r="C87" s="22"/>
    </row>
    <row r="88" ht="14.25" customHeight="1">
      <c r="A88" s="21"/>
      <c r="B88" s="22"/>
      <c r="C88" s="22"/>
    </row>
    <row r="89" ht="14.25" customHeight="1">
      <c r="A89" s="21"/>
      <c r="B89" s="22"/>
      <c r="C89" s="22"/>
    </row>
    <row r="90" ht="14.25" customHeight="1">
      <c r="A90" s="21"/>
      <c r="B90" s="22"/>
      <c r="C90" s="22"/>
    </row>
    <row r="91" ht="14.25" customHeight="1">
      <c r="A91" s="21"/>
      <c r="B91" s="22"/>
      <c r="C91" s="22"/>
    </row>
    <row r="92" ht="14.25" customHeight="1">
      <c r="A92" s="21"/>
      <c r="B92" s="22"/>
      <c r="C92" s="22"/>
    </row>
    <row r="93" ht="14.25" customHeight="1">
      <c r="A93" s="21"/>
      <c r="B93" s="22"/>
      <c r="C93" s="22"/>
    </row>
    <row r="94" ht="14.25" customHeight="1">
      <c r="A94" s="21"/>
      <c r="B94" s="22"/>
      <c r="C94" s="22"/>
    </row>
    <row r="95" ht="14.25" customHeight="1">
      <c r="A95" s="21"/>
      <c r="B95" s="22"/>
      <c r="C95" s="22"/>
    </row>
    <row r="96" ht="14.25" customHeight="1">
      <c r="A96" s="21"/>
      <c r="B96" s="22"/>
      <c r="C96" s="22"/>
    </row>
    <row r="97" ht="14.25" customHeight="1">
      <c r="A97" s="21"/>
      <c r="B97" s="22"/>
      <c r="C97" s="22"/>
    </row>
    <row r="98" ht="14.25" customHeight="1">
      <c r="A98" s="21"/>
      <c r="B98" s="22"/>
      <c r="C98" s="22"/>
    </row>
    <row r="99" ht="14.25" customHeight="1">
      <c r="A99" s="21"/>
      <c r="B99" s="22"/>
      <c r="C99" s="22"/>
    </row>
    <row r="100" ht="14.25" customHeight="1">
      <c r="A100" s="21"/>
      <c r="B100" s="22"/>
      <c r="C100" s="22"/>
    </row>
    <row r="101" ht="14.25" customHeight="1">
      <c r="A101" s="21"/>
      <c r="B101" s="22"/>
      <c r="C101" s="22"/>
    </row>
    <row r="102" ht="14.25" customHeight="1">
      <c r="A102" s="21"/>
      <c r="B102" s="22"/>
      <c r="C102" s="22"/>
    </row>
    <row r="103" ht="14.25" customHeight="1">
      <c r="A103" s="21"/>
      <c r="B103" s="22"/>
      <c r="C103" s="22"/>
    </row>
    <row r="104" ht="14.25" customHeight="1">
      <c r="A104" s="21"/>
      <c r="B104" s="22"/>
      <c r="C104" s="22"/>
    </row>
    <row r="105" ht="14.25" customHeight="1">
      <c r="A105" s="21"/>
      <c r="B105" s="22"/>
      <c r="C105" s="22"/>
    </row>
    <row r="106" ht="14.25" customHeight="1">
      <c r="A106" s="21"/>
      <c r="B106" s="22"/>
      <c r="C106" s="22"/>
    </row>
    <row r="107" ht="14.25" customHeight="1">
      <c r="A107" s="21"/>
      <c r="B107" s="22"/>
      <c r="C107" s="22"/>
    </row>
    <row r="108" ht="14.25" customHeight="1">
      <c r="A108" s="21"/>
      <c r="B108" s="22"/>
      <c r="C108" s="22"/>
    </row>
    <row r="109" ht="14.25" customHeight="1">
      <c r="A109" s="21"/>
      <c r="B109" s="22"/>
      <c r="C109" s="22"/>
    </row>
    <row r="110" ht="14.25" customHeight="1">
      <c r="A110" s="21"/>
      <c r="B110" s="22"/>
      <c r="C110" s="22"/>
    </row>
    <row r="111" ht="14.25" customHeight="1">
      <c r="A111" s="21"/>
      <c r="B111" s="22"/>
      <c r="C111" s="22"/>
    </row>
    <row r="112" ht="14.25" customHeight="1">
      <c r="A112" s="21"/>
      <c r="B112" s="22"/>
      <c r="C112" s="22"/>
    </row>
    <row r="113" ht="14.25" customHeight="1">
      <c r="A113" s="21"/>
      <c r="B113" s="22"/>
      <c r="C113" s="22"/>
    </row>
    <row r="114" ht="14.25" customHeight="1">
      <c r="A114" s="21"/>
      <c r="B114" s="22"/>
      <c r="C114" s="22"/>
    </row>
    <row r="115" ht="14.25" customHeight="1">
      <c r="A115" s="21"/>
      <c r="B115" s="22"/>
      <c r="C115" s="22"/>
    </row>
    <row r="116" ht="14.25" customHeight="1">
      <c r="A116" s="21"/>
      <c r="B116" s="22"/>
      <c r="C116" s="22"/>
    </row>
    <row r="117" ht="14.25" customHeight="1">
      <c r="A117" s="21"/>
      <c r="B117" s="22"/>
      <c r="C117" s="22"/>
    </row>
    <row r="118" ht="14.25" customHeight="1">
      <c r="A118" s="21"/>
      <c r="B118" s="22"/>
      <c r="C118" s="22"/>
    </row>
    <row r="119" ht="14.25" customHeight="1">
      <c r="A119" s="21"/>
      <c r="B119" s="22"/>
      <c r="C119" s="22"/>
    </row>
    <row r="120" ht="14.25" customHeight="1">
      <c r="A120" s="21"/>
      <c r="B120" s="22"/>
      <c r="C120" s="22"/>
    </row>
    <row r="121" ht="14.25" customHeight="1">
      <c r="A121" s="21"/>
      <c r="B121" s="22"/>
      <c r="C121" s="22"/>
    </row>
    <row r="122" ht="14.25" customHeight="1">
      <c r="A122" s="21"/>
      <c r="B122" s="22"/>
      <c r="C122" s="22"/>
    </row>
    <row r="123" ht="14.25" customHeight="1">
      <c r="A123" s="21"/>
      <c r="B123" s="22"/>
      <c r="C123" s="22"/>
    </row>
    <row r="124" ht="14.25" customHeight="1">
      <c r="A124" s="21"/>
      <c r="B124" s="22"/>
      <c r="C124" s="22"/>
    </row>
    <row r="125" ht="14.25" customHeight="1">
      <c r="A125" s="21"/>
      <c r="B125" s="22"/>
      <c r="C125" s="22"/>
    </row>
    <row r="126" ht="14.25" customHeight="1">
      <c r="A126" s="21"/>
      <c r="B126" s="22"/>
      <c r="C126" s="22"/>
    </row>
    <row r="127" ht="14.25" customHeight="1">
      <c r="A127" s="21"/>
      <c r="B127" s="22"/>
      <c r="C127" s="22"/>
    </row>
    <row r="128" ht="14.25" customHeight="1">
      <c r="A128" s="21"/>
      <c r="B128" s="22"/>
      <c r="C128" s="22"/>
    </row>
    <row r="129" ht="14.25" customHeight="1">
      <c r="A129" s="21"/>
      <c r="B129" s="22"/>
      <c r="C129" s="22"/>
    </row>
    <row r="130" ht="14.25" customHeight="1">
      <c r="A130" s="21"/>
      <c r="B130" s="22"/>
      <c r="C130" s="22"/>
    </row>
    <row r="131" ht="14.25" customHeight="1">
      <c r="A131" s="21"/>
      <c r="B131" s="22"/>
      <c r="C131" s="22"/>
    </row>
    <row r="132" ht="14.25" customHeight="1">
      <c r="A132" s="21"/>
      <c r="B132" s="22"/>
      <c r="C132" s="22"/>
    </row>
    <row r="133" ht="14.25" customHeight="1">
      <c r="A133" s="21"/>
      <c r="B133" s="22"/>
      <c r="C133" s="22"/>
    </row>
    <row r="134" ht="14.25" customHeight="1">
      <c r="A134" s="21"/>
      <c r="B134" s="22"/>
      <c r="C134" s="22"/>
    </row>
    <row r="135" ht="14.25" customHeight="1">
      <c r="A135" s="21"/>
      <c r="B135" s="22"/>
      <c r="C135" s="22"/>
    </row>
    <row r="136" ht="14.25" customHeight="1">
      <c r="A136" s="21"/>
      <c r="B136" s="22"/>
      <c r="C136" s="22"/>
    </row>
    <row r="137" ht="14.25" customHeight="1">
      <c r="A137" s="21"/>
      <c r="B137" s="22"/>
      <c r="C137" s="22"/>
    </row>
    <row r="138" ht="14.25" customHeight="1">
      <c r="A138" s="21"/>
      <c r="B138" s="22"/>
      <c r="C138" s="22"/>
    </row>
    <row r="139" ht="14.25" customHeight="1">
      <c r="A139" s="21"/>
      <c r="B139" s="22"/>
      <c r="C139" s="22"/>
    </row>
    <row r="140" ht="14.25" customHeight="1">
      <c r="A140" s="21"/>
      <c r="B140" s="22"/>
      <c r="C140" s="22"/>
    </row>
    <row r="141" ht="14.25" customHeight="1">
      <c r="A141" s="21"/>
      <c r="B141" s="22"/>
      <c r="C141" s="22"/>
    </row>
    <row r="142" ht="14.25" customHeight="1">
      <c r="A142" s="21"/>
      <c r="B142" s="22"/>
      <c r="C142" s="22"/>
    </row>
    <row r="143" ht="14.25" customHeight="1">
      <c r="A143" s="21"/>
      <c r="B143" s="22"/>
      <c r="C143" s="22"/>
    </row>
    <row r="144" ht="14.25" customHeight="1">
      <c r="A144" s="21"/>
      <c r="B144" s="22"/>
      <c r="C144" s="22"/>
    </row>
    <row r="145" ht="14.25" customHeight="1">
      <c r="A145" s="21"/>
      <c r="B145" s="22"/>
      <c r="C145" s="22"/>
    </row>
    <row r="146" ht="14.25" customHeight="1">
      <c r="A146" s="21"/>
      <c r="B146" s="22"/>
      <c r="C146" s="22"/>
    </row>
    <row r="147" ht="14.25" customHeight="1">
      <c r="A147" s="21"/>
      <c r="B147" s="22"/>
      <c r="C147" s="22"/>
    </row>
    <row r="148" ht="14.25" customHeight="1">
      <c r="A148" s="21"/>
      <c r="B148" s="22"/>
      <c r="C148" s="22"/>
    </row>
    <row r="149" ht="14.25" customHeight="1">
      <c r="A149" s="21"/>
      <c r="B149" s="22"/>
      <c r="C149" s="22"/>
    </row>
    <row r="150" ht="14.25" customHeight="1">
      <c r="A150" s="21"/>
      <c r="B150" s="22"/>
      <c r="C150" s="22"/>
    </row>
    <row r="151" ht="14.25" customHeight="1">
      <c r="A151" s="21"/>
      <c r="B151" s="22"/>
      <c r="C151" s="22"/>
    </row>
    <row r="152" ht="14.25" customHeight="1">
      <c r="A152" s="21"/>
      <c r="B152" s="22"/>
      <c r="C152" s="22"/>
    </row>
    <row r="153" ht="14.25" customHeight="1">
      <c r="A153" s="21"/>
      <c r="B153" s="22"/>
      <c r="C153" s="22"/>
    </row>
    <row r="154" ht="14.25" customHeight="1">
      <c r="A154" s="21"/>
      <c r="B154" s="22"/>
      <c r="C154" s="22"/>
    </row>
    <row r="155" ht="14.25" customHeight="1">
      <c r="A155" s="21"/>
      <c r="B155" s="22"/>
      <c r="C155" s="22"/>
    </row>
    <row r="156" ht="14.25" customHeight="1">
      <c r="A156" s="21"/>
      <c r="B156" s="22"/>
      <c r="C156" s="22"/>
    </row>
    <row r="157" ht="14.25" customHeight="1">
      <c r="A157" s="21"/>
      <c r="B157" s="22"/>
      <c r="C157" s="22"/>
    </row>
    <row r="158" ht="14.25" customHeight="1">
      <c r="A158" s="21"/>
      <c r="B158" s="22"/>
      <c r="C158" s="22"/>
    </row>
    <row r="159" ht="14.25" customHeight="1">
      <c r="A159" s="21"/>
      <c r="B159" s="22"/>
      <c r="C159" s="22"/>
    </row>
    <row r="160" ht="14.25" customHeight="1">
      <c r="A160" s="21"/>
      <c r="B160" s="22"/>
      <c r="C160" s="22"/>
    </row>
    <row r="161" ht="14.25" customHeight="1">
      <c r="A161" s="21"/>
      <c r="B161" s="22"/>
      <c r="C161" s="22"/>
    </row>
    <row r="162" ht="14.25" customHeight="1">
      <c r="A162" s="21"/>
      <c r="B162" s="22"/>
      <c r="C162" s="22"/>
    </row>
    <row r="163" ht="14.25" customHeight="1">
      <c r="A163" s="21"/>
      <c r="B163" s="22"/>
      <c r="C163" s="22"/>
    </row>
    <row r="164" ht="14.25" customHeight="1">
      <c r="A164" s="21"/>
      <c r="B164" s="22"/>
      <c r="C164" s="22"/>
    </row>
    <row r="165" ht="14.25" customHeight="1">
      <c r="A165" s="21"/>
      <c r="B165" s="22"/>
      <c r="C165" s="22"/>
    </row>
    <row r="166" ht="14.25" customHeight="1">
      <c r="A166" s="21"/>
      <c r="B166" s="22"/>
      <c r="C166" s="22"/>
    </row>
    <row r="167" ht="14.25" customHeight="1">
      <c r="A167" s="21"/>
      <c r="B167" s="22"/>
      <c r="C167" s="22"/>
    </row>
    <row r="168" ht="14.25" customHeight="1">
      <c r="A168" s="21"/>
      <c r="B168" s="22"/>
      <c r="C168" s="22"/>
    </row>
    <row r="169" ht="14.25" customHeight="1">
      <c r="A169" s="21"/>
      <c r="B169" s="22"/>
      <c r="C169" s="22"/>
    </row>
    <row r="170" ht="14.25" customHeight="1">
      <c r="A170" s="21"/>
      <c r="B170" s="22"/>
      <c r="C170" s="22"/>
    </row>
    <row r="171" ht="14.25" customHeight="1">
      <c r="A171" s="21"/>
      <c r="B171" s="22"/>
      <c r="C171" s="22"/>
    </row>
    <row r="172" ht="14.25" customHeight="1">
      <c r="A172" s="21"/>
      <c r="B172" s="22"/>
      <c r="C172" s="22"/>
    </row>
    <row r="173" ht="14.25" customHeight="1">
      <c r="A173" s="21"/>
      <c r="B173" s="22"/>
      <c r="C173" s="22"/>
    </row>
    <row r="174" ht="14.25" customHeight="1">
      <c r="A174" s="21"/>
      <c r="B174" s="22"/>
      <c r="C174" s="22"/>
    </row>
    <row r="175" ht="14.25" customHeight="1">
      <c r="A175" s="21"/>
      <c r="B175" s="22"/>
      <c r="C175" s="22"/>
    </row>
    <row r="176" ht="14.25" customHeight="1">
      <c r="A176" s="21"/>
      <c r="B176" s="22"/>
      <c r="C176" s="22"/>
    </row>
    <row r="177" ht="14.25" customHeight="1">
      <c r="A177" s="21"/>
      <c r="B177" s="22"/>
      <c r="C177" s="22"/>
    </row>
    <row r="178" ht="14.25" customHeight="1">
      <c r="A178" s="21"/>
      <c r="B178" s="22"/>
      <c r="C178" s="22"/>
    </row>
    <row r="179" ht="14.25" customHeight="1">
      <c r="A179" s="21"/>
      <c r="B179" s="22"/>
      <c r="C179" s="22"/>
    </row>
    <row r="180" ht="14.25" customHeight="1">
      <c r="A180" s="21"/>
      <c r="B180" s="22"/>
      <c r="C180" s="22"/>
    </row>
    <row r="181" ht="14.25" customHeight="1">
      <c r="A181" s="21"/>
      <c r="B181" s="22"/>
      <c r="C181" s="22"/>
    </row>
    <row r="182" ht="14.25" customHeight="1">
      <c r="A182" s="21"/>
      <c r="B182" s="22"/>
      <c r="C182" s="22"/>
    </row>
    <row r="183" ht="14.25" customHeight="1">
      <c r="A183" s="21"/>
      <c r="B183" s="22"/>
      <c r="C183" s="22"/>
    </row>
    <row r="184" ht="14.25" customHeight="1">
      <c r="A184" s="21"/>
      <c r="B184" s="22"/>
      <c r="C184" s="22"/>
    </row>
    <row r="185" ht="14.25" customHeight="1">
      <c r="A185" s="21"/>
      <c r="B185" s="22"/>
      <c r="C185" s="22"/>
    </row>
    <row r="186" ht="14.25" customHeight="1">
      <c r="A186" s="21"/>
      <c r="B186" s="22"/>
      <c r="C186" s="22"/>
    </row>
    <row r="187" ht="14.25" customHeight="1">
      <c r="A187" s="21"/>
      <c r="B187" s="22"/>
      <c r="C187" s="22"/>
    </row>
    <row r="188" ht="14.25" customHeight="1">
      <c r="A188" s="21"/>
      <c r="B188" s="22"/>
      <c r="C188" s="22"/>
    </row>
    <row r="189" ht="14.25" customHeight="1">
      <c r="A189" s="21"/>
      <c r="B189" s="22"/>
      <c r="C189" s="22"/>
    </row>
    <row r="190" ht="14.25" customHeight="1">
      <c r="A190" s="21"/>
      <c r="B190" s="22"/>
      <c r="C190" s="22"/>
    </row>
    <row r="191" ht="14.25" customHeight="1">
      <c r="A191" s="21"/>
      <c r="B191" s="22"/>
      <c r="C191" s="22"/>
    </row>
    <row r="192" ht="14.25" customHeight="1">
      <c r="A192" s="21"/>
      <c r="B192" s="22"/>
      <c r="C192" s="22"/>
    </row>
    <row r="193" ht="14.25" customHeight="1">
      <c r="A193" s="21"/>
      <c r="B193" s="22"/>
      <c r="C193" s="22"/>
    </row>
    <row r="194" ht="14.25" customHeight="1">
      <c r="A194" s="21"/>
      <c r="B194" s="22"/>
      <c r="C194" s="22"/>
    </row>
    <row r="195" ht="14.25" customHeight="1">
      <c r="A195" s="21"/>
      <c r="B195" s="22"/>
      <c r="C195" s="22"/>
    </row>
    <row r="196" ht="14.25" customHeight="1">
      <c r="A196" s="21"/>
      <c r="B196" s="22"/>
      <c r="C196" s="22"/>
    </row>
    <row r="197" ht="14.25" customHeight="1">
      <c r="A197" s="21"/>
      <c r="B197" s="22"/>
      <c r="C197" s="22"/>
    </row>
    <row r="198" ht="14.25" customHeight="1">
      <c r="A198" s="21"/>
      <c r="B198" s="22"/>
      <c r="C198" s="22"/>
    </row>
    <row r="199" ht="14.25" customHeight="1">
      <c r="A199" s="21"/>
      <c r="B199" s="22"/>
      <c r="C199" s="22"/>
    </row>
    <row r="200" ht="14.25" customHeight="1">
      <c r="A200" s="21"/>
      <c r="B200" s="22"/>
      <c r="C200" s="22"/>
    </row>
    <row r="201" ht="14.25" customHeight="1">
      <c r="A201" s="21"/>
      <c r="B201" s="22"/>
      <c r="C201" s="22"/>
    </row>
    <row r="202" ht="14.25" customHeight="1">
      <c r="A202" s="21"/>
      <c r="B202" s="22"/>
      <c r="C202" s="22"/>
    </row>
    <row r="203" ht="14.25" customHeight="1">
      <c r="A203" s="21"/>
      <c r="B203" s="22"/>
      <c r="C203" s="22"/>
    </row>
    <row r="204" ht="14.25" customHeight="1">
      <c r="A204" s="21"/>
      <c r="B204" s="22"/>
      <c r="C204" s="22"/>
    </row>
    <row r="205" ht="14.25" customHeight="1">
      <c r="A205" s="21"/>
      <c r="B205" s="22"/>
      <c r="C205" s="22"/>
    </row>
    <row r="206" ht="14.25" customHeight="1">
      <c r="A206" s="21"/>
      <c r="B206" s="22"/>
      <c r="C206" s="22"/>
    </row>
    <row r="207" ht="14.25" customHeight="1">
      <c r="A207" s="21"/>
      <c r="B207" s="22"/>
      <c r="C207" s="22"/>
    </row>
    <row r="208" ht="14.25" customHeight="1">
      <c r="A208" s="21"/>
      <c r="B208" s="22"/>
      <c r="C208" s="22"/>
    </row>
    <row r="209" ht="14.25" customHeight="1">
      <c r="A209" s="21"/>
      <c r="B209" s="22"/>
      <c r="C209" s="22"/>
    </row>
    <row r="210" ht="14.25" customHeight="1">
      <c r="A210" s="21"/>
      <c r="B210" s="22"/>
      <c r="C210" s="22"/>
    </row>
    <row r="211" ht="14.25" customHeight="1">
      <c r="A211" s="21"/>
      <c r="B211" s="22"/>
      <c r="C211" s="22"/>
    </row>
    <row r="212" ht="14.25" customHeight="1">
      <c r="A212" s="21"/>
      <c r="B212" s="22"/>
      <c r="C212" s="22"/>
    </row>
    <row r="213" ht="14.25" customHeight="1">
      <c r="A213" s="21"/>
      <c r="B213" s="22"/>
      <c r="C213" s="22"/>
    </row>
    <row r="214" ht="14.25" customHeight="1">
      <c r="A214" s="21"/>
      <c r="B214" s="22"/>
      <c r="C214" s="22"/>
    </row>
    <row r="215" ht="14.25" customHeight="1">
      <c r="A215" s="21"/>
      <c r="B215" s="22"/>
      <c r="C215" s="22"/>
    </row>
    <row r="216" ht="14.25" customHeight="1">
      <c r="A216" s="21"/>
      <c r="B216" s="22"/>
      <c r="C216" s="22"/>
    </row>
    <row r="217" ht="14.25" customHeight="1">
      <c r="A217" s="21"/>
      <c r="B217" s="22"/>
      <c r="C217" s="22"/>
    </row>
    <row r="218" ht="14.25" customHeight="1">
      <c r="A218" s="21"/>
      <c r="B218" s="22"/>
      <c r="C218" s="22"/>
    </row>
    <row r="219" ht="14.25" customHeight="1">
      <c r="A219" s="21"/>
      <c r="B219" s="22"/>
      <c r="C219" s="22"/>
    </row>
    <row r="220" ht="14.25" customHeight="1">
      <c r="A220" s="21"/>
      <c r="B220" s="22"/>
      <c r="C220" s="22"/>
    </row>
    <row r="221" ht="14.25" customHeight="1">
      <c r="A221" s="21"/>
      <c r="B221" s="22"/>
      <c r="C221" s="22"/>
    </row>
    <row r="222" ht="14.25" customHeight="1">
      <c r="A222" s="21"/>
      <c r="B222" s="22"/>
      <c r="C222" s="22"/>
    </row>
    <row r="223" ht="14.25" customHeight="1">
      <c r="A223" s="21"/>
      <c r="B223" s="22"/>
      <c r="C223" s="22"/>
    </row>
    <row r="224" ht="14.25" customHeight="1">
      <c r="A224" s="21"/>
      <c r="B224" s="22"/>
      <c r="C224" s="22"/>
    </row>
    <row r="225" ht="14.25" customHeight="1">
      <c r="A225" s="21"/>
      <c r="B225" s="22"/>
      <c r="C225" s="22"/>
    </row>
    <row r="226" ht="14.25" customHeight="1">
      <c r="A226" s="21"/>
      <c r="B226" s="22"/>
      <c r="C226" s="22"/>
    </row>
    <row r="227" ht="14.25" customHeight="1">
      <c r="A227" s="21"/>
      <c r="B227" s="22"/>
      <c r="C227" s="22"/>
    </row>
    <row r="228" ht="14.25" customHeight="1">
      <c r="A228" s="21"/>
      <c r="B228" s="22"/>
      <c r="C228" s="22"/>
    </row>
    <row r="229" ht="14.25" customHeight="1">
      <c r="A229" s="21"/>
      <c r="B229" s="22"/>
      <c r="C229" s="22"/>
    </row>
    <row r="230" ht="14.25" customHeight="1">
      <c r="A230" s="21"/>
      <c r="B230" s="22"/>
      <c r="C230" s="22"/>
    </row>
    <row r="231" ht="14.25" customHeight="1">
      <c r="A231" s="21"/>
      <c r="B231" s="22"/>
      <c r="C231" s="22"/>
    </row>
    <row r="232" ht="14.25" customHeight="1">
      <c r="A232" s="21"/>
      <c r="B232" s="22"/>
      <c r="C232" s="22"/>
    </row>
    <row r="233" ht="14.25" customHeight="1">
      <c r="A233" s="21"/>
      <c r="B233" s="22"/>
      <c r="C233" s="22"/>
    </row>
    <row r="234" ht="14.25" customHeight="1">
      <c r="A234" s="21"/>
      <c r="B234" s="22"/>
      <c r="C234" s="22"/>
    </row>
    <row r="235" ht="14.25" customHeight="1">
      <c r="A235" s="21"/>
      <c r="B235" s="22"/>
      <c r="C235" s="22"/>
    </row>
    <row r="236" ht="14.25" customHeight="1">
      <c r="A236" s="21"/>
      <c r="B236" s="22"/>
      <c r="C236" s="22"/>
    </row>
    <row r="237" ht="14.25" customHeight="1">
      <c r="A237" s="21"/>
      <c r="B237" s="22"/>
      <c r="C237" s="22"/>
    </row>
    <row r="238" ht="14.25" customHeight="1">
      <c r="A238" s="21"/>
      <c r="B238" s="22"/>
      <c r="C238" s="22"/>
    </row>
    <row r="239" ht="14.25" customHeight="1">
      <c r="A239" s="21"/>
      <c r="B239" s="22"/>
      <c r="C239" s="22"/>
    </row>
    <row r="240" ht="14.25" customHeight="1">
      <c r="A240" s="21"/>
      <c r="B240" s="22"/>
      <c r="C240" s="22"/>
    </row>
    <row r="241" ht="14.25" customHeight="1">
      <c r="A241" s="21"/>
      <c r="B241" s="22"/>
      <c r="C241" s="22"/>
    </row>
    <row r="242" ht="14.25" customHeight="1">
      <c r="A242" s="21"/>
      <c r="B242" s="22"/>
      <c r="C242" s="22"/>
    </row>
    <row r="243" ht="14.25" customHeight="1">
      <c r="A243" s="21"/>
      <c r="B243" s="22"/>
      <c r="C243" s="22"/>
    </row>
    <row r="244" ht="14.25" customHeight="1">
      <c r="A244" s="21"/>
      <c r="B244" s="22"/>
      <c r="C244" s="22"/>
    </row>
    <row r="245" ht="14.25" customHeight="1">
      <c r="A245" s="21"/>
      <c r="B245" s="22"/>
      <c r="C245" s="22"/>
    </row>
    <row r="246" ht="14.25" customHeight="1">
      <c r="A246" s="21"/>
      <c r="B246" s="22"/>
      <c r="C246" s="22"/>
    </row>
    <row r="247" ht="14.25" customHeight="1">
      <c r="A247" s="21"/>
      <c r="B247" s="22"/>
      <c r="C247" s="22"/>
    </row>
    <row r="248" ht="14.25" customHeight="1">
      <c r="A248" s="21"/>
      <c r="B248" s="22"/>
      <c r="C248" s="22"/>
    </row>
    <row r="249" ht="14.25" customHeight="1">
      <c r="A249" s="21"/>
      <c r="B249" s="22"/>
      <c r="C249" s="22"/>
    </row>
    <row r="250" ht="14.25" customHeight="1">
      <c r="A250" s="21"/>
      <c r="B250" s="22"/>
      <c r="C250" s="22"/>
    </row>
    <row r="251" ht="14.25" customHeight="1">
      <c r="A251" s="21"/>
      <c r="B251" s="22"/>
      <c r="C251" s="22"/>
    </row>
    <row r="252" ht="14.25" customHeight="1">
      <c r="A252" s="21"/>
      <c r="B252" s="22"/>
      <c r="C252" s="22"/>
    </row>
    <row r="253" ht="14.25" customHeight="1">
      <c r="A253" s="21"/>
      <c r="B253" s="22"/>
      <c r="C253" s="22"/>
    </row>
    <row r="254" ht="14.25" customHeight="1">
      <c r="A254" s="21"/>
      <c r="B254" s="22"/>
      <c r="C254" s="22"/>
    </row>
    <row r="255" ht="14.25" customHeight="1">
      <c r="A255" s="21"/>
      <c r="B255" s="22"/>
      <c r="C255" s="22"/>
    </row>
    <row r="256" ht="14.25" customHeight="1">
      <c r="A256" s="21"/>
      <c r="B256" s="22"/>
      <c r="C256" s="22"/>
    </row>
    <row r="257" ht="14.25" customHeight="1">
      <c r="A257" s="21"/>
      <c r="B257" s="22"/>
      <c r="C257" s="22"/>
    </row>
    <row r="258" ht="14.25" customHeight="1">
      <c r="A258" s="21"/>
      <c r="B258" s="22"/>
      <c r="C258" s="22"/>
    </row>
    <row r="259" ht="14.25" customHeight="1">
      <c r="A259" s="21"/>
      <c r="B259" s="22"/>
      <c r="C259" s="22"/>
    </row>
    <row r="260" ht="14.25" customHeight="1">
      <c r="A260" s="21"/>
      <c r="B260" s="22"/>
      <c r="C260" s="22"/>
    </row>
    <row r="261" ht="14.25" customHeight="1">
      <c r="A261" s="21"/>
      <c r="B261" s="22"/>
      <c r="C261" s="22"/>
    </row>
    <row r="262" ht="14.25" customHeight="1">
      <c r="A262" s="21"/>
      <c r="B262" s="22"/>
      <c r="C262" s="22"/>
    </row>
    <row r="263" ht="14.25" customHeight="1">
      <c r="A263" s="21"/>
      <c r="B263" s="22"/>
      <c r="C263" s="22"/>
    </row>
    <row r="264" ht="14.25" customHeight="1">
      <c r="A264" s="21"/>
      <c r="B264" s="22"/>
      <c r="C264" s="22"/>
    </row>
    <row r="265" ht="14.25" customHeight="1">
      <c r="A265" s="21"/>
      <c r="B265" s="22"/>
      <c r="C265" s="22"/>
    </row>
    <row r="266" ht="14.25" customHeight="1">
      <c r="A266" s="21"/>
      <c r="B266" s="22"/>
      <c r="C266" s="22"/>
    </row>
    <row r="267" ht="14.25" customHeight="1">
      <c r="A267" s="21"/>
      <c r="B267" s="22"/>
      <c r="C267" s="22"/>
    </row>
    <row r="268" ht="14.25" customHeight="1">
      <c r="A268" s="21"/>
      <c r="B268" s="22"/>
      <c r="C268" s="22"/>
    </row>
    <row r="269" ht="14.25" customHeight="1">
      <c r="A269" s="21"/>
      <c r="B269" s="22"/>
      <c r="C269" s="22"/>
    </row>
    <row r="270" ht="14.25" customHeight="1">
      <c r="A270" s="21"/>
      <c r="B270" s="22"/>
      <c r="C270" s="22"/>
    </row>
    <row r="271" ht="14.25" customHeight="1">
      <c r="A271" s="21"/>
      <c r="B271" s="22"/>
      <c r="C271" s="22"/>
    </row>
    <row r="272" ht="14.25" customHeight="1">
      <c r="A272" s="21"/>
      <c r="B272" s="22"/>
      <c r="C272" s="22"/>
    </row>
    <row r="273" ht="14.25" customHeight="1">
      <c r="A273" s="21"/>
      <c r="B273" s="22"/>
      <c r="C273" s="22"/>
    </row>
    <row r="274" ht="14.25" customHeight="1">
      <c r="A274" s="21"/>
      <c r="B274" s="22"/>
      <c r="C274" s="22"/>
    </row>
    <row r="275" ht="14.25" customHeight="1">
      <c r="A275" s="21"/>
      <c r="B275" s="22"/>
      <c r="C275" s="22"/>
    </row>
    <row r="276" ht="14.25" customHeight="1">
      <c r="A276" s="21"/>
      <c r="B276" s="22"/>
      <c r="C276" s="22"/>
    </row>
    <row r="277" ht="14.25" customHeight="1">
      <c r="A277" s="21"/>
      <c r="B277" s="22"/>
      <c r="C277" s="22"/>
    </row>
    <row r="278" ht="14.25" customHeight="1">
      <c r="A278" s="21"/>
      <c r="B278" s="22"/>
      <c r="C278" s="22"/>
    </row>
    <row r="279" ht="14.25" customHeight="1">
      <c r="A279" s="21"/>
      <c r="B279" s="22"/>
      <c r="C279" s="22"/>
    </row>
    <row r="280" ht="14.25" customHeight="1">
      <c r="A280" s="21"/>
      <c r="B280" s="22"/>
      <c r="C280" s="22"/>
    </row>
    <row r="281" ht="14.25" customHeight="1">
      <c r="A281" s="21"/>
      <c r="B281" s="22"/>
      <c r="C281" s="22"/>
    </row>
    <row r="282" ht="14.25" customHeight="1">
      <c r="A282" s="21"/>
      <c r="B282" s="22"/>
      <c r="C282" s="22"/>
    </row>
    <row r="283" ht="14.25" customHeight="1">
      <c r="A283" s="21"/>
      <c r="B283" s="22"/>
      <c r="C283" s="22"/>
    </row>
    <row r="284" ht="14.25" customHeight="1">
      <c r="A284" s="21"/>
      <c r="B284" s="22"/>
      <c r="C284" s="22"/>
    </row>
    <row r="285" ht="14.25" customHeight="1">
      <c r="A285" s="21"/>
      <c r="B285" s="22"/>
      <c r="C285" s="22"/>
    </row>
    <row r="286" ht="14.25" customHeight="1">
      <c r="A286" s="21"/>
      <c r="B286" s="22"/>
      <c r="C286" s="22"/>
    </row>
    <row r="287" ht="14.25" customHeight="1">
      <c r="A287" s="21"/>
      <c r="B287" s="22"/>
      <c r="C287" s="22"/>
    </row>
    <row r="288" ht="14.25" customHeight="1">
      <c r="A288" s="21"/>
      <c r="B288" s="22"/>
      <c r="C288" s="22"/>
    </row>
    <row r="289" ht="14.25" customHeight="1">
      <c r="A289" s="21"/>
      <c r="B289" s="22"/>
      <c r="C289" s="22"/>
    </row>
    <row r="290" ht="14.25" customHeight="1">
      <c r="A290" s="21"/>
      <c r="B290" s="22"/>
      <c r="C290" s="22"/>
    </row>
    <row r="291" ht="14.25" customHeight="1">
      <c r="A291" s="21"/>
      <c r="B291" s="22"/>
      <c r="C291" s="22"/>
    </row>
    <row r="292" ht="14.25" customHeight="1">
      <c r="A292" s="21"/>
      <c r="B292" s="22"/>
      <c r="C292" s="22"/>
    </row>
    <row r="293" ht="14.25" customHeight="1">
      <c r="A293" s="21"/>
      <c r="B293" s="22"/>
      <c r="C293" s="22"/>
    </row>
    <row r="294" ht="14.25" customHeight="1">
      <c r="A294" s="21"/>
      <c r="B294" s="22"/>
      <c r="C294" s="22"/>
    </row>
    <row r="295" ht="14.25" customHeight="1">
      <c r="A295" s="21"/>
      <c r="B295" s="22"/>
      <c r="C295" s="22"/>
    </row>
    <row r="296" ht="14.25" customHeight="1">
      <c r="A296" s="21"/>
      <c r="B296" s="22"/>
      <c r="C296" s="22"/>
    </row>
    <row r="297" ht="14.25" customHeight="1">
      <c r="A297" s="21"/>
      <c r="B297" s="22"/>
      <c r="C297" s="22"/>
    </row>
    <row r="298" ht="14.25" customHeight="1">
      <c r="A298" s="21"/>
      <c r="B298" s="22"/>
      <c r="C298" s="22"/>
    </row>
    <row r="299" ht="14.25" customHeight="1">
      <c r="A299" s="21"/>
      <c r="B299" s="22"/>
      <c r="C299" s="22"/>
    </row>
    <row r="300" ht="14.25" customHeight="1">
      <c r="A300" s="21"/>
      <c r="B300" s="22"/>
      <c r="C300" s="22"/>
    </row>
    <row r="301" ht="14.25" customHeight="1">
      <c r="A301" s="21"/>
      <c r="B301" s="22"/>
      <c r="C301" s="22"/>
    </row>
    <row r="302" ht="14.25" customHeight="1">
      <c r="A302" s="21"/>
      <c r="B302" s="22"/>
      <c r="C302" s="22"/>
    </row>
    <row r="303" ht="14.25" customHeight="1">
      <c r="A303" s="21"/>
      <c r="B303" s="22"/>
      <c r="C303" s="22"/>
    </row>
    <row r="304" ht="14.25" customHeight="1">
      <c r="A304" s="21"/>
      <c r="B304" s="22"/>
      <c r="C304" s="22"/>
    </row>
    <row r="305" ht="14.25" customHeight="1">
      <c r="A305" s="21"/>
      <c r="B305" s="22"/>
      <c r="C305" s="22"/>
    </row>
    <row r="306" ht="14.25" customHeight="1">
      <c r="A306" s="21"/>
      <c r="B306" s="22"/>
      <c r="C306" s="22"/>
    </row>
    <row r="307" ht="14.25" customHeight="1">
      <c r="A307" s="21"/>
      <c r="B307" s="22"/>
      <c r="C307" s="22"/>
    </row>
    <row r="308" ht="14.25" customHeight="1">
      <c r="A308" s="21"/>
      <c r="B308" s="22"/>
      <c r="C308" s="22"/>
    </row>
    <row r="309" ht="14.25" customHeight="1">
      <c r="A309" s="21"/>
      <c r="B309" s="22"/>
      <c r="C309" s="22"/>
    </row>
    <row r="310" ht="14.25" customHeight="1">
      <c r="A310" s="21"/>
      <c r="B310" s="22"/>
      <c r="C310" s="22"/>
    </row>
    <row r="311" ht="14.25" customHeight="1">
      <c r="A311" s="21"/>
      <c r="B311" s="22"/>
      <c r="C311" s="22"/>
    </row>
    <row r="312" ht="14.25" customHeight="1">
      <c r="A312" s="21"/>
      <c r="B312" s="22"/>
      <c r="C312" s="22"/>
    </row>
    <row r="313" ht="14.25" customHeight="1">
      <c r="A313" s="21"/>
      <c r="B313" s="22"/>
      <c r="C313" s="22"/>
    </row>
    <row r="314" ht="14.25" customHeight="1">
      <c r="A314" s="21"/>
      <c r="B314" s="22"/>
      <c r="C314" s="22"/>
    </row>
    <row r="315" ht="14.25" customHeight="1">
      <c r="A315" s="21"/>
      <c r="B315" s="22"/>
      <c r="C315" s="22"/>
    </row>
    <row r="316" ht="14.25" customHeight="1">
      <c r="A316" s="21"/>
      <c r="B316" s="22"/>
      <c r="C316" s="22"/>
    </row>
    <row r="317" ht="14.25" customHeight="1">
      <c r="A317" s="21"/>
      <c r="B317" s="22"/>
      <c r="C317" s="22"/>
    </row>
    <row r="318" ht="14.25" customHeight="1">
      <c r="A318" s="21"/>
      <c r="B318" s="22"/>
      <c r="C318" s="22"/>
    </row>
    <row r="319" ht="14.25" customHeight="1">
      <c r="A319" s="21"/>
      <c r="B319" s="22"/>
      <c r="C319" s="22"/>
    </row>
    <row r="320" ht="14.25" customHeight="1">
      <c r="A320" s="21"/>
      <c r="B320" s="22"/>
      <c r="C320" s="22"/>
    </row>
    <row r="321" ht="14.25" customHeight="1">
      <c r="A321" s="21"/>
      <c r="B321" s="22"/>
      <c r="C321" s="22"/>
    </row>
    <row r="322" ht="14.25" customHeight="1">
      <c r="A322" s="21"/>
      <c r="B322" s="22"/>
      <c r="C322" s="22"/>
    </row>
    <row r="323" ht="14.25" customHeight="1">
      <c r="A323" s="21"/>
      <c r="B323" s="22"/>
      <c r="C323" s="22"/>
    </row>
    <row r="324" ht="14.25" customHeight="1">
      <c r="A324" s="21"/>
      <c r="B324" s="22"/>
      <c r="C324" s="22"/>
    </row>
    <row r="325" ht="14.25" customHeight="1">
      <c r="A325" s="21"/>
      <c r="B325" s="22"/>
      <c r="C325" s="22"/>
    </row>
    <row r="326" ht="14.25" customHeight="1">
      <c r="A326" s="21"/>
      <c r="B326" s="22"/>
      <c r="C326" s="22"/>
    </row>
    <row r="327" ht="14.25" customHeight="1">
      <c r="A327" s="21"/>
      <c r="B327" s="22"/>
      <c r="C327" s="22"/>
    </row>
    <row r="328" ht="14.25" customHeight="1">
      <c r="A328" s="21"/>
      <c r="B328" s="22"/>
      <c r="C328" s="22"/>
    </row>
    <row r="329" ht="14.25" customHeight="1">
      <c r="A329" s="21"/>
      <c r="B329" s="22"/>
      <c r="C329" s="22"/>
    </row>
    <row r="330" ht="14.25" customHeight="1">
      <c r="A330" s="21"/>
      <c r="B330" s="22"/>
      <c r="C330" s="22"/>
    </row>
    <row r="331" ht="14.25" customHeight="1">
      <c r="A331" s="21"/>
      <c r="B331" s="22"/>
      <c r="C331" s="22"/>
    </row>
    <row r="332" ht="14.25" customHeight="1">
      <c r="A332" s="21"/>
      <c r="B332" s="22"/>
      <c r="C332" s="22"/>
    </row>
    <row r="333" ht="14.25" customHeight="1">
      <c r="A333" s="21"/>
      <c r="B333" s="22"/>
      <c r="C333" s="22"/>
    </row>
    <row r="334" ht="14.25" customHeight="1">
      <c r="A334" s="21"/>
      <c r="B334" s="22"/>
      <c r="C334" s="22"/>
    </row>
    <row r="335" ht="14.25" customHeight="1">
      <c r="A335" s="21"/>
      <c r="B335" s="22"/>
      <c r="C335" s="22"/>
    </row>
    <row r="336" ht="14.25" customHeight="1">
      <c r="A336" s="21"/>
      <c r="B336" s="22"/>
      <c r="C336" s="22"/>
    </row>
    <row r="337" ht="14.25" customHeight="1">
      <c r="A337" s="21"/>
      <c r="B337" s="22"/>
      <c r="C337" s="22"/>
    </row>
    <row r="338" ht="14.25" customHeight="1">
      <c r="A338" s="21"/>
      <c r="B338" s="22"/>
      <c r="C338" s="22"/>
    </row>
    <row r="339" ht="14.25" customHeight="1">
      <c r="A339" s="21"/>
      <c r="B339" s="22"/>
      <c r="C339" s="22"/>
    </row>
    <row r="340" ht="14.25" customHeight="1">
      <c r="A340" s="21"/>
      <c r="B340" s="22"/>
      <c r="C340" s="22"/>
    </row>
    <row r="341" ht="14.25" customHeight="1">
      <c r="A341" s="21"/>
      <c r="B341" s="22"/>
      <c r="C341" s="22"/>
    </row>
    <row r="342" ht="14.25" customHeight="1">
      <c r="A342" s="21"/>
      <c r="B342" s="22"/>
      <c r="C342" s="22"/>
    </row>
    <row r="343" ht="14.25" customHeight="1">
      <c r="A343" s="21"/>
      <c r="B343" s="22"/>
      <c r="C343" s="22"/>
    </row>
    <row r="344" ht="14.25" customHeight="1">
      <c r="A344" s="21"/>
      <c r="B344" s="22"/>
      <c r="C344" s="22"/>
    </row>
    <row r="345" ht="14.25" customHeight="1">
      <c r="A345" s="21"/>
      <c r="B345" s="22"/>
      <c r="C345" s="22"/>
    </row>
    <row r="346" ht="14.25" customHeight="1">
      <c r="A346" s="21"/>
      <c r="B346" s="22"/>
      <c r="C346" s="22"/>
    </row>
    <row r="347" ht="14.25" customHeight="1">
      <c r="A347" s="21"/>
      <c r="B347" s="22"/>
      <c r="C347" s="22"/>
    </row>
    <row r="348" ht="14.25" customHeight="1">
      <c r="A348" s="21"/>
      <c r="B348" s="22"/>
      <c r="C348" s="22"/>
    </row>
    <row r="349" ht="14.25" customHeight="1">
      <c r="A349" s="21"/>
      <c r="B349" s="22"/>
      <c r="C349" s="22"/>
    </row>
    <row r="350" ht="14.25" customHeight="1">
      <c r="A350" s="21"/>
      <c r="B350" s="22"/>
      <c r="C350" s="22"/>
    </row>
    <row r="351" ht="14.25" customHeight="1">
      <c r="A351" s="21"/>
      <c r="B351" s="22"/>
      <c r="C351" s="22"/>
    </row>
    <row r="352" ht="14.25" customHeight="1">
      <c r="A352" s="21"/>
      <c r="B352" s="22"/>
      <c r="C352" s="22"/>
    </row>
    <row r="353" ht="14.25" customHeight="1">
      <c r="A353" s="21"/>
      <c r="B353" s="22"/>
      <c r="C353" s="22"/>
    </row>
    <row r="354" ht="14.25" customHeight="1">
      <c r="A354" s="21"/>
      <c r="B354" s="22"/>
      <c r="C354" s="22"/>
    </row>
    <row r="355" ht="14.25" customHeight="1">
      <c r="A355" s="21"/>
      <c r="B355" s="22"/>
      <c r="C355" s="22"/>
    </row>
    <row r="356" ht="14.25" customHeight="1">
      <c r="A356" s="21"/>
      <c r="B356" s="22"/>
      <c r="C356" s="22"/>
    </row>
    <row r="357" ht="14.25" customHeight="1">
      <c r="A357" s="21"/>
      <c r="B357" s="22"/>
      <c r="C357" s="22"/>
    </row>
    <row r="358" ht="14.25" customHeight="1">
      <c r="A358" s="21"/>
      <c r="B358" s="22"/>
      <c r="C358" s="22"/>
    </row>
    <row r="359" ht="14.25" customHeight="1">
      <c r="A359" s="21"/>
      <c r="B359" s="22"/>
      <c r="C359" s="22"/>
    </row>
    <row r="360" ht="14.25" customHeight="1">
      <c r="A360" s="21"/>
      <c r="B360" s="22"/>
      <c r="C360" s="22"/>
    </row>
    <row r="361" ht="14.25" customHeight="1">
      <c r="A361" s="21"/>
      <c r="B361" s="22"/>
      <c r="C361" s="22"/>
    </row>
    <row r="362" ht="14.25" customHeight="1">
      <c r="A362" s="21"/>
      <c r="B362" s="22"/>
      <c r="C362" s="22"/>
    </row>
    <row r="363" ht="14.25" customHeight="1">
      <c r="A363" s="21"/>
      <c r="B363" s="22"/>
      <c r="C363" s="22"/>
    </row>
    <row r="364" ht="14.25" customHeight="1">
      <c r="A364" s="21"/>
      <c r="B364" s="22"/>
      <c r="C364" s="22"/>
    </row>
    <row r="365" ht="14.25" customHeight="1">
      <c r="A365" s="21"/>
      <c r="B365" s="22"/>
      <c r="C365" s="22"/>
    </row>
    <row r="366" ht="14.25" customHeight="1">
      <c r="A366" s="21"/>
      <c r="B366" s="22"/>
      <c r="C366" s="22"/>
    </row>
    <row r="367" ht="14.25" customHeight="1">
      <c r="A367" s="21"/>
      <c r="B367" s="22"/>
      <c r="C367" s="22"/>
    </row>
    <row r="368" ht="14.25" customHeight="1">
      <c r="A368" s="21"/>
      <c r="B368" s="22"/>
      <c r="C368" s="22"/>
    </row>
    <row r="369" ht="14.25" customHeight="1">
      <c r="A369" s="21"/>
      <c r="B369" s="22"/>
      <c r="C369" s="22"/>
    </row>
    <row r="370" ht="14.25" customHeight="1">
      <c r="A370" s="21"/>
      <c r="B370" s="22"/>
      <c r="C370" s="22"/>
    </row>
    <row r="371" ht="14.25" customHeight="1">
      <c r="A371" s="21"/>
      <c r="B371" s="22"/>
      <c r="C371" s="22"/>
    </row>
    <row r="372" ht="14.25" customHeight="1">
      <c r="A372" s="21"/>
      <c r="B372" s="22"/>
      <c r="C372" s="22"/>
    </row>
    <row r="373" ht="14.25" customHeight="1">
      <c r="A373" s="21"/>
      <c r="B373" s="22"/>
      <c r="C373" s="22"/>
    </row>
    <row r="374" ht="14.25" customHeight="1">
      <c r="A374" s="21"/>
      <c r="B374" s="22"/>
      <c r="C374" s="22"/>
    </row>
    <row r="375" ht="14.25" customHeight="1">
      <c r="A375" s="21"/>
      <c r="B375" s="22"/>
      <c r="C375" s="22"/>
    </row>
    <row r="376" ht="14.25" customHeight="1">
      <c r="A376" s="21"/>
      <c r="B376" s="22"/>
      <c r="C376" s="22"/>
    </row>
    <row r="377" ht="14.25" customHeight="1">
      <c r="A377" s="21"/>
      <c r="B377" s="22"/>
      <c r="C377" s="22"/>
    </row>
    <row r="378" ht="14.25" customHeight="1">
      <c r="A378" s="21"/>
      <c r="B378" s="22"/>
      <c r="C378" s="22"/>
    </row>
    <row r="379" ht="14.25" customHeight="1">
      <c r="A379" s="21"/>
      <c r="B379" s="22"/>
      <c r="C379" s="22"/>
    </row>
    <row r="380" ht="14.25" customHeight="1">
      <c r="A380" s="21"/>
      <c r="B380" s="22"/>
      <c r="C380" s="22"/>
    </row>
    <row r="381" ht="14.25" customHeight="1">
      <c r="A381" s="21"/>
      <c r="B381" s="22"/>
      <c r="C381" s="22"/>
    </row>
    <row r="382" ht="14.25" customHeight="1">
      <c r="A382" s="21"/>
      <c r="B382" s="22"/>
      <c r="C382" s="22"/>
    </row>
    <row r="383" ht="14.25" customHeight="1">
      <c r="A383" s="21"/>
      <c r="B383" s="22"/>
      <c r="C383" s="22"/>
    </row>
    <row r="384" ht="14.25" customHeight="1">
      <c r="A384" s="21"/>
      <c r="B384" s="22"/>
      <c r="C384" s="22"/>
    </row>
    <row r="385" ht="14.25" customHeight="1">
      <c r="A385" s="21"/>
      <c r="B385" s="22"/>
      <c r="C385" s="22"/>
    </row>
    <row r="386" ht="14.25" customHeight="1">
      <c r="A386" s="21"/>
      <c r="B386" s="22"/>
      <c r="C386" s="22"/>
    </row>
    <row r="387" ht="14.25" customHeight="1">
      <c r="A387" s="21"/>
      <c r="B387" s="22"/>
      <c r="C387" s="22"/>
    </row>
    <row r="388" ht="14.25" customHeight="1">
      <c r="A388" s="21"/>
      <c r="B388" s="22"/>
      <c r="C388" s="22"/>
    </row>
    <row r="389" ht="14.25" customHeight="1">
      <c r="A389" s="21"/>
      <c r="B389" s="22"/>
      <c r="C389" s="22"/>
    </row>
    <row r="390" ht="14.25" customHeight="1">
      <c r="A390" s="21"/>
      <c r="B390" s="22"/>
      <c r="C390" s="22"/>
    </row>
    <row r="391" ht="14.25" customHeight="1">
      <c r="A391" s="21"/>
      <c r="B391" s="22"/>
      <c r="C391" s="22"/>
    </row>
    <row r="392" ht="14.25" customHeight="1">
      <c r="A392" s="21"/>
      <c r="B392" s="22"/>
      <c r="C392" s="22"/>
    </row>
    <row r="393" ht="14.25" customHeight="1">
      <c r="A393" s="21"/>
      <c r="B393" s="22"/>
      <c r="C393" s="22"/>
    </row>
    <row r="394" ht="14.25" customHeight="1">
      <c r="A394" s="21"/>
      <c r="B394" s="22"/>
      <c r="C394" s="22"/>
    </row>
    <row r="395" ht="14.25" customHeight="1">
      <c r="A395" s="21"/>
      <c r="B395" s="22"/>
      <c r="C395" s="22"/>
    </row>
    <row r="396" ht="14.25" customHeight="1">
      <c r="A396" s="21"/>
      <c r="B396" s="22"/>
      <c r="C396" s="22"/>
    </row>
    <row r="397" ht="14.25" customHeight="1">
      <c r="A397" s="21"/>
      <c r="B397" s="22"/>
      <c r="C397" s="22"/>
    </row>
    <row r="398" ht="14.25" customHeight="1">
      <c r="A398" s="21"/>
      <c r="B398" s="22"/>
      <c r="C398" s="22"/>
    </row>
    <row r="399" ht="14.25" customHeight="1">
      <c r="A399" s="21"/>
      <c r="B399" s="22"/>
      <c r="C399" s="22"/>
    </row>
    <row r="400" ht="14.25" customHeight="1">
      <c r="A400" s="21"/>
      <c r="B400" s="22"/>
      <c r="C400" s="22"/>
    </row>
    <row r="401" ht="14.25" customHeight="1">
      <c r="A401" s="21"/>
      <c r="B401" s="22"/>
      <c r="C401" s="22"/>
    </row>
    <row r="402" ht="14.25" customHeight="1">
      <c r="A402" s="21"/>
      <c r="B402" s="22"/>
      <c r="C402" s="22"/>
    </row>
    <row r="403" ht="14.25" customHeight="1">
      <c r="A403" s="21"/>
      <c r="B403" s="22"/>
      <c r="C403" s="22"/>
    </row>
    <row r="404" ht="14.25" customHeight="1">
      <c r="A404" s="21"/>
      <c r="B404" s="22"/>
      <c r="C404" s="22"/>
    </row>
    <row r="405" ht="14.25" customHeight="1">
      <c r="A405" s="21"/>
      <c r="B405" s="22"/>
      <c r="C405" s="22"/>
    </row>
    <row r="406" ht="14.25" customHeight="1">
      <c r="A406" s="21"/>
      <c r="B406" s="22"/>
      <c r="C406" s="22"/>
    </row>
    <row r="407" ht="14.25" customHeight="1">
      <c r="A407" s="21"/>
      <c r="B407" s="22"/>
      <c r="C407" s="22"/>
    </row>
    <row r="408" ht="14.25" customHeight="1">
      <c r="A408" s="21"/>
      <c r="B408" s="22"/>
      <c r="C408" s="22"/>
    </row>
    <row r="409" ht="14.25" customHeight="1">
      <c r="A409" s="21"/>
      <c r="B409" s="22"/>
      <c r="C409" s="22"/>
    </row>
    <row r="410" ht="14.25" customHeight="1">
      <c r="A410" s="21"/>
      <c r="B410" s="22"/>
      <c r="C410" s="22"/>
    </row>
    <row r="411" ht="14.25" customHeight="1">
      <c r="A411" s="21"/>
      <c r="B411" s="22"/>
      <c r="C411" s="22"/>
    </row>
    <row r="412" ht="14.25" customHeight="1">
      <c r="A412" s="21"/>
      <c r="B412" s="22"/>
      <c r="C412" s="22"/>
    </row>
    <row r="413" ht="14.25" customHeight="1">
      <c r="A413" s="21"/>
      <c r="B413" s="22"/>
      <c r="C413" s="22"/>
    </row>
    <row r="414" ht="14.25" customHeight="1">
      <c r="A414" s="21"/>
      <c r="B414" s="22"/>
      <c r="C414" s="22"/>
    </row>
    <row r="415" ht="14.25" customHeight="1">
      <c r="A415" s="21"/>
      <c r="B415" s="22"/>
      <c r="C415" s="22"/>
    </row>
    <row r="416" ht="14.25" customHeight="1">
      <c r="A416" s="21"/>
      <c r="B416" s="22"/>
      <c r="C416" s="22"/>
    </row>
    <row r="417" ht="14.25" customHeight="1">
      <c r="A417" s="21"/>
      <c r="B417" s="22"/>
      <c r="C417" s="22"/>
    </row>
    <row r="418" ht="14.25" customHeight="1">
      <c r="A418" s="21"/>
      <c r="B418" s="22"/>
      <c r="C418" s="22"/>
    </row>
    <row r="419" ht="14.25" customHeight="1">
      <c r="A419" s="21"/>
      <c r="B419" s="22"/>
      <c r="C419" s="22"/>
    </row>
    <row r="420" ht="14.25" customHeight="1">
      <c r="A420" s="21"/>
      <c r="B420" s="22"/>
      <c r="C420" s="22"/>
    </row>
    <row r="421" ht="14.25" customHeight="1">
      <c r="A421" s="21"/>
      <c r="B421" s="22"/>
      <c r="C421" s="22"/>
    </row>
    <row r="422" ht="14.25" customHeight="1">
      <c r="A422" s="21"/>
      <c r="B422" s="22"/>
      <c r="C422" s="22"/>
    </row>
    <row r="423" ht="14.25" customHeight="1">
      <c r="A423" s="21"/>
      <c r="B423" s="22"/>
      <c r="C423" s="22"/>
    </row>
    <row r="424" ht="14.25" customHeight="1">
      <c r="A424" s="21"/>
      <c r="B424" s="22"/>
      <c r="C424" s="22"/>
    </row>
    <row r="425" ht="14.25" customHeight="1">
      <c r="A425" s="21"/>
      <c r="B425" s="22"/>
      <c r="C425" s="22"/>
    </row>
    <row r="426" ht="14.25" customHeight="1">
      <c r="A426" s="21"/>
      <c r="B426" s="22"/>
      <c r="C426" s="22"/>
    </row>
    <row r="427" ht="14.25" customHeight="1">
      <c r="A427" s="21"/>
      <c r="B427" s="22"/>
      <c r="C427" s="22"/>
    </row>
    <row r="428" ht="14.25" customHeight="1">
      <c r="A428" s="21"/>
      <c r="B428" s="22"/>
      <c r="C428" s="22"/>
    </row>
    <row r="429" ht="14.25" customHeight="1">
      <c r="A429" s="21"/>
      <c r="B429" s="22"/>
      <c r="C429" s="22"/>
    </row>
    <row r="430" ht="14.25" customHeight="1">
      <c r="A430" s="21"/>
      <c r="B430" s="22"/>
      <c r="C430" s="22"/>
    </row>
    <row r="431" ht="14.25" customHeight="1">
      <c r="A431" s="21"/>
      <c r="B431" s="22"/>
      <c r="C431" s="22"/>
    </row>
    <row r="432" ht="14.25" customHeight="1">
      <c r="A432" s="21"/>
      <c r="B432" s="22"/>
      <c r="C432" s="22"/>
    </row>
    <row r="433" ht="14.25" customHeight="1">
      <c r="A433" s="21"/>
      <c r="B433" s="22"/>
      <c r="C433" s="22"/>
    </row>
    <row r="434" ht="14.25" customHeight="1">
      <c r="A434" s="21"/>
      <c r="B434" s="22"/>
      <c r="C434" s="22"/>
    </row>
    <row r="435" ht="14.25" customHeight="1">
      <c r="A435" s="21"/>
      <c r="B435" s="22"/>
      <c r="C435" s="22"/>
    </row>
    <row r="436" ht="14.25" customHeight="1">
      <c r="A436" s="21"/>
      <c r="B436" s="22"/>
      <c r="C436" s="22"/>
    </row>
    <row r="437" ht="14.25" customHeight="1">
      <c r="A437" s="21"/>
      <c r="B437" s="22"/>
      <c r="C437" s="22"/>
    </row>
    <row r="438" ht="14.25" customHeight="1">
      <c r="A438" s="21"/>
      <c r="B438" s="22"/>
      <c r="C438" s="22"/>
    </row>
    <row r="439" ht="14.25" customHeight="1">
      <c r="A439" s="21"/>
      <c r="B439" s="22"/>
      <c r="C439" s="22"/>
    </row>
    <row r="440" ht="14.25" customHeight="1">
      <c r="A440" s="21"/>
      <c r="B440" s="22"/>
      <c r="C440" s="22"/>
    </row>
    <row r="441" ht="14.25" customHeight="1">
      <c r="A441" s="21"/>
      <c r="B441" s="22"/>
      <c r="C441" s="22"/>
    </row>
    <row r="442" ht="14.25" customHeight="1">
      <c r="A442" s="21"/>
      <c r="B442" s="22"/>
      <c r="C442" s="22"/>
    </row>
    <row r="443" ht="14.25" customHeight="1">
      <c r="A443" s="21"/>
      <c r="B443" s="22"/>
      <c r="C443" s="22"/>
    </row>
    <row r="444" ht="14.25" customHeight="1">
      <c r="A444" s="21"/>
      <c r="B444" s="22"/>
      <c r="C444" s="22"/>
    </row>
    <row r="445" ht="14.25" customHeight="1">
      <c r="A445" s="21"/>
      <c r="B445" s="22"/>
      <c r="C445" s="22"/>
    </row>
    <row r="446" ht="14.25" customHeight="1">
      <c r="A446" s="21"/>
      <c r="B446" s="22"/>
      <c r="C446" s="22"/>
    </row>
    <row r="447" ht="14.25" customHeight="1">
      <c r="A447" s="21"/>
      <c r="B447" s="22"/>
      <c r="C447" s="22"/>
    </row>
    <row r="448" ht="14.25" customHeight="1">
      <c r="A448" s="21"/>
      <c r="B448" s="22"/>
      <c r="C448" s="22"/>
    </row>
    <row r="449" ht="14.25" customHeight="1">
      <c r="A449" s="21"/>
      <c r="B449" s="22"/>
      <c r="C449" s="22"/>
    </row>
    <row r="450" ht="14.25" customHeight="1">
      <c r="A450" s="21"/>
      <c r="B450" s="22"/>
      <c r="C450" s="22"/>
    </row>
    <row r="451" ht="14.25" customHeight="1">
      <c r="A451" s="21"/>
      <c r="B451" s="22"/>
      <c r="C451" s="22"/>
    </row>
    <row r="452" ht="14.25" customHeight="1">
      <c r="A452" s="21"/>
      <c r="B452" s="22"/>
      <c r="C452" s="22"/>
    </row>
    <row r="453" ht="14.25" customHeight="1">
      <c r="A453" s="21"/>
      <c r="B453" s="22"/>
      <c r="C453" s="22"/>
    </row>
    <row r="454" ht="14.25" customHeight="1">
      <c r="A454" s="21"/>
      <c r="B454" s="22"/>
      <c r="C454" s="22"/>
    </row>
    <row r="455" ht="14.25" customHeight="1">
      <c r="A455" s="21"/>
      <c r="B455" s="22"/>
      <c r="C455" s="22"/>
    </row>
    <row r="456" ht="14.25" customHeight="1">
      <c r="A456" s="21"/>
      <c r="B456" s="22"/>
      <c r="C456" s="22"/>
    </row>
    <row r="457" ht="14.25" customHeight="1">
      <c r="A457" s="21"/>
      <c r="B457" s="22"/>
      <c r="C457" s="22"/>
    </row>
    <row r="458" ht="14.25" customHeight="1">
      <c r="A458" s="21"/>
      <c r="B458" s="22"/>
      <c r="C458" s="22"/>
    </row>
    <row r="459" ht="14.25" customHeight="1">
      <c r="A459" s="21"/>
      <c r="B459" s="22"/>
      <c r="C459" s="22"/>
    </row>
    <row r="460" ht="14.25" customHeight="1">
      <c r="A460" s="21"/>
      <c r="B460" s="22"/>
      <c r="C460" s="22"/>
    </row>
    <row r="461" ht="14.25" customHeight="1">
      <c r="A461" s="21"/>
      <c r="B461" s="22"/>
      <c r="C461" s="22"/>
    </row>
    <row r="462" ht="14.25" customHeight="1">
      <c r="A462" s="21"/>
      <c r="B462" s="22"/>
      <c r="C462" s="22"/>
    </row>
    <row r="463" ht="14.25" customHeight="1">
      <c r="A463" s="21"/>
      <c r="B463" s="22"/>
      <c r="C463" s="22"/>
    </row>
    <row r="464" ht="14.25" customHeight="1">
      <c r="A464" s="21"/>
      <c r="B464" s="22"/>
      <c r="C464" s="22"/>
    </row>
    <row r="465" ht="14.25" customHeight="1">
      <c r="A465" s="21"/>
      <c r="B465" s="22"/>
      <c r="C465" s="22"/>
    </row>
    <row r="466" ht="14.25" customHeight="1">
      <c r="A466" s="21"/>
      <c r="B466" s="22"/>
      <c r="C466" s="22"/>
    </row>
    <row r="467" ht="14.25" customHeight="1">
      <c r="A467" s="21"/>
      <c r="B467" s="22"/>
      <c r="C467" s="22"/>
    </row>
    <row r="468" ht="14.25" customHeight="1">
      <c r="A468" s="21"/>
      <c r="B468" s="22"/>
      <c r="C468" s="22"/>
    </row>
    <row r="469" ht="14.25" customHeight="1">
      <c r="A469" s="21"/>
      <c r="B469" s="22"/>
      <c r="C469" s="22"/>
    </row>
    <row r="470" ht="14.25" customHeight="1">
      <c r="A470" s="21"/>
      <c r="B470" s="22"/>
      <c r="C470" s="22"/>
    </row>
    <row r="471" ht="14.25" customHeight="1">
      <c r="A471" s="21"/>
      <c r="B471" s="22"/>
      <c r="C471" s="22"/>
    </row>
    <row r="472" ht="14.25" customHeight="1">
      <c r="A472" s="21"/>
      <c r="B472" s="22"/>
      <c r="C472" s="22"/>
    </row>
    <row r="473" ht="14.25" customHeight="1">
      <c r="A473" s="21"/>
      <c r="B473" s="22"/>
      <c r="C473" s="22"/>
    </row>
    <row r="474" ht="14.25" customHeight="1">
      <c r="A474" s="21"/>
      <c r="B474" s="22"/>
      <c r="C474" s="22"/>
    </row>
    <row r="475" ht="14.25" customHeight="1">
      <c r="A475" s="21"/>
      <c r="B475" s="22"/>
      <c r="C475" s="22"/>
    </row>
    <row r="476" ht="14.25" customHeight="1">
      <c r="A476" s="21"/>
      <c r="B476" s="22"/>
      <c r="C476" s="22"/>
    </row>
    <row r="477" ht="14.25" customHeight="1">
      <c r="A477" s="21"/>
      <c r="B477" s="22"/>
      <c r="C477" s="22"/>
    </row>
    <row r="478" ht="14.25" customHeight="1">
      <c r="A478" s="21"/>
      <c r="B478" s="22"/>
      <c r="C478" s="22"/>
    </row>
    <row r="479" ht="14.25" customHeight="1">
      <c r="A479" s="21"/>
      <c r="B479" s="22"/>
      <c r="C479" s="22"/>
    </row>
    <row r="480" ht="14.25" customHeight="1">
      <c r="A480" s="21"/>
      <c r="B480" s="22"/>
      <c r="C480" s="22"/>
    </row>
    <row r="481" ht="14.25" customHeight="1">
      <c r="A481" s="21"/>
      <c r="B481" s="22"/>
      <c r="C481" s="22"/>
    </row>
    <row r="482" ht="14.25" customHeight="1">
      <c r="A482" s="21"/>
      <c r="B482" s="22"/>
      <c r="C482" s="22"/>
    </row>
    <row r="483" ht="14.25" customHeight="1">
      <c r="A483" s="21"/>
      <c r="B483" s="22"/>
      <c r="C483" s="22"/>
    </row>
    <row r="484" ht="14.25" customHeight="1">
      <c r="A484" s="21"/>
      <c r="B484" s="22"/>
      <c r="C484" s="22"/>
    </row>
    <row r="485" ht="14.25" customHeight="1">
      <c r="A485" s="21"/>
      <c r="B485" s="22"/>
      <c r="C485" s="22"/>
    </row>
    <row r="486" ht="14.25" customHeight="1">
      <c r="A486" s="21"/>
      <c r="B486" s="22"/>
      <c r="C486" s="22"/>
    </row>
    <row r="487" ht="14.25" customHeight="1">
      <c r="A487" s="21"/>
      <c r="B487" s="22"/>
      <c r="C487" s="22"/>
    </row>
    <row r="488" ht="14.25" customHeight="1">
      <c r="A488" s="21"/>
      <c r="B488" s="22"/>
      <c r="C488" s="22"/>
    </row>
    <row r="489" ht="14.25" customHeight="1">
      <c r="A489" s="21"/>
      <c r="B489" s="22"/>
      <c r="C489" s="22"/>
    </row>
    <row r="490" ht="14.25" customHeight="1">
      <c r="A490" s="21"/>
      <c r="B490" s="22"/>
      <c r="C490" s="22"/>
    </row>
    <row r="491" ht="14.25" customHeight="1">
      <c r="A491" s="21"/>
      <c r="B491" s="22"/>
      <c r="C491" s="22"/>
    </row>
    <row r="492" ht="14.25" customHeight="1">
      <c r="A492" s="21"/>
      <c r="B492" s="22"/>
      <c r="C492" s="22"/>
    </row>
    <row r="493" ht="14.25" customHeight="1">
      <c r="A493" s="21"/>
      <c r="B493" s="22"/>
      <c r="C493" s="22"/>
    </row>
    <row r="494" ht="14.25" customHeight="1">
      <c r="A494" s="21"/>
      <c r="B494" s="22"/>
      <c r="C494" s="22"/>
    </row>
    <row r="495" ht="14.25" customHeight="1">
      <c r="A495" s="21"/>
      <c r="B495" s="22"/>
      <c r="C495" s="22"/>
    </row>
    <row r="496" ht="14.25" customHeight="1">
      <c r="A496" s="21"/>
      <c r="B496" s="22"/>
      <c r="C496" s="22"/>
    </row>
    <row r="497" ht="14.25" customHeight="1">
      <c r="A497" s="21"/>
      <c r="B497" s="22"/>
      <c r="C497" s="22"/>
    </row>
    <row r="498" ht="14.25" customHeight="1">
      <c r="A498" s="21"/>
      <c r="B498" s="22"/>
      <c r="C498" s="22"/>
    </row>
    <row r="499" ht="14.25" customHeight="1">
      <c r="A499" s="21"/>
      <c r="B499" s="22"/>
      <c r="C499" s="22"/>
    </row>
    <row r="500" ht="14.25" customHeight="1">
      <c r="A500" s="21"/>
      <c r="B500" s="22"/>
      <c r="C500" s="22"/>
    </row>
    <row r="501" ht="14.25" customHeight="1">
      <c r="A501" s="21"/>
      <c r="B501" s="22"/>
      <c r="C501" s="22"/>
    </row>
    <row r="502" ht="14.25" customHeight="1">
      <c r="A502" s="21"/>
      <c r="B502" s="22"/>
      <c r="C502" s="22"/>
    </row>
    <row r="503" ht="14.25" customHeight="1">
      <c r="A503" s="21"/>
      <c r="B503" s="22"/>
      <c r="C503" s="22"/>
    </row>
    <row r="504" ht="14.25" customHeight="1">
      <c r="A504" s="21"/>
      <c r="B504" s="22"/>
      <c r="C504" s="22"/>
    </row>
    <row r="505" ht="14.25" customHeight="1">
      <c r="A505" s="21"/>
      <c r="B505" s="22"/>
      <c r="C505" s="22"/>
    </row>
    <row r="506" ht="14.25" customHeight="1">
      <c r="A506" s="21"/>
      <c r="B506" s="22"/>
      <c r="C506" s="22"/>
    </row>
    <row r="507" ht="14.25" customHeight="1">
      <c r="A507" s="21"/>
      <c r="B507" s="22"/>
      <c r="C507" s="22"/>
    </row>
    <row r="508" ht="14.25" customHeight="1">
      <c r="A508" s="21"/>
      <c r="B508" s="22"/>
      <c r="C508" s="22"/>
    </row>
    <row r="509" ht="14.25" customHeight="1">
      <c r="A509" s="21"/>
      <c r="B509" s="22"/>
      <c r="C509" s="22"/>
    </row>
    <row r="510" ht="14.25" customHeight="1">
      <c r="A510" s="21"/>
      <c r="B510" s="22"/>
      <c r="C510" s="22"/>
    </row>
    <row r="511" ht="14.25" customHeight="1">
      <c r="A511" s="21"/>
      <c r="B511" s="22"/>
      <c r="C511" s="22"/>
    </row>
    <row r="512" ht="14.25" customHeight="1">
      <c r="A512" s="21"/>
      <c r="B512" s="22"/>
      <c r="C512" s="22"/>
    </row>
    <row r="513" ht="14.25" customHeight="1">
      <c r="A513" s="21"/>
      <c r="B513" s="22"/>
      <c r="C513" s="22"/>
    </row>
    <row r="514" ht="14.25" customHeight="1">
      <c r="A514" s="21"/>
      <c r="B514" s="22"/>
      <c r="C514" s="22"/>
    </row>
    <row r="515" ht="14.25" customHeight="1">
      <c r="A515" s="21"/>
      <c r="B515" s="22"/>
      <c r="C515" s="22"/>
    </row>
    <row r="516" ht="14.25" customHeight="1">
      <c r="A516" s="21"/>
      <c r="B516" s="22"/>
      <c r="C516" s="22"/>
    </row>
    <row r="517" ht="14.25" customHeight="1">
      <c r="A517" s="21"/>
      <c r="B517" s="22"/>
      <c r="C517" s="22"/>
    </row>
    <row r="518" ht="14.25" customHeight="1">
      <c r="A518" s="21"/>
      <c r="B518" s="22"/>
      <c r="C518" s="22"/>
    </row>
    <row r="519" ht="14.25" customHeight="1">
      <c r="A519" s="21"/>
      <c r="B519" s="22"/>
      <c r="C519" s="22"/>
    </row>
    <row r="520" ht="14.25" customHeight="1">
      <c r="A520" s="21"/>
      <c r="B520" s="22"/>
      <c r="C520" s="22"/>
    </row>
    <row r="521" ht="14.25" customHeight="1">
      <c r="A521" s="21"/>
      <c r="B521" s="22"/>
      <c r="C521" s="22"/>
    </row>
    <row r="522" ht="14.25" customHeight="1">
      <c r="A522" s="21"/>
      <c r="B522" s="22"/>
      <c r="C522" s="22"/>
    </row>
    <row r="523" ht="14.25" customHeight="1">
      <c r="A523" s="21"/>
      <c r="B523" s="22"/>
      <c r="C523" s="22"/>
    </row>
    <row r="524" ht="14.25" customHeight="1">
      <c r="A524" s="21"/>
      <c r="B524" s="22"/>
      <c r="C524" s="22"/>
    </row>
    <row r="525" ht="14.25" customHeight="1">
      <c r="A525" s="21"/>
      <c r="B525" s="22"/>
      <c r="C525" s="22"/>
    </row>
    <row r="526" ht="14.25" customHeight="1">
      <c r="A526" s="21"/>
      <c r="B526" s="22"/>
      <c r="C526" s="22"/>
    </row>
    <row r="527" ht="14.25" customHeight="1">
      <c r="A527" s="21"/>
      <c r="B527" s="22"/>
      <c r="C527" s="22"/>
    </row>
    <row r="528" ht="14.25" customHeight="1">
      <c r="A528" s="21"/>
      <c r="B528" s="22"/>
      <c r="C528" s="22"/>
    </row>
    <row r="529" ht="14.25" customHeight="1">
      <c r="A529" s="21"/>
      <c r="B529" s="22"/>
      <c r="C529" s="22"/>
    </row>
    <row r="530" ht="14.25" customHeight="1">
      <c r="A530" s="21"/>
      <c r="B530" s="22"/>
      <c r="C530" s="22"/>
    </row>
    <row r="531" ht="14.25" customHeight="1">
      <c r="A531" s="21"/>
      <c r="B531" s="22"/>
      <c r="C531" s="22"/>
    </row>
    <row r="532" ht="14.25" customHeight="1">
      <c r="A532" s="21"/>
      <c r="B532" s="22"/>
      <c r="C532" s="22"/>
    </row>
    <row r="533" ht="14.25" customHeight="1">
      <c r="A533" s="21"/>
      <c r="B533" s="22"/>
      <c r="C533" s="22"/>
    </row>
    <row r="534" ht="14.25" customHeight="1">
      <c r="A534" s="21"/>
      <c r="B534" s="22"/>
      <c r="C534" s="22"/>
    </row>
    <row r="535" ht="14.25" customHeight="1">
      <c r="A535" s="21"/>
      <c r="B535" s="22"/>
      <c r="C535" s="22"/>
    </row>
    <row r="536" ht="14.25" customHeight="1">
      <c r="A536" s="21"/>
      <c r="B536" s="22"/>
      <c r="C536" s="22"/>
    </row>
    <row r="537" ht="14.25" customHeight="1">
      <c r="A537" s="21"/>
      <c r="B537" s="22"/>
      <c r="C537" s="22"/>
    </row>
    <row r="538" ht="14.25" customHeight="1">
      <c r="A538" s="21"/>
      <c r="B538" s="22"/>
      <c r="C538" s="22"/>
    </row>
    <row r="539" ht="14.25" customHeight="1">
      <c r="A539" s="21"/>
      <c r="B539" s="22"/>
      <c r="C539" s="22"/>
    </row>
    <row r="540" ht="14.25" customHeight="1">
      <c r="A540" s="21"/>
      <c r="B540" s="22"/>
      <c r="C540" s="22"/>
    </row>
    <row r="541" ht="14.25" customHeight="1">
      <c r="A541" s="21"/>
      <c r="B541" s="22"/>
      <c r="C541" s="22"/>
    </row>
    <row r="542" ht="14.25" customHeight="1">
      <c r="A542" s="21"/>
      <c r="B542" s="22"/>
      <c r="C542" s="22"/>
    </row>
    <row r="543" ht="14.25" customHeight="1">
      <c r="A543" s="21"/>
      <c r="B543" s="22"/>
      <c r="C543" s="22"/>
    </row>
    <row r="544" ht="14.25" customHeight="1">
      <c r="A544" s="21"/>
      <c r="B544" s="22"/>
      <c r="C544" s="22"/>
    </row>
    <row r="545" ht="14.25" customHeight="1">
      <c r="A545" s="21"/>
      <c r="B545" s="22"/>
      <c r="C545" s="22"/>
    </row>
    <row r="546" ht="14.25" customHeight="1">
      <c r="A546" s="21"/>
      <c r="B546" s="22"/>
      <c r="C546" s="22"/>
    </row>
    <row r="547" ht="14.25" customHeight="1">
      <c r="A547" s="21"/>
      <c r="B547" s="22"/>
      <c r="C547" s="22"/>
    </row>
    <row r="548" ht="14.25" customHeight="1">
      <c r="A548" s="21"/>
      <c r="B548" s="22"/>
      <c r="C548" s="22"/>
    </row>
    <row r="549" ht="14.25" customHeight="1">
      <c r="A549" s="21"/>
      <c r="B549" s="22"/>
      <c r="C549" s="22"/>
    </row>
    <row r="550" ht="14.25" customHeight="1">
      <c r="A550" s="21"/>
      <c r="B550" s="22"/>
      <c r="C550" s="22"/>
    </row>
    <row r="551" ht="14.25" customHeight="1">
      <c r="A551" s="21"/>
      <c r="B551" s="22"/>
      <c r="C551" s="22"/>
    </row>
    <row r="552" ht="14.25" customHeight="1">
      <c r="A552" s="21"/>
      <c r="B552" s="22"/>
      <c r="C552" s="22"/>
    </row>
    <row r="553" ht="14.25" customHeight="1">
      <c r="A553" s="21"/>
      <c r="B553" s="22"/>
      <c r="C553" s="22"/>
    </row>
    <row r="554" ht="14.25" customHeight="1">
      <c r="A554" s="21"/>
      <c r="B554" s="22"/>
      <c r="C554" s="22"/>
    </row>
    <row r="555" ht="14.25" customHeight="1">
      <c r="A555" s="21"/>
      <c r="B555" s="22"/>
      <c r="C555" s="22"/>
    </row>
    <row r="556" ht="14.25" customHeight="1">
      <c r="A556" s="21"/>
      <c r="B556" s="22"/>
      <c r="C556" s="22"/>
    </row>
    <row r="557" ht="14.25" customHeight="1">
      <c r="A557" s="21"/>
      <c r="B557" s="22"/>
      <c r="C557" s="22"/>
    </row>
    <row r="558" ht="14.25" customHeight="1">
      <c r="A558" s="21"/>
      <c r="B558" s="22"/>
      <c r="C558" s="22"/>
    </row>
    <row r="559" ht="14.25" customHeight="1">
      <c r="A559" s="21"/>
      <c r="B559" s="22"/>
      <c r="C559" s="22"/>
    </row>
    <row r="560" ht="14.25" customHeight="1">
      <c r="A560" s="21"/>
      <c r="B560" s="22"/>
      <c r="C560" s="22"/>
    </row>
    <row r="561" ht="14.25" customHeight="1">
      <c r="A561" s="21"/>
      <c r="B561" s="22"/>
      <c r="C561" s="22"/>
    </row>
    <row r="562" ht="14.25" customHeight="1">
      <c r="A562" s="21"/>
      <c r="B562" s="22"/>
      <c r="C562" s="22"/>
    </row>
    <row r="563" ht="14.25" customHeight="1">
      <c r="A563" s="21"/>
      <c r="B563" s="22"/>
      <c r="C563" s="22"/>
    </row>
    <row r="564" ht="14.25" customHeight="1">
      <c r="A564" s="21"/>
      <c r="B564" s="22"/>
      <c r="C564" s="22"/>
    </row>
    <row r="565" ht="14.25" customHeight="1">
      <c r="A565" s="21"/>
      <c r="B565" s="22"/>
      <c r="C565" s="22"/>
    </row>
    <row r="566" ht="14.25" customHeight="1">
      <c r="A566" s="21"/>
      <c r="B566" s="22"/>
      <c r="C566" s="22"/>
    </row>
    <row r="567" ht="14.25" customHeight="1">
      <c r="A567" s="21"/>
      <c r="B567" s="22"/>
      <c r="C567" s="22"/>
    </row>
    <row r="568" ht="14.25" customHeight="1">
      <c r="A568" s="21"/>
      <c r="B568" s="22"/>
      <c r="C568" s="22"/>
    </row>
    <row r="569" ht="14.25" customHeight="1">
      <c r="A569" s="21"/>
      <c r="B569" s="22"/>
      <c r="C569" s="22"/>
    </row>
    <row r="570" ht="14.25" customHeight="1">
      <c r="A570" s="21"/>
      <c r="B570" s="22"/>
      <c r="C570" s="22"/>
    </row>
    <row r="571" ht="14.25" customHeight="1">
      <c r="A571" s="21"/>
      <c r="B571" s="22"/>
      <c r="C571" s="22"/>
    </row>
    <row r="572" ht="14.25" customHeight="1">
      <c r="A572" s="21"/>
      <c r="B572" s="22"/>
      <c r="C572" s="22"/>
    </row>
    <row r="573" ht="14.25" customHeight="1">
      <c r="A573" s="21"/>
      <c r="B573" s="22"/>
      <c r="C573" s="22"/>
    </row>
    <row r="574" ht="14.25" customHeight="1">
      <c r="A574" s="21"/>
      <c r="B574" s="22"/>
      <c r="C574" s="22"/>
    </row>
    <row r="575" ht="14.25" customHeight="1">
      <c r="A575" s="21"/>
      <c r="B575" s="22"/>
      <c r="C575" s="22"/>
    </row>
    <row r="576" ht="14.25" customHeight="1">
      <c r="A576" s="21"/>
      <c r="B576" s="22"/>
      <c r="C576" s="22"/>
    </row>
    <row r="577" ht="14.25" customHeight="1">
      <c r="A577" s="21"/>
      <c r="B577" s="22"/>
      <c r="C577" s="22"/>
    </row>
    <row r="578" ht="14.25" customHeight="1">
      <c r="A578" s="21"/>
      <c r="B578" s="22"/>
      <c r="C578" s="22"/>
    </row>
    <row r="579" ht="14.25" customHeight="1">
      <c r="A579" s="21"/>
      <c r="B579" s="22"/>
      <c r="C579" s="22"/>
    </row>
    <row r="580" ht="14.25" customHeight="1">
      <c r="A580" s="21"/>
      <c r="B580" s="22"/>
      <c r="C580" s="22"/>
    </row>
    <row r="581" ht="14.25" customHeight="1">
      <c r="A581" s="21"/>
      <c r="B581" s="22"/>
      <c r="C581" s="22"/>
    </row>
    <row r="582" ht="14.25" customHeight="1">
      <c r="A582" s="21"/>
      <c r="B582" s="22"/>
      <c r="C582" s="22"/>
    </row>
    <row r="583" ht="14.25" customHeight="1">
      <c r="A583" s="21"/>
      <c r="B583" s="22"/>
      <c r="C583" s="22"/>
    </row>
    <row r="584" ht="14.25" customHeight="1">
      <c r="A584" s="21"/>
      <c r="B584" s="22"/>
      <c r="C584" s="22"/>
    </row>
    <row r="585" ht="14.25" customHeight="1">
      <c r="A585" s="21"/>
      <c r="B585" s="22"/>
      <c r="C585" s="22"/>
    </row>
    <row r="586" ht="14.25" customHeight="1">
      <c r="A586" s="21"/>
      <c r="B586" s="22"/>
      <c r="C586" s="22"/>
    </row>
    <row r="587" ht="14.25" customHeight="1">
      <c r="A587" s="21"/>
      <c r="B587" s="22"/>
      <c r="C587" s="22"/>
    </row>
    <row r="588" ht="14.25" customHeight="1">
      <c r="A588" s="21"/>
      <c r="B588" s="22"/>
      <c r="C588" s="22"/>
    </row>
    <row r="589" ht="14.25" customHeight="1">
      <c r="A589" s="21"/>
      <c r="B589" s="22"/>
      <c r="C589" s="22"/>
    </row>
    <row r="590" ht="14.25" customHeight="1">
      <c r="A590" s="21"/>
      <c r="B590" s="22"/>
      <c r="C590" s="22"/>
    </row>
    <row r="591" ht="14.25" customHeight="1">
      <c r="A591" s="21"/>
      <c r="B591" s="22"/>
      <c r="C591" s="22"/>
    </row>
    <row r="592" ht="14.25" customHeight="1">
      <c r="A592" s="21"/>
      <c r="B592" s="22"/>
      <c r="C592" s="22"/>
    </row>
    <row r="593" ht="14.25" customHeight="1">
      <c r="A593" s="21"/>
      <c r="B593" s="22"/>
      <c r="C593" s="22"/>
    </row>
    <row r="594" ht="14.25" customHeight="1">
      <c r="A594" s="21"/>
      <c r="B594" s="22"/>
      <c r="C594" s="22"/>
    </row>
    <row r="595" ht="14.25" customHeight="1">
      <c r="A595" s="21"/>
      <c r="B595" s="22"/>
      <c r="C595" s="22"/>
    </row>
    <row r="596" ht="14.25" customHeight="1">
      <c r="A596" s="21"/>
      <c r="B596" s="22"/>
      <c r="C596" s="22"/>
    </row>
    <row r="597" ht="14.25" customHeight="1">
      <c r="A597" s="21"/>
      <c r="B597" s="22"/>
      <c r="C597" s="22"/>
    </row>
    <row r="598" ht="14.25" customHeight="1">
      <c r="A598" s="21"/>
      <c r="B598" s="22"/>
      <c r="C598" s="22"/>
    </row>
    <row r="599" ht="14.25" customHeight="1">
      <c r="A599" s="21"/>
      <c r="B599" s="22"/>
      <c r="C599" s="22"/>
    </row>
    <row r="600" ht="14.25" customHeight="1">
      <c r="A600" s="21"/>
      <c r="B600" s="22"/>
      <c r="C600" s="22"/>
    </row>
    <row r="601" ht="14.25" customHeight="1">
      <c r="A601" s="21"/>
      <c r="B601" s="22"/>
      <c r="C601" s="22"/>
    </row>
    <row r="602" ht="14.25" customHeight="1">
      <c r="A602" s="21"/>
      <c r="B602" s="22"/>
      <c r="C602" s="22"/>
    </row>
    <row r="603" ht="14.25" customHeight="1">
      <c r="A603" s="21"/>
      <c r="B603" s="22"/>
      <c r="C603" s="22"/>
    </row>
    <row r="604" ht="14.25" customHeight="1">
      <c r="A604" s="21"/>
      <c r="B604" s="22"/>
      <c r="C604" s="22"/>
    </row>
    <row r="605" ht="14.25" customHeight="1">
      <c r="A605" s="21"/>
      <c r="B605" s="22"/>
      <c r="C605" s="22"/>
    </row>
    <row r="606" ht="14.25" customHeight="1">
      <c r="A606" s="21"/>
      <c r="B606" s="22"/>
      <c r="C606" s="22"/>
    </row>
    <row r="607" ht="14.25" customHeight="1">
      <c r="A607" s="21"/>
      <c r="B607" s="22"/>
      <c r="C607" s="22"/>
    </row>
    <row r="608" ht="14.25" customHeight="1">
      <c r="A608" s="21"/>
      <c r="B608" s="22"/>
      <c r="C608" s="22"/>
    </row>
    <row r="609" ht="14.25" customHeight="1">
      <c r="A609" s="21"/>
      <c r="B609" s="22"/>
      <c r="C609" s="22"/>
    </row>
    <row r="610" ht="14.25" customHeight="1">
      <c r="A610" s="21"/>
      <c r="B610" s="22"/>
      <c r="C610" s="22"/>
    </row>
    <row r="611" ht="14.25" customHeight="1">
      <c r="A611" s="21"/>
      <c r="B611" s="22"/>
      <c r="C611" s="22"/>
    </row>
    <row r="612" ht="14.25" customHeight="1">
      <c r="A612" s="21"/>
      <c r="B612" s="22"/>
      <c r="C612" s="22"/>
    </row>
    <row r="613" ht="14.25" customHeight="1">
      <c r="A613" s="21"/>
      <c r="B613" s="22"/>
      <c r="C613" s="22"/>
    </row>
    <row r="614" ht="14.25" customHeight="1">
      <c r="A614" s="21"/>
      <c r="B614" s="22"/>
      <c r="C614" s="22"/>
    </row>
    <row r="615" ht="14.25" customHeight="1">
      <c r="A615" s="21"/>
      <c r="B615" s="22"/>
      <c r="C615" s="22"/>
    </row>
    <row r="616" ht="14.25" customHeight="1">
      <c r="A616" s="21"/>
      <c r="B616" s="22"/>
      <c r="C616" s="22"/>
    </row>
    <row r="617" ht="14.25" customHeight="1">
      <c r="A617" s="21"/>
      <c r="B617" s="22"/>
      <c r="C617" s="22"/>
    </row>
    <row r="618" ht="14.25" customHeight="1">
      <c r="A618" s="21"/>
      <c r="B618" s="22"/>
      <c r="C618" s="22"/>
    </row>
    <row r="619" ht="14.25" customHeight="1">
      <c r="A619" s="21"/>
      <c r="B619" s="22"/>
      <c r="C619" s="22"/>
    </row>
    <row r="620" ht="14.25" customHeight="1">
      <c r="A620" s="21"/>
      <c r="B620" s="22"/>
      <c r="C620" s="22"/>
    </row>
    <row r="621" ht="14.25" customHeight="1">
      <c r="A621" s="21"/>
      <c r="B621" s="22"/>
      <c r="C621" s="22"/>
    </row>
    <row r="622" ht="14.25" customHeight="1">
      <c r="A622" s="21"/>
      <c r="B622" s="22"/>
      <c r="C622" s="22"/>
    </row>
    <row r="623" ht="14.25" customHeight="1">
      <c r="A623" s="21"/>
      <c r="B623" s="22"/>
      <c r="C623" s="22"/>
    </row>
    <row r="624" ht="14.25" customHeight="1">
      <c r="A624" s="21"/>
      <c r="B624" s="22"/>
      <c r="C624" s="22"/>
    </row>
    <row r="625" ht="14.25" customHeight="1">
      <c r="A625" s="21"/>
      <c r="B625" s="22"/>
      <c r="C625" s="22"/>
    </row>
    <row r="626" ht="14.25" customHeight="1">
      <c r="A626" s="21"/>
      <c r="B626" s="22"/>
      <c r="C626" s="22"/>
    </row>
    <row r="627" ht="14.25" customHeight="1">
      <c r="A627" s="21"/>
      <c r="B627" s="22"/>
      <c r="C627" s="22"/>
    </row>
    <row r="628" ht="14.25" customHeight="1">
      <c r="A628" s="21"/>
      <c r="B628" s="22"/>
      <c r="C628" s="22"/>
    </row>
    <row r="629" ht="14.25" customHeight="1">
      <c r="A629" s="21"/>
      <c r="B629" s="22"/>
      <c r="C629" s="22"/>
    </row>
    <row r="630" ht="14.25" customHeight="1">
      <c r="A630" s="21"/>
      <c r="B630" s="22"/>
      <c r="C630" s="22"/>
    </row>
    <row r="631" ht="14.25" customHeight="1">
      <c r="A631" s="21"/>
      <c r="B631" s="22"/>
      <c r="C631" s="22"/>
    </row>
    <row r="632" ht="14.25" customHeight="1">
      <c r="A632" s="21"/>
      <c r="B632" s="22"/>
      <c r="C632" s="22"/>
    </row>
    <row r="633" ht="14.25" customHeight="1">
      <c r="A633" s="21"/>
      <c r="B633" s="22"/>
      <c r="C633" s="22"/>
    </row>
    <row r="634" ht="14.25" customHeight="1">
      <c r="A634" s="21"/>
      <c r="B634" s="22"/>
      <c r="C634" s="22"/>
    </row>
    <row r="635" ht="14.25" customHeight="1">
      <c r="A635" s="21"/>
      <c r="B635" s="22"/>
      <c r="C635" s="22"/>
    </row>
    <row r="636" ht="14.25" customHeight="1">
      <c r="A636" s="21"/>
      <c r="B636" s="22"/>
      <c r="C636" s="22"/>
    </row>
    <row r="637" ht="14.25" customHeight="1">
      <c r="A637" s="21"/>
      <c r="B637" s="22"/>
      <c r="C637" s="22"/>
    </row>
    <row r="638" ht="14.25" customHeight="1">
      <c r="A638" s="21"/>
      <c r="B638" s="22"/>
      <c r="C638" s="22"/>
    </row>
    <row r="639" ht="14.25" customHeight="1">
      <c r="A639" s="21"/>
      <c r="B639" s="22"/>
      <c r="C639" s="22"/>
    </row>
    <row r="640" ht="14.25" customHeight="1">
      <c r="A640" s="21"/>
      <c r="B640" s="22"/>
      <c r="C640" s="22"/>
    </row>
    <row r="641" ht="14.25" customHeight="1">
      <c r="A641" s="21"/>
      <c r="B641" s="22"/>
      <c r="C641" s="22"/>
    </row>
    <row r="642" ht="14.25" customHeight="1">
      <c r="A642" s="21"/>
      <c r="B642" s="22"/>
      <c r="C642" s="22"/>
    </row>
    <row r="643" ht="14.25" customHeight="1">
      <c r="A643" s="21"/>
      <c r="B643" s="22"/>
      <c r="C643" s="22"/>
    </row>
    <row r="644" ht="14.25" customHeight="1">
      <c r="A644" s="21"/>
      <c r="B644" s="22"/>
      <c r="C644" s="22"/>
    </row>
    <row r="645" ht="14.25" customHeight="1">
      <c r="A645" s="21"/>
      <c r="B645" s="22"/>
      <c r="C645" s="22"/>
    </row>
    <row r="646" ht="14.25" customHeight="1">
      <c r="A646" s="21"/>
      <c r="B646" s="22"/>
      <c r="C646" s="22"/>
    </row>
    <row r="647" ht="14.25" customHeight="1">
      <c r="A647" s="21"/>
      <c r="B647" s="22"/>
      <c r="C647" s="22"/>
    </row>
    <row r="648" ht="14.25" customHeight="1">
      <c r="A648" s="21"/>
      <c r="B648" s="22"/>
      <c r="C648" s="22"/>
    </row>
    <row r="649" ht="14.25" customHeight="1">
      <c r="A649" s="21"/>
      <c r="B649" s="22"/>
      <c r="C649" s="22"/>
    </row>
    <row r="650" ht="14.25" customHeight="1">
      <c r="A650" s="21"/>
      <c r="B650" s="22"/>
      <c r="C650" s="22"/>
    </row>
    <row r="651" ht="14.25" customHeight="1">
      <c r="A651" s="21"/>
      <c r="B651" s="22"/>
      <c r="C651" s="22"/>
    </row>
    <row r="652" ht="14.25" customHeight="1">
      <c r="A652" s="21"/>
      <c r="B652" s="22"/>
      <c r="C652" s="22"/>
    </row>
    <row r="653" ht="14.25" customHeight="1">
      <c r="A653" s="21"/>
      <c r="B653" s="22"/>
      <c r="C653" s="22"/>
    </row>
    <row r="654" ht="14.25" customHeight="1">
      <c r="A654" s="21"/>
      <c r="B654" s="22"/>
      <c r="C654" s="22"/>
    </row>
    <row r="655" ht="14.25" customHeight="1">
      <c r="A655" s="21"/>
      <c r="B655" s="22"/>
      <c r="C655" s="22"/>
    </row>
    <row r="656" ht="14.25" customHeight="1">
      <c r="A656" s="21"/>
      <c r="B656" s="22"/>
      <c r="C656" s="22"/>
    </row>
    <row r="657" ht="14.25" customHeight="1">
      <c r="A657" s="21"/>
      <c r="B657" s="22"/>
      <c r="C657" s="22"/>
    </row>
    <row r="658" ht="14.25" customHeight="1">
      <c r="A658" s="21"/>
      <c r="B658" s="22"/>
      <c r="C658" s="22"/>
    </row>
    <row r="659" ht="14.25" customHeight="1">
      <c r="A659" s="21"/>
      <c r="B659" s="22"/>
      <c r="C659" s="22"/>
    </row>
    <row r="660" ht="14.25" customHeight="1">
      <c r="A660" s="21"/>
      <c r="B660" s="22"/>
      <c r="C660" s="22"/>
    </row>
    <row r="661" ht="14.25" customHeight="1">
      <c r="A661" s="21"/>
      <c r="B661" s="22"/>
      <c r="C661" s="22"/>
    </row>
    <row r="662" ht="14.25" customHeight="1">
      <c r="A662" s="21"/>
      <c r="B662" s="22"/>
      <c r="C662" s="22"/>
    </row>
    <row r="663" ht="14.25" customHeight="1">
      <c r="A663" s="21"/>
      <c r="B663" s="22"/>
      <c r="C663" s="22"/>
    </row>
    <row r="664" ht="14.25" customHeight="1">
      <c r="A664" s="21"/>
      <c r="B664" s="22"/>
      <c r="C664" s="22"/>
    </row>
    <row r="665" ht="14.25" customHeight="1">
      <c r="A665" s="21"/>
      <c r="B665" s="22"/>
      <c r="C665" s="22"/>
    </row>
    <row r="666" ht="14.25" customHeight="1">
      <c r="A666" s="21"/>
      <c r="B666" s="22"/>
      <c r="C666" s="22"/>
    </row>
    <row r="667" ht="14.25" customHeight="1">
      <c r="A667" s="21"/>
      <c r="B667" s="22"/>
      <c r="C667" s="22"/>
    </row>
    <row r="668" ht="14.25" customHeight="1">
      <c r="A668" s="21"/>
      <c r="B668" s="22"/>
      <c r="C668" s="22"/>
    </row>
    <row r="669" ht="14.25" customHeight="1">
      <c r="A669" s="21"/>
      <c r="B669" s="22"/>
      <c r="C669" s="22"/>
    </row>
    <row r="670" ht="14.25" customHeight="1">
      <c r="A670" s="21"/>
      <c r="B670" s="22"/>
      <c r="C670" s="22"/>
    </row>
    <row r="671" ht="14.25" customHeight="1">
      <c r="A671" s="21"/>
      <c r="B671" s="22"/>
      <c r="C671" s="22"/>
    </row>
    <row r="672" ht="14.25" customHeight="1">
      <c r="A672" s="21"/>
      <c r="B672" s="22"/>
      <c r="C672" s="22"/>
    </row>
    <row r="673" ht="14.25" customHeight="1">
      <c r="A673" s="21"/>
      <c r="B673" s="22"/>
      <c r="C673" s="22"/>
    </row>
    <row r="674" ht="14.25" customHeight="1">
      <c r="A674" s="21"/>
      <c r="B674" s="22"/>
      <c r="C674" s="22"/>
    </row>
    <row r="675" ht="14.25" customHeight="1">
      <c r="A675" s="21"/>
      <c r="B675" s="22"/>
      <c r="C675" s="22"/>
    </row>
    <row r="676" ht="14.25" customHeight="1">
      <c r="A676" s="21"/>
      <c r="B676" s="22"/>
      <c r="C676" s="22"/>
    </row>
    <row r="677" ht="14.25" customHeight="1">
      <c r="A677" s="21"/>
      <c r="B677" s="22"/>
      <c r="C677" s="22"/>
    </row>
    <row r="678" ht="14.25" customHeight="1">
      <c r="A678" s="21"/>
      <c r="B678" s="22"/>
      <c r="C678" s="22"/>
    </row>
    <row r="679" ht="14.25" customHeight="1">
      <c r="A679" s="21"/>
      <c r="B679" s="22"/>
      <c r="C679" s="22"/>
    </row>
    <row r="680" ht="14.25" customHeight="1">
      <c r="A680" s="21"/>
      <c r="B680" s="22"/>
      <c r="C680" s="22"/>
    </row>
    <row r="681" ht="14.25" customHeight="1">
      <c r="A681" s="21"/>
      <c r="B681" s="22"/>
      <c r="C681" s="22"/>
    </row>
    <row r="682" ht="14.25" customHeight="1">
      <c r="A682" s="21"/>
      <c r="B682" s="22"/>
      <c r="C682" s="22"/>
    </row>
    <row r="683" ht="14.25" customHeight="1">
      <c r="A683" s="21"/>
      <c r="B683" s="22"/>
      <c r="C683" s="22"/>
    </row>
    <row r="684" ht="14.25" customHeight="1">
      <c r="A684" s="21"/>
      <c r="B684" s="22"/>
      <c r="C684" s="22"/>
    </row>
    <row r="685" ht="14.25" customHeight="1">
      <c r="A685" s="21"/>
      <c r="B685" s="22"/>
      <c r="C685" s="22"/>
    </row>
    <row r="686" ht="14.25" customHeight="1">
      <c r="A686" s="21"/>
      <c r="B686" s="22"/>
      <c r="C686" s="22"/>
    </row>
    <row r="687" ht="14.25" customHeight="1">
      <c r="A687" s="21"/>
      <c r="B687" s="22"/>
      <c r="C687" s="22"/>
    </row>
    <row r="688" ht="14.25" customHeight="1">
      <c r="A688" s="21"/>
      <c r="B688" s="22"/>
      <c r="C688" s="22"/>
    </row>
    <row r="689" ht="14.25" customHeight="1">
      <c r="A689" s="21"/>
      <c r="B689" s="22"/>
      <c r="C689" s="22"/>
    </row>
    <row r="690" ht="14.25" customHeight="1">
      <c r="A690" s="21"/>
      <c r="B690" s="22"/>
      <c r="C690" s="22"/>
    </row>
    <row r="691" ht="14.25" customHeight="1">
      <c r="A691" s="21"/>
      <c r="B691" s="22"/>
      <c r="C691" s="22"/>
    </row>
    <row r="692" ht="14.25" customHeight="1">
      <c r="A692" s="21"/>
      <c r="B692" s="22"/>
      <c r="C692" s="22"/>
    </row>
    <row r="693" ht="14.25" customHeight="1">
      <c r="A693" s="21"/>
      <c r="B693" s="22"/>
      <c r="C693" s="22"/>
    </row>
    <row r="694" ht="14.25" customHeight="1">
      <c r="A694" s="21"/>
      <c r="B694" s="22"/>
      <c r="C694" s="22"/>
    </row>
    <row r="695" ht="14.25" customHeight="1">
      <c r="A695" s="21"/>
      <c r="B695" s="22"/>
      <c r="C695" s="22"/>
    </row>
    <row r="696" ht="14.25" customHeight="1">
      <c r="A696" s="21"/>
      <c r="B696" s="22"/>
      <c r="C696" s="22"/>
    </row>
    <row r="697" ht="14.25" customHeight="1">
      <c r="A697" s="21"/>
      <c r="B697" s="22"/>
      <c r="C697" s="22"/>
    </row>
    <row r="698" ht="14.25" customHeight="1">
      <c r="A698" s="21"/>
      <c r="B698" s="22"/>
      <c r="C698" s="22"/>
    </row>
    <row r="699" ht="14.25" customHeight="1">
      <c r="A699" s="21"/>
      <c r="B699" s="22"/>
      <c r="C699" s="22"/>
    </row>
    <row r="700" ht="14.25" customHeight="1">
      <c r="A700" s="21"/>
      <c r="B700" s="22"/>
      <c r="C700" s="22"/>
    </row>
    <row r="701" ht="14.25" customHeight="1">
      <c r="A701" s="21"/>
      <c r="B701" s="22"/>
      <c r="C701" s="22"/>
    </row>
    <row r="702" ht="14.25" customHeight="1">
      <c r="A702" s="21"/>
      <c r="B702" s="22"/>
      <c r="C702" s="22"/>
    </row>
    <row r="703" ht="14.25" customHeight="1">
      <c r="A703" s="21"/>
      <c r="B703" s="22"/>
      <c r="C703" s="22"/>
    </row>
    <row r="704" ht="14.25" customHeight="1">
      <c r="A704" s="21"/>
      <c r="B704" s="22"/>
      <c r="C704" s="22"/>
    </row>
    <row r="705" ht="14.25" customHeight="1">
      <c r="A705" s="21"/>
      <c r="B705" s="22"/>
      <c r="C705" s="22"/>
    </row>
    <row r="706" ht="14.25" customHeight="1">
      <c r="A706" s="21"/>
      <c r="B706" s="22"/>
      <c r="C706" s="22"/>
    </row>
    <row r="707" ht="14.25" customHeight="1">
      <c r="A707" s="21"/>
      <c r="B707" s="22"/>
      <c r="C707" s="22"/>
    </row>
    <row r="708" ht="14.25" customHeight="1">
      <c r="A708" s="21"/>
      <c r="B708" s="22"/>
      <c r="C708" s="22"/>
    </row>
    <row r="709" ht="14.25" customHeight="1">
      <c r="A709" s="21"/>
      <c r="B709" s="22"/>
      <c r="C709" s="22"/>
    </row>
    <row r="710" ht="14.25" customHeight="1">
      <c r="A710" s="21"/>
      <c r="B710" s="22"/>
      <c r="C710" s="22"/>
    </row>
    <row r="711" ht="14.25" customHeight="1">
      <c r="A711" s="21"/>
      <c r="B711" s="22"/>
      <c r="C711" s="22"/>
    </row>
    <row r="712" ht="14.25" customHeight="1">
      <c r="A712" s="21"/>
      <c r="B712" s="22"/>
      <c r="C712" s="22"/>
    </row>
    <row r="713" ht="14.25" customHeight="1">
      <c r="A713" s="21"/>
      <c r="B713" s="22"/>
      <c r="C713" s="22"/>
    </row>
    <row r="714" ht="14.25" customHeight="1">
      <c r="A714" s="21"/>
      <c r="B714" s="22"/>
      <c r="C714" s="22"/>
    </row>
    <row r="715" ht="14.25" customHeight="1">
      <c r="A715" s="21"/>
      <c r="B715" s="22"/>
      <c r="C715" s="22"/>
    </row>
    <row r="716" ht="14.25" customHeight="1">
      <c r="A716" s="21"/>
      <c r="B716" s="22"/>
      <c r="C716" s="22"/>
    </row>
    <row r="717" ht="14.25" customHeight="1">
      <c r="A717" s="21"/>
      <c r="B717" s="22"/>
      <c r="C717" s="22"/>
    </row>
    <row r="718" ht="14.25" customHeight="1">
      <c r="A718" s="21"/>
      <c r="B718" s="22"/>
      <c r="C718" s="22"/>
    </row>
    <row r="719" ht="14.25" customHeight="1">
      <c r="A719" s="21"/>
      <c r="B719" s="22"/>
      <c r="C719" s="22"/>
    </row>
    <row r="720" ht="14.25" customHeight="1">
      <c r="A720" s="21"/>
      <c r="B720" s="22"/>
      <c r="C720" s="22"/>
    </row>
    <row r="721" ht="14.25" customHeight="1">
      <c r="A721" s="21"/>
      <c r="B721" s="22"/>
      <c r="C721" s="22"/>
    </row>
    <row r="722" ht="14.25" customHeight="1">
      <c r="A722" s="21"/>
      <c r="B722" s="22"/>
      <c r="C722" s="22"/>
    </row>
    <row r="723" ht="14.25" customHeight="1">
      <c r="A723" s="21"/>
      <c r="B723" s="22"/>
      <c r="C723" s="22"/>
    </row>
    <row r="724" ht="14.25" customHeight="1">
      <c r="A724" s="21"/>
      <c r="B724" s="22"/>
      <c r="C724" s="22"/>
    </row>
    <row r="725" ht="14.25" customHeight="1">
      <c r="A725" s="21"/>
      <c r="B725" s="22"/>
      <c r="C725" s="22"/>
    </row>
    <row r="726" ht="14.25" customHeight="1">
      <c r="A726" s="21"/>
      <c r="B726" s="22"/>
      <c r="C726" s="22"/>
    </row>
    <row r="727" ht="14.25" customHeight="1">
      <c r="A727" s="21"/>
      <c r="B727" s="22"/>
      <c r="C727" s="22"/>
    </row>
    <row r="728" ht="14.25" customHeight="1">
      <c r="A728" s="21"/>
      <c r="B728" s="22"/>
      <c r="C728" s="22"/>
    </row>
    <row r="729" ht="14.25" customHeight="1">
      <c r="A729" s="21"/>
      <c r="B729" s="22"/>
      <c r="C729" s="22"/>
    </row>
    <row r="730" ht="14.25" customHeight="1">
      <c r="A730" s="21"/>
      <c r="B730" s="22"/>
      <c r="C730" s="22"/>
    </row>
    <row r="731" ht="14.25" customHeight="1">
      <c r="A731" s="21"/>
      <c r="B731" s="22"/>
      <c r="C731" s="22"/>
    </row>
    <row r="732" ht="14.25" customHeight="1">
      <c r="A732" s="21"/>
      <c r="B732" s="22"/>
      <c r="C732" s="22"/>
    </row>
    <row r="733" ht="14.25" customHeight="1">
      <c r="A733" s="21"/>
      <c r="B733" s="22"/>
      <c r="C733" s="22"/>
    </row>
    <row r="734" ht="14.25" customHeight="1">
      <c r="A734" s="21"/>
      <c r="B734" s="22"/>
      <c r="C734" s="22"/>
    </row>
    <row r="735" ht="14.25" customHeight="1">
      <c r="A735" s="21"/>
      <c r="B735" s="22"/>
      <c r="C735" s="22"/>
    </row>
    <row r="736" ht="14.25" customHeight="1">
      <c r="A736" s="21"/>
      <c r="B736" s="22"/>
      <c r="C736" s="22"/>
    </row>
    <row r="737" ht="14.25" customHeight="1">
      <c r="A737" s="21"/>
      <c r="B737" s="22"/>
      <c r="C737" s="22"/>
    </row>
    <row r="738" ht="14.25" customHeight="1">
      <c r="A738" s="21"/>
      <c r="B738" s="22"/>
      <c r="C738" s="22"/>
    </row>
    <row r="739" ht="14.25" customHeight="1">
      <c r="A739" s="21"/>
      <c r="B739" s="22"/>
      <c r="C739" s="22"/>
    </row>
    <row r="740" ht="14.25" customHeight="1">
      <c r="A740" s="21"/>
      <c r="B740" s="22"/>
      <c r="C740" s="22"/>
    </row>
    <row r="741" ht="14.25" customHeight="1">
      <c r="A741" s="21"/>
      <c r="B741" s="22"/>
      <c r="C741" s="22"/>
    </row>
    <row r="742" ht="14.25" customHeight="1">
      <c r="A742" s="21"/>
      <c r="B742" s="22"/>
      <c r="C742" s="22"/>
    </row>
    <row r="743" ht="14.25" customHeight="1">
      <c r="A743" s="21"/>
      <c r="B743" s="22"/>
      <c r="C743" s="22"/>
    </row>
    <row r="744" ht="14.25" customHeight="1">
      <c r="A744" s="21"/>
      <c r="B744" s="22"/>
      <c r="C744" s="22"/>
    </row>
    <row r="745" ht="14.25" customHeight="1">
      <c r="A745" s="21"/>
      <c r="B745" s="22"/>
      <c r="C745" s="22"/>
    </row>
    <row r="746" ht="14.25" customHeight="1">
      <c r="A746" s="21"/>
      <c r="B746" s="22"/>
      <c r="C746" s="22"/>
    </row>
    <row r="747" ht="14.25" customHeight="1">
      <c r="A747" s="21"/>
      <c r="B747" s="22"/>
      <c r="C747" s="22"/>
    </row>
    <row r="748" ht="14.25" customHeight="1">
      <c r="A748" s="21"/>
      <c r="B748" s="22"/>
      <c r="C748" s="22"/>
    </row>
    <row r="749" ht="14.25" customHeight="1">
      <c r="A749" s="21"/>
      <c r="B749" s="22"/>
      <c r="C749" s="22"/>
    </row>
    <row r="750" ht="14.25" customHeight="1">
      <c r="A750" s="21"/>
      <c r="B750" s="22"/>
      <c r="C750" s="22"/>
    </row>
    <row r="751" ht="14.25" customHeight="1">
      <c r="A751" s="21"/>
      <c r="B751" s="22"/>
      <c r="C751" s="22"/>
    </row>
    <row r="752" ht="14.25" customHeight="1">
      <c r="A752" s="21"/>
      <c r="B752" s="22"/>
      <c r="C752" s="22"/>
    </row>
    <row r="753" ht="14.25" customHeight="1">
      <c r="A753" s="21"/>
      <c r="B753" s="22"/>
      <c r="C753" s="22"/>
    </row>
    <row r="754" ht="14.25" customHeight="1">
      <c r="A754" s="21"/>
      <c r="B754" s="22"/>
      <c r="C754" s="22"/>
    </row>
    <row r="755" ht="14.25" customHeight="1">
      <c r="A755" s="21"/>
      <c r="B755" s="22"/>
      <c r="C755" s="22"/>
    </row>
    <row r="756" ht="14.25" customHeight="1">
      <c r="A756" s="21"/>
      <c r="B756" s="22"/>
      <c r="C756" s="22"/>
    </row>
    <row r="757" ht="14.25" customHeight="1">
      <c r="A757" s="21"/>
      <c r="B757" s="22"/>
      <c r="C757" s="22"/>
    </row>
    <row r="758" ht="14.25" customHeight="1">
      <c r="A758" s="21"/>
      <c r="B758" s="22"/>
      <c r="C758" s="22"/>
    </row>
    <row r="759" ht="14.25" customHeight="1">
      <c r="A759" s="21"/>
      <c r="B759" s="22"/>
      <c r="C759" s="22"/>
    </row>
    <row r="760" ht="14.25" customHeight="1">
      <c r="A760" s="21"/>
      <c r="B760" s="22"/>
      <c r="C760" s="22"/>
    </row>
    <row r="761" ht="14.25" customHeight="1">
      <c r="A761" s="21"/>
      <c r="B761" s="22"/>
      <c r="C761" s="22"/>
    </row>
    <row r="762" ht="14.25" customHeight="1">
      <c r="A762" s="21"/>
      <c r="B762" s="22"/>
      <c r="C762" s="22"/>
    </row>
    <row r="763" ht="14.25" customHeight="1">
      <c r="A763" s="21"/>
      <c r="B763" s="22"/>
      <c r="C763" s="22"/>
    </row>
    <row r="764" ht="14.25" customHeight="1">
      <c r="A764" s="21"/>
      <c r="B764" s="22"/>
      <c r="C764" s="22"/>
    </row>
    <row r="765" ht="14.25" customHeight="1">
      <c r="A765" s="21"/>
      <c r="B765" s="22"/>
      <c r="C765" s="22"/>
    </row>
    <row r="766" ht="14.25" customHeight="1">
      <c r="A766" s="21"/>
      <c r="B766" s="22"/>
      <c r="C766" s="22"/>
    </row>
    <row r="767" ht="14.25" customHeight="1">
      <c r="A767" s="21"/>
      <c r="B767" s="22"/>
      <c r="C767" s="22"/>
    </row>
    <row r="768" ht="14.25" customHeight="1">
      <c r="A768" s="21"/>
      <c r="B768" s="22"/>
      <c r="C768" s="22"/>
    </row>
    <row r="769" ht="14.25" customHeight="1">
      <c r="A769" s="21"/>
      <c r="B769" s="22"/>
      <c r="C769" s="22"/>
    </row>
    <row r="770" ht="14.25" customHeight="1">
      <c r="A770" s="21"/>
      <c r="B770" s="22"/>
      <c r="C770" s="22"/>
    </row>
    <row r="771" ht="14.25" customHeight="1">
      <c r="A771" s="21"/>
      <c r="B771" s="22"/>
      <c r="C771" s="22"/>
    </row>
    <row r="772" ht="14.25" customHeight="1">
      <c r="A772" s="21"/>
      <c r="B772" s="22"/>
      <c r="C772" s="22"/>
    </row>
    <row r="773" ht="14.25" customHeight="1">
      <c r="A773" s="21"/>
      <c r="B773" s="22"/>
      <c r="C773" s="22"/>
    </row>
    <row r="774" ht="14.25" customHeight="1">
      <c r="A774" s="21"/>
      <c r="B774" s="22"/>
      <c r="C774" s="22"/>
    </row>
    <row r="775" ht="14.25" customHeight="1">
      <c r="A775" s="21"/>
      <c r="B775" s="22"/>
      <c r="C775" s="22"/>
    </row>
    <row r="776" ht="14.25" customHeight="1">
      <c r="A776" s="21"/>
      <c r="B776" s="22"/>
      <c r="C776" s="22"/>
    </row>
    <row r="777" ht="14.25" customHeight="1">
      <c r="A777" s="21"/>
      <c r="B777" s="22"/>
      <c r="C777" s="22"/>
    </row>
    <row r="778" ht="14.25" customHeight="1">
      <c r="A778" s="21"/>
      <c r="B778" s="22"/>
      <c r="C778" s="22"/>
    </row>
    <row r="779" ht="14.25" customHeight="1">
      <c r="A779" s="21"/>
      <c r="B779" s="22"/>
      <c r="C779" s="22"/>
    </row>
    <row r="780" ht="14.25" customHeight="1">
      <c r="A780" s="21"/>
      <c r="B780" s="22"/>
      <c r="C780" s="22"/>
    </row>
    <row r="781" ht="14.25" customHeight="1">
      <c r="A781" s="21"/>
      <c r="B781" s="22"/>
      <c r="C781" s="22"/>
    </row>
    <row r="782" ht="14.25" customHeight="1">
      <c r="A782" s="21"/>
      <c r="B782" s="22"/>
      <c r="C782" s="22"/>
    </row>
    <row r="783" ht="14.25" customHeight="1">
      <c r="A783" s="21"/>
      <c r="B783" s="22"/>
      <c r="C783" s="22"/>
    </row>
    <row r="784" ht="14.25" customHeight="1">
      <c r="A784" s="21"/>
      <c r="B784" s="22"/>
      <c r="C784" s="22"/>
    </row>
    <row r="785" ht="14.25" customHeight="1">
      <c r="A785" s="21"/>
      <c r="B785" s="22"/>
      <c r="C785" s="22"/>
    </row>
    <row r="786" ht="14.25" customHeight="1">
      <c r="A786" s="21"/>
      <c r="B786" s="22"/>
      <c r="C786" s="22"/>
    </row>
    <row r="787" ht="14.25" customHeight="1">
      <c r="A787" s="21"/>
      <c r="B787" s="22"/>
      <c r="C787" s="22"/>
    </row>
    <row r="788" ht="14.25" customHeight="1">
      <c r="A788" s="21"/>
      <c r="B788" s="22"/>
      <c r="C788" s="22"/>
    </row>
    <row r="789" ht="14.25" customHeight="1">
      <c r="A789" s="21"/>
      <c r="B789" s="22"/>
      <c r="C789" s="22"/>
    </row>
    <row r="790" ht="14.25" customHeight="1">
      <c r="A790" s="21"/>
      <c r="B790" s="22"/>
      <c r="C790" s="22"/>
    </row>
    <row r="791" ht="14.25" customHeight="1">
      <c r="A791" s="21"/>
      <c r="B791" s="22"/>
      <c r="C791" s="22"/>
    </row>
    <row r="792" ht="14.25" customHeight="1">
      <c r="A792" s="21"/>
      <c r="B792" s="22"/>
      <c r="C792" s="22"/>
    </row>
    <row r="793" ht="14.25" customHeight="1">
      <c r="A793" s="21"/>
      <c r="B793" s="22"/>
      <c r="C793" s="22"/>
    </row>
    <row r="794" ht="14.25" customHeight="1">
      <c r="A794" s="21"/>
      <c r="B794" s="22"/>
      <c r="C794" s="22"/>
    </row>
    <row r="795" ht="14.25" customHeight="1">
      <c r="A795" s="21"/>
      <c r="B795" s="22"/>
      <c r="C795" s="22"/>
    </row>
    <row r="796" ht="14.25" customHeight="1">
      <c r="A796" s="21"/>
      <c r="B796" s="22"/>
      <c r="C796" s="22"/>
    </row>
    <row r="797" ht="14.25" customHeight="1">
      <c r="A797" s="21"/>
      <c r="B797" s="22"/>
      <c r="C797" s="22"/>
    </row>
    <row r="798" ht="14.25" customHeight="1">
      <c r="A798" s="21"/>
      <c r="B798" s="22"/>
      <c r="C798" s="22"/>
    </row>
    <row r="799" ht="14.25" customHeight="1">
      <c r="A799" s="21"/>
      <c r="B799" s="22"/>
      <c r="C799" s="22"/>
    </row>
    <row r="800" ht="14.25" customHeight="1">
      <c r="A800" s="21"/>
      <c r="B800" s="22"/>
      <c r="C800" s="22"/>
    </row>
    <row r="801" ht="14.25" customHeight="1">
      <c r="A801" s="21"/>
      <c r="B801" s="22"/>
      <c r="C801" s="22"/>
    </row>
    <row r="802" ht="14.25" customHeight="1">
      <c r="A802" s="21"/>
      <c r="B802" s="22"/>
      <c r="C802" s="22"/>
    </row>
    <row r="803" ht="14.25" customHeight="1">
      <c r="A803" s="21"/>
      <c r="B803" s="22"/>
      <c r="C803" s="22"/>
    </row>
    <row r="804" ht="14.25" customHeight="1">
      <c r="A804" s="21"/>
      <c r="B804" s="22"/>
      <c r="C804" s="22"/>
    </row>
    <row r="805" ht="14.25" customHeight="1">
      <c r="A805" s="21"/>
      <c r="B805" s="22"/>
      <c r="C805" s="22"/>
    </row>
    <row r="806" ht="14.25" customHeight="1">
      <c r="A806" s="21"/>
      <c r="B806" s="22"/>
      <c r="C806" s="22"/>
    </row>
    <row r="807" ht="14.25" customHeight="1">
      <c r="A807" s="21"/>
      <c r="B807" s="22"/>
      <c r="C807" s="22"/>
    </row>
    <row r="808" ht="14.25" customHeight="1">
      <c r="A808" s="21"/>
      <c r="B808" s="22"/>
      <c r="C808" s="22"/>
    </row>
    <row r="809" ht="14.25" customHeight="1">
      <c r="A809" s="21"/>
      <c r="B809" s="22"/>
      <c r="C809" s="22"/>
    </row>
    <row r="810" ht="14.25" customHeight="1">
      <c r="A810" s="21"/>
      <c r="B810" s="22"/>
      <c r="C810" s="22"/>
    </row>
    <row r="811" ht="14.25" customHeight="1">
      <c r="A811" s="21"/>
      <c r="B811" s="22"/>
      <c r="C811" s="22"/>
    </row>
    <row r="812" ht="14.25" customHeight="1">
      <c r="A812" s="21"/>
      <c r="B812" s="22"/>
      <c r="C812" s="22"/>
    </row>
    <row r="813" ht="14.25" customHeight="1">
      <c r="A813" s="21"/>
      <c r="B813" s="22"/>
      <c r="C813" s="22"/>
    </row>
    <row r="814" ht="14.25" customHeight="1">
      <c r="A814" s="21"/>
      <c r="B814" s="22"/>
      <c r="C814" s="22"/>
    </row>
    <row r="815" ht="14.25" customHeight="1">
      <c r="A815" s="21"/>
      <c r="B815" s="22"/>
      <c r="C815" s="22"/>
    </row>
    <row r="816" ht="14.25" customHeight="1">
      <c r="A816" s="21"/>
      <c r="B816" s="22"/>
      <c r="C816" s="22"/>
    </row>
    <row r="817" ht="14.25" customHeight="1">
      <c r="A817" s="21"/>
      <c r="B817" s="22"/>
      <c r="C817" s="22"/>
    </row>
    <row r="818" ht="14.25" customHeight="1">
      <c r="A818" s="21"/>
      <c r="B818" s="22"/>
      <c r="C818" s="22"/>
    </row>
    <row r="819" ht="14.25" customHeight="1">
      <c r="A819" s="21"/>
      <c r="B819" s="22"/>
      <c r="C819" s="22"/>
    </row>
    <row r="820" ht="14.25" customHeight="1">
      <c r="A820" s="21"/>
      <c r="B820" s="22"/>
      <c r="C820" s="22"/>
    </row>
    <row r="821" ht="14.25" customHeight="1">
      <c r="A821" s="21"/>
      <c r="B821" s="22"/>
      <c r="C821" s="22"/>
    </row>
    <row r="822" ht="14.25" customHeight="1">
      <c r="A822" s="21"/>
      <c r="B822" s="22"/>
      <c r="C822" s="22"/>
    </row>
    <row r="823" ht="14.25" customHeight="1">
      <c r="A823" s="21"/>
      <c r="B823" s="22"/>
      <c r="C823" s="22"/>
    </row>
    <row r="824" ht="14.25" customHeight="1">
      <c r="A824" s="21"/>
      <c r="B824" s="22"/>
      <c r="C824" s="22"/>
    </row>
    <row r="825" ht="14.25" customHeight="1">
      <c r="A825" s="21"/>
      <c r="B825" s="22"/>
      <c r="C825" s="22"/>
    </row>
    <row r="826" ht="14.25" customHeight="1">
      <c r="A826" s="21"/>
      <c r="B826" s="22"/>
      <c r="C826" s="22"/>
    </row>
    <row r="827" ht="14.25" customHeight="1">
      <c r="A827" s="21"/>
      <c r="B827" s="22"/>
      <c r="C827" s="22"/>
    </row>
    <row r="828" ht="14.25" customHeight="1">
      <c r="A828" s="21"/>
      <c r="B828" s="22"/>
      <c r="C828" s="22"/>
    </row>
    <row r="829" ht="14.25" customHeight="1">
      <c r="A829" s="21"/>
      <c r="B829" s="22"/>
      <c r="C829" s="22"/>
    </row>
    <row r="830" ht="14.25" customHeight="1">
      <c r="A830" s="21"/>
      <c r="B830" s="22"/>
      <c r="C830" s="22"/>
    </row>
    <row r="831" ht="14.25" customHeight="1">
      <c r="A831" s="21"/>
      <c r="B831" s="22"/>
      <c r="C831" s="22"/>
    </row>
    <row r="832" ht="14.25" customHeight="1">
      <c r="A832" s="21"/>
      <c r="B832" s="22"/>
      <c r="C832" s="22"/>
    </row>
    <row r="833" ht="14.25" customHeight="1">
      <c r="A833" s="21"/>
      <c r="B833" s="22"/>
      <c r="C833" s="22"/>
    </row>
    <row r="834" ht="14.25" customHeight="1">
      <c r="A834" s="21"/>
      <c r="B834" s="22"/>
      <c r="C834" s="22"/>
    </row>
    <row r="835" ht="14.25" customHeight="1">
      <c r="A835" s="21"/>
      <c r="B835" s="22"/>
      <c r="C835" s="22"/>
    </row>
    <row r="836" ht="14.25" customHeight="1">
      <c r="A836" s="21"/>
      <c r="B836" s="22"/>
      <c r="C836" s="22"/>
    </row>
    <row r="837" ht="14.25" customHeight="1">
      <c r="A837" s="21"/>
      <c r="B837" s="22"/>
      <c r="C837" s="22"/>
    </row>
    <row r="838" ht="14.25" customHeight="1">
      <c r="A838" s="21"/>
      <c r="B838" s="22"/>
      <c r="C838" s="22"/>
    </row>
    <row r="839" ht="14.25" customHeight="1">
      <c r="A839" s="21"/>
      <c r="B839" s="22"/>
      <c r="C839" s="22"/>
    </row>
    <row r="840" ht="14.25" customHeight="1">
      <c r="A840" s="21"/>
      <c r="B840" s="22"/>
      <c r="C840" s="22"/>
    </row>
    <row r="841" ht="14.25" customHeight="1">
      <c r="A841" s="21"/>
      <c r="B841" s="22"/>
      <c r="C841" s="22"/>
    </row>
    <row r="842" ht="14.25" customHeight="1">
      <c r="A842" s="21"/>
      <c r="B842" s="22"/>
      <c r="C842" s="22"/>
    </row>
    <row r="843" ht="14.25" customHeight="1">
      <c r="A843" s="21"/>
      <c r="B843" s="22"/>
      <c r="C843" s="22"/>
    </row>
    <row r="844" ht="14.25" customHeight="1">
      <c r="A844" s="21"/>
      <c r="B844" s="22"/>
      <c r="C844" s="22"/>
    </row>
    <row r="845" ht="14.25" customHeight="1">
      <c r="A845" s="21"/>
      <c r="B845" s="22"/>
      <c r="C845" s="22"/>
    </row>
    <row r="846" ht="14.25" customHeight="1">
      <c r="A846" s="21"/>
      <c r="B846" s="22"/>
      <c r="C846" s="22"/>
    </row>
    <row r="847" ht="14.25" customHeight="1">
      <c r="A847" s="21"/>
      <c r="B847" s="22"/>
      <c r="C847" s="22"/>
    </row>
    <row r="848" ht="14.25" customHeight="1">
      <c r="A848" s="21"/>
      <c r="B848" s="22"/>
      <c r="C848" s="22"/>
    </row>
    <row r="849" ht="14.25" customHeight="1">
      <c r="A849" s="21"/>
      <c r="B849" s="22"/>
      <c r="C849" s="22"/>
    </row>
    <row r="850" ht="14.25" customHeight="1">
      <c r="A850" s="21"/>
      <c r="B850" s="22"/>
      <c r="C850" s="22"/>
    </row>
    <row r="851" ht="14.25" customHeight="1">
      <c r="A851" s="21"/>
      <c r="B851" s="22"/>
      <c r="C851" s="22"/>
    </row>
    <row r="852" ht="14.25" customHeight="1">
      <c r="A852" s="21"/>
      <c r="B852" s="22"/>
      <c r="C852" s="22"/>
    </row>
    <row r="853" ht="14.25" customHeight="1">
      <c r="A853" s="21"/>
      <c r="B853" s="22"/>
      <c r="C853" s="22"/>
    </row>
    <row r="854" ht="14.25" customHeight="1">
      <c r="A854" s="21"/>
      <c r="B854" s="22"/>
      <c r="C854" s="22"/>
    </row>
    <row r="855" ht="14.25" customHeight="1">
      <c r="A855" s="21"/>
      <c r="B855" s="22"/>
      <c r="C855" s="22"/>
    </row>
    <row r="856" ht="14.25" customHeight="1">
      <c r="A856" s="21"/>
      <c r="B856" s="22"/>
      <c r="C856" s="22"/>
    </row>
    <row r="857" ht="14.25" customHeight="1">
      <c r="A857" s="21"/>
      <c r="B857" s="22"/>
      <c r="C857" s="22"/>
    </row>
    <row r="858" ht="14.25" customHeight="1">
      <c r="A858" s="21"/>
      <c r="B858" s="22"/>
      <c r="C858" s="22"/>
    </row>
    <row r="859" ht="14.25" customHeight="1">
      <c r="A859" s="21"/>
      <c r="B859" s="22"/>
      <c r="C859" s="22"/>
    </row>
    <row r="860" ht="14.25" customHeight="1">
      <c r="A860" s="21"/>
      <c r="B860" s="22"/>
      <c r="C860" s="22"/>
    </row>
    <row r="861" ht="14.25" customHeight="1">
      <c r="A861" s="21"/>
      <c r="B861" s="22"/>
      <c r="C861" s="22"/>
    </row>
    <row r="862" ht="14.25" customHeight="1">
      <c r="A862" s="21"/>
      <c r="B862" s="22"/>
      <c r="C862" s="22"/>
    </row>
    <row r="863" ht="14.25" customHeight="1">
      <c r="A863" s="21"/>
      <c r="B863" s="22"/>
      <c r="C863" s="22"/>
    </row>
    <row r="864" ht="14.25" customHeight="1">
      <c r="A864" s="21"/>
      <c r="B864" s="22"/>
      <c r="C864" s="22"/>
    </row>
    <row r="865" ht="14.25" customHeight="1">
      <c r="A865" s="21"/>
      <c r="B865" s="22"/>
      <c r="C865" s="22"/>
    </row>
    <row r="866" ht="14.25" customHeight="1">
      <c r="A866" s="21"/>
      <c r="B866" s="22"/>
      <c r="C866" s="22"/>
    </row>
    <row r="867" ht="14.25" customHeight="1">
      <c r="A867" s="21"/>
      <c r="B867" s="22"/>
      <c r="C867" s="22"/>
    </row>
    <row r="868" ht="14.25" customHeight="1">
      <c r="A868" s="21"/>
      <c r="B868" s="22"/>
      <c r="C868" s="22"/>
    </row>
    <row r="869" ht="14.25" customHeight="1">
      <c r="A869" s="21"/>
      <c r="B869" s="22"/>
      <c r="C869" s="22"/>
    </row>
    <row r="870" ht="14.25" customHeight="1">
      <c r="A870" s="21"/>
      <c r="B870" s="22"/>
      <c r="C870" s="22"/>
    </row>
    <row r="871" ht="14.25" customHeight="1">
      <c r="A871" s="21"/>
      <c r="B871" s="22"/>
      <c r="C871" s="22"/>
    </row>
    <row r="872" ht="14.25" customHeight="1">
      <c r="A872" s="21"/>
      <c r="B872" s="22"/>
      <c r="C872" s="22"/>
    </row>
    <row r="873" ht="14.25" customHeight="1">
      <c r="A873" s="21"/>
      <c r="B873" s="22"/>
      <c r="C873" s="22"/>
    </row>
    <row r="874" ht="14.25" customHeight="1">
      <c r="A874" s="21"/>
      <c r="B874" s="22"/>
      <c r="C874" s="22"/>
    </row>
    <row r="875" ht="14.25" customHeight="1">
      <c r="A875" s="21"/>
      <c r="B875" s="22"/>
      <c r="C875" s="22"/>
    </row>
    <row r="876" ht="14.25" customHeight="1">
      <c r="A876" s="21"/>
      <c r="B876" s="22"/>
      <c r="C876" s="22"/>
    </row>
    <row r="877" ht="14.25" customHeight="1">
      <c r="A877" s="21"/>
      <c r="B877" s="22"/>
      <c r="C877" s="22"/>
    </row>
    <row r="878" ht="14.25" customHeight="1">
      <c r="A878" s="21"/>
      <c r="B878" s="22"/>
      <c r="C878" s="22"/>
    </row>
    <row r="879" ht="14.25" customHeight="1">
      <c r="A879" s="21"/>
      <c r="B879" s="22"/>
      <c r="C879" s="22"/>
    </row>
    <row r="880" ht="14.25" customHeight="1">
      <c r="A880" s="21"/>
      <c r="B880" s="22"/>
      <c r="C880" s="22"/>
    </row>
    <row r="881" ht="14.25" customHeight="1">
      <c r="A881" s="21"/>
      <c r="B881" s="22"/>
      <c r="C881" s="22"/>
    </row>
    <row r="882" ht="14.25" customHeight="1">
      <c r="A882" s="21"/>
      <c r="B882" s="22"/>
      <c r="C882" s="22"/>
    </row>
    <row r="883" ht="14.25" customHeight="1">
      <c r="A883" s="21"/>
      <c r="B883" s="22"/>
      <c r="C883" s="22"/>
    </row>
    <row r="884" ht="14.25" customHeight="1">
      <c r="A884" s="21"/>
      <c r="B884" s="22"/>
      <c r="C884" s="22"/>
    </row>
    <row r="885" ht="14.25" customHeight="1">
      <c r="A885" s="21"/>
      <c r="B885" s="22"/>
      <c r="C885" s="22"/>
    </row>
    <row r="886" ht="14.25" customHeight="1">
      <c r="A886" s="21"/>
      <c r="B886" s="22"/>
      <c r="C886" s="22"/>
    </row>
    <row r="887" ht="14.25" customHeight="1">
      <c r="A887" s="21"/>
      <c r="B887" s="22"/>
      <c r="C887" s="22"/>
    </row>
    <row r="888" ht="14.25" customHeight="1">
      <c r="A888" s="21"/>
      <c r="B888" s="22"/>
      <c r="C888" s="22"/>
    </row>
    <row r="889" ht="14.25" customHeight="1">
      <c r="A889" s="21"/>
      <c r="B889" s="22"/>
      <c r="C889" s="22"/>
    </row>
    <row r="890" ht="14.25" customHeight="1">
      <c r="A890" s="21"/>
      <c r="B890" s="22"/>
      <c r="C890" s="22"/>
    </row>
    <row r="891" ht="14.25" customHeight="1">
      <c r="A891" s="21"/>
      <c r="B891" s="22"/>
      <c r="C891" s="22"/>
    </row>
    <row r="892" ht="14.25" customHeight="1">
      <c r="A892" s="21"/>
      <c r="B892" s="22"/>
      <c r="C892" s="22"/>
    </row>
    <row r="893" ht="14.25" customHeight="1">
      <c r="A893" s="21"/>
      <c r="B893" s="22"/>
      <c r="C893" s="22"/>
    </row>
    <row r="894" ht="14.25" customHeight="1">
      <c r="A894" s="21"/>
      <c r="B894" s="22"/>
      <c r="C894" s="22"/>
    </row>
    <row r="895" ht="14.25" customHeight="1">
      <c r="A895" s="21"/>
      <c r="B895" s="22"/>
      <c r="C895" s="22"/>
    </row>
    <row r="896" ht="14.25" customHeight="1">
      <c r="A896" s="21"/>
      <c r="B896" s="22"/>
      <c r="C896" s="22"/>
    </row>
    <row r="897" ht="14.25" customHeight="1">
      <c r="A897" s="21"/>
      <c r="B897" s="22"/>
      <c r="C897" s="22"/>
    </row>
    <row r="898" ht="14.25" customHeight="1">
      <c r="A898" s="21"/>
      <c r="B898" s="22"/>
      <c r="C898" s="22"/>
    </row>
    <row r="899" ht="14.25" customHeight="1">
      <c r="A899" s="21"/>
      <c r="B899" s="22"/>
      <c r="C899" s="22"/>
    </row>
    <row r="900" ht="14.25" customHeight="1">
      <c r="A900" s="21"/>
      <c r="B900" s="22"/>
      <c r="C900" s="22"/>
    </row>
    <row r="901" ht="14.25" customHeight="1">
      <c r="A901" s="21"/>
      <c r="B901" s="22"/>
      <c r="C901" s="22"/>
    </row>
    <row r="902" ht="14.25" customHeight="1">
      <c r="A902" s="21"/>
      <c r="B902" s="22"/>
      <c r="C902" s="22"/>
    </row>
    <row r="903" ht="14.25" customHeight="1">
      <c r="A903" s="21"/>
      <c r="B903" s="22"/>
      <c r="C903" s="22"/>
    </row>
    <row r="904" ht="14.25" customHeight="1">
      <c r="A904" s="21"/>
      <c r="B904" s="22"/>
      <c r="C904" s="22"/>
    </row>
    <row r="905" ht="14.25" customHeight="1">
      <c r="A905" s="21"/>
      <c r="B905" s="22"/>
      <c r="C905" s="22"/>
    </row>
    <row r="906" ht="14.25" customHeight="1">
      <c r="A906" s="21"/>
      <c r="B906" s="22"/>
      <c r="C906" s="22"/>
    </row>
    <row r="907" ht="14.25" customHeight="1">
      <c r="A907" s="21"/>
      <c r="B907" s="22"/>
      <c r="C907" s="22"/>
    </row>
    <row r="908" ht="14.25" customHeight="1">
      <c r="A908" s="21"/>
      <c r="B908" s="22"/>
      <c r="C908" s="22"/>
    </row>
    <row r="909" ht="14.25" customHeight="1">
      <c r="A909" s="21"/>
      <c r="B909" s="22"/>
      <c r="C909" s="22"/>
    </row>
    <row r="910" ht="14.25" customHeight="1">
      <c r="A910" s="21"/>
      <c r="B910" s="22"/>
      <c r="C910" s="22"/>
    </row>
    <row r="911" ht="14.25" customHeight="1">
      <c r="A911" s="21"/>
      <c r="B911" s="22"/>
      <c r="C911" s="22"/>
    </row>
    <row r="912" ht="14.25" customHeight="1">
      <c r="A912" s="21"/>
      <c r="B912" s="22"/>
      <c r="C912" s="22"/>
    </row>
    <row r="913" ht="14.25" customHeight="1">
      <c r="A913" s="21"/>
      <c r="B913" s="22"/>
      <c r="C913" s="22"/>
    </row>
    <row r="914" ht="14.25" customHeight="1">
      <c r="A914" s="21"/>
      <c r="B914" s="22"/>
      <c r="C914" s="22"/>
    </row>
    <row r="915" ht="14.25" customHeight="1">
      <c r="A915" s="21"/>
      <c r="B915" s="22"/>
      <c r="C915" s="22"/>
    </row>
    <row r="916" ht="14.25" customHeight="1">
      <c r="A916" s="21"/>
      <c r="B916" s="22"/>
      <c r="C916" s="22"/>
    </row>
    <row r="917" ht="14.25" customHeight="1">
      <c r="A917" s="21"/>
      <c r="B917" s="22"/>
      <c r="C917" s="22"/>
    </row>
    <row r="918" ht="14.25" customHeight="1">
      <c r="A918" s="21"/>
      <c r="B918" s="22"/>
      <c r="C918" s="22"/>
    </row>
    <row r="919" ht="14.25" customHeight="1">
      <c r="A919" s="21"/>
      <c r="B919" s="22"/>
      <c r="C919" s="22"/>
    </row>
    <row r="920" ht="14.25" customHeight="1">
      <c r="A920" s="21"/>
      <c r="B920" s="22"/>
      <c r="C920" s="22"/>
    </row>
    <row r="921" ht="14.25" customHeight="1">
      <c r="A921" s="21"/>
      <c r="B921" s="22"/>
      <c r="C921" s="22"/>
    </row>
    <row r="922" ht="14.25" customHeight="1">
      <c r="A922" s="21"/>
      <c r="B922" s="22"/>
      <c r="C922" s="22"/>
    </row>
    <row r="923" ht="14.25" customHeight="1">
      <c r="A923" s="21"/>
      <c r="B923" s="22"/>
      <c r="C923" s="22"/>
    </row>
    <row r="924" ht="14.25" customHeight="1">
      <c r="A924" s="21"/>
      <c r="B924" s="22"/>
      <c r="C924" s="22"/>
    </row>
    <row r="925" ht="14.25" customHeight="1">
      <c r="A925" s="21"/>
      <c r="B925" s="22"/>
      <c r="C925" s="22"/>
    </row>
    <row r="926" ht="14.25" customHeight="1">
      <c r="A926" s="21"/>
      <c r="B926" s="22"/>
      <c r="C926" s="22"/>
    </row>
    <row r="927" ht="14.25" customHeight="1">
      <c r="A927" s="21"/>
      <c r="B927" s="22"/>
      <c r="C927" s="22"/>
    </row>
    <row r="928" ht="14.25" customHeight="1">
      <c r="A928" s="21"/>
      <c r="B928" s="22"/>
      <c r="C928" s="22"/>
    </row>
    <row r="929" ht="14.25" customHeight="1">
      <c r="A929" s="21"/>
      <c r="B929" s="22"/>
      <c r="C929" s="22"/>
    </row>
    <row r="930" ht="14.25" customHeight="1">
      <c r="A930" s="21"/>
      <c r="B930" s="22"/>
      <c r="C930" s="22"/>
    </row>
    <row r="931" ht="14.25" customHeight="1">
      <c r="A931" s="21"/>
      <c r="B931" s="22"/>
      <c r="C931" s="22"/>
    </row>
    <row r="932" ht="14.25" customHeight="1">
      <c r="A932" s="21"/>
      <c r="B932" s="22"/>
      <c r="C932" s="22"/>
    </row>
    <row r="933" ht="14.25" customHeight="1">
      <c r="A933" s="21"/>
      <c r="B933" s="22"/>
      <c r="C933" s="22"/>
    </row>
    <row r="934" ht="14.25" customHeight="1">
      <c r="A934" s="21"/>
      <c r="B934" s="22"/>
      <c r="C934" s="22"/>
    </row>
    <row r="935" ht="14.25" customHeight="1">
      <c r="A935" s="21"/>
      <c r="B935" s="22"/>
      <c r="C935" s="22"/>
    </row>
    <row r="936" ht="14.25" customHeight="1">
      <c r="A936" s="21"/>
      <c r="B936" s="22"/>
      <c r="C936" s="22"/>
    </row>
    <row r="937" ht="14.25" customHeight="1">
      <c r="A937" s="21"/>
      <c r="B937" s="22"/>
      <c r="C937" s="22"/>
    </row>
    <row r="938" ht="14.25" customHeight="1">
      <c r="A938" s="21"/>
      <c r="B938" s="22"/>
      <c r="C938" s="22"/>
    </row>
    <row r="939" ht="14.25" customHeight="1">
      <c r="A939" s="21"/>
      <c r="B939" s="22"/>
      <c r="C939" s="22"/>
    </row>
    <row r="940" ht="14.25" customHeight="1">
      <c r="A940" s="21"/>
      <c r="B940" s="22"/>
      <c r="C940" s="22"/>
    </row>
    <row r="941" ht="14.25" customHeight="1">
      <c r="A941" s="21"/>
      <c r="B941" s="22"/>
      <c r="C941" s="22"/>
    </row>
    <row r="942" ht="14.25" customHeight="1">
      <c r="A942" s="21"/>
      <c r="B942" s="22"/>
      <c r="C942" s="22"/>
    </row>
    <row r="943" ht="14.25" customHeight="1">
      <c r="A943" s="21"/>
      <c r="B943" s="22"/>
      <c r="C943" s="22"/>
    </row>
    <row r="944" ht="14.25" customHeight="1">
      <c r="A944" s="21"/>
      <c r="B944" s="22"/>
      <c r="C944" s="22"/>
    </row>
    <row r="945" ht="14.25" customHeight="1">
      <c r="A945" s="21"/>
      <c r="B945" s="22"/>
      <c r="C945" s="22"/>
    </row>
    <row r="946" ht="14.25" customHeight="1">
      <c r="A946" s="21"/>
      <c r="B946" s="22"/>
      <c r="C946" s="22"/>
    </row>
    <row r="947" ht="14.25" customHeight="1">
      <c r="A947" s="21"/>
      <c r="B947" s="22"/>
      <c r="C947" s="22"/>
    </row>
    <row r="948" ht="14.25" customHeight="1">
      <c r="A948" s="21"/>
      <c r="B948" s="22"/>
      <c r="C948" s="22"/>
    </row>
    <row r="949" ht="14.25" customHeight="1">
      <c r="A949" s="21"/>
      <c r="B949" s="22"/>
      <c r="C949" s="22"/>
    </row>
    <row r="950" ht="14.25" customHeight="1">
      <c r="A950" s="21"/>
      <c r="B950" s="22"/>
      <c r="C950" s="22"/>
    </row>
    <row r="951" ht="14.25" customHeight="1">
      <c r="A951" s="21"/>
      <c r="B951" s="22"/>
      <c r="C951" s="22"/>
    </row>
    <row r="952" ht="14.25" customHeight="1">
      <c r="A952" s="21"/>
      <c r="B952" s="22"/>
      <c r="C952" s="22"/>
    </row>
    <row r="953" ht="14.25" customHeight="1">
      <c r="A953" s="21"/>
      <c r="B953" s="22"/>
      <c r="C953" s="22"/>
    </row>
    <row r="954" ht="14.25" customHeight="1">
      <c r="A954" s="21"/>
      <c r="B954" s="22"/>
      <c r="C954" s="22"/>
    </row>
    <row r="955" ht="14.25" customHeight="1">
      <c r="A955" s="21"/>
      <c r="B955" s="22"/>
      <c r="C955" s="22"/>
    </row>
    <row r="956" ht="14.25" customHeight="1">
      <c r="A956" s="21"/>
      <c r="B956" s="22"/>
      <c r="C956" s="22"/>
    </row>
    <row r="957" ht="14.25" customHeight="1">
      <c r="A957" s="21"/>
      <c r="B957" s="22"/>
      <c r="C957" s="22"/>
    </row>
    <row r="958" ht="14.25" customHeight="1">
      <c r="A958" s="21"/>
      <c r="B958" s="22"/>
      <c r="C958" s="22"/>
    </row>
    <row r="959" ht="14.25" customHeight="1">
      <c r="A959" s="21"/>
      <c r="B959" s="22"/>
      <c r="C959" s="22"/>
    </row>
    <row r="960" ht="14.25" customHeight="1">
      <c r="A960" s="21"/>
      <c r="B960" s="22"/>
      <c r="C960" s="22"/>
    </row>
    <row r="961" ht="14.25" customHeight="1">
      <c r="A961" s="21"/>
      <c r="B961" s="22"/>
      <c r="C961" s="22"/>
    </row>
    <row r="962" ht="14.25" customHeight="1">
      <c r="A962" s="21"/>
      <c r="B962" s="22"/>
      <c r="C962" s="22"/>
    </row>
    <row r="963" ht="14.25" customHeight="1">
      <c r="A963" s="21"/>
      <c r="B963" s="22"/>
      <c r="C963" s="22"/>
    </row>
    <row r="964" ht="14.25" customHeight="1">
      <c r="A964" s="21"/>
      <c r="B964" s="22"/>
      <c r="C964" s="22"/>
    </row>
    <row r="965" ht="14.25" customHeight="1">
      <c r="A965" s="21"/>
      <c r="B965" s="22"/>
      <c r="C965" s="22"/>
    </row>
    <row r="966" ht="14.25" customHeight="1">
      <c r="A966" s="21"/>
      <c r="B966" s="22"/>
      <c r="C966" s="22"/>
    </row>
    <row r="967" ht="14.25" customHeight="1">
      <c r="A967" s="21"/>
      <c r="B967" s="22"/>
      <c r="C967" s="22"/>
    </row>
    <row r="968" ht="14.25" customHeight="1">
      <c r="A968" s="21"/>
      <c r="B968" s="22"/>
      <c r="C968" s="22"/>
    </row>
    <row r="969" ht="14.25" customHeight="1">
      <c r="A969" s="21"/>
      <c r="B969" s="22"/>
      <c r="C969" s="22"/>
    </row>
    <row r="970" ht="14.25" customHeight="1">
      <c r="A970" s="21"/>
      <c r="B970" s="22"/>
      <c r="C970" s="22"/>
    </row>
    <row r="971" ht="14.25" customHeight="1">
      <c r="A971" s="21"/>
      <c r="B971" s="22"/>
      <c r="C971" s="22"/>
    </row>
    <row r="972" ht="14.25" customHeight="1">
      <c r="A972" s="21"/>
      <c r="B972" s="22"/>
      <c r="C972" s="22"/>
    </row>
    <row r="973" ht="14.25" customHeight="1">
      <c r="A973" s="21"/>
      <c r="B973" s="22"/>
      <c r="C973" s="22"/>
    </row>
    <row r="974" ht="14.25" customHeight="1">
      <c r="A974" s="21"/>
      <c r="B974" s="22"/>
      <c r="C974" s="22"/>
    </row>
    <row r="975" ht="14.25" customHeight="1">
      <c r="A975" s="21"/>
      <c r="B975" s="22"/>
      <c r="C975" s="22"/>
    </row>
    <row r="976" ht="14.25" customHeight="1">
      <c r="A976" s="21"/>
      <c r="B976" s="22"/>
      <c r="C976" s="22"/>
    </row>
    <row r="977" ht="14.25" customHeight="1">
      <c r="A977" s="21"/>
      <c r="B977" s="22"/>
      <c r="C977" s="22"/>
    </row>
    <row r="978" ht="14.25" customHeight="1">
      <c r="A978" s="21"/>
      <c r="B978" s="22"/>
      <c r="C978" s="22"/>
    </row>
    <row r="979" ht="14.25" customHeight="1">
      <c r="A979" s="21"/>
      <c r="B979" s="22"/>
      <c r="C979" s="22"/>
    </row>
    <row r="980" ht="14.25" customHeight="1">
      <c r="A980" s="21"/>
      <c r="B980" s="22"/>
      <c r="C980" s="22"/>
    </row>
    <row r="981" ht="14.25" customHeight="1">
      <c r="A981" s="21"/>
      <c r="B981" s="22"/>
      <c r="C981" s="22"/>
    </row>
    <row r="982" ht="14.25" customHeight="1">
      <c r="A982" s="21"/>
      <c r="B982" s="22"/>
      <c r="C982" s="22"/>
    </row>
    <row r="983" ht="14.25" customHeight="1">
      <c r="A983" s="21"/>
      <c r="B983" s="22"/>
      <c r="C983" s="22"/>
    </row>
    <row r="984" ht="14.25" customHeight="1">
      <c r="A984" s="21"/>
      <c r="B984" s="22"/>
      <c r="C984" s="22"/>
    </row>
    <row r="985" ht="14.25" customHeight="1">
      <c r="A985" s="21"/>
      <c r="B985" s="22"/>
      <c r="C985" s="22"/>
    </row>
    <row r="986" ht="14.25" customHeight="1">
      <c r="A986" s="21"/>
      <c r="B986" s="22"/>
      <c r="C986" s="22"/>
    </row>
    <row r="987" ht="14.25" customHeight="1">
      <c r="A987" s="21"/>
      <c r="B987" s="22"/>
      <c r="C987" s="22"/>
    </row>
    <row r="988" ht="14.25" customHeight="1">
      <c r="A988" s="21"/>
      <c r="B988" s="22"/>
      <c r="C988" s="22"/>
    </row>
    <row r="989" ht="14.25" customHeight="1">
      <c r="A989" s="21"/>
      <c r="B989" s="22"/>
      <c r="C989" s="22"/>
    </row>
    <row r="990" ht="14.25" customHeight="1">
      <c r="A990" s="21"/>
      <c r="B990" s="22"/>
      <c r="C990" s="22"/>
    </row>
    <row r="991" ht="14.25" customHeight="1">
      <c r="A991" s="21"/>
      <c r="B991" s="22"/>
      <c r="C991" s="22"/>
    </row>
    <row r="992" ht="14.25" customHeight="1">
      <c r="A992" s="21"/>
      <c r="B992" s="22"/>
      <c r="C992" s="22"/>
    </row>
    <row r="993" ht="14.25" customHeight="1">
      <c r="A993" s="21"/>
      <c r="B993" s="22"/>
      <c r="C993" s="22"/>
    </row>
    <row r="994" ht="14.25" customHeight="1">
      <c r="A994" s="21"/>
      <c r="B994" s="22"/>
      <c r="C994" s="22"/>
    </row>
    <row r="995" ht="14.25" customHeight="1">
      <c r="A995" s="21"/>
      <c r="B995" s="22"/>
      <c r="C995" s="22"/>
    </row>
    <row r="996" ht="14.25" customHeight="1">
      <c r="A996" s="21"/>
      <c r="B996" s="22"/>
      <c r="C996" s="22"/>
    </row>
    <row r="997" ht="14.25" customHeight="1">
      <c r="A997" s="21"/>
      <c r="B997" s="22"/>
      <c r="C997" s="22"/>
    </row>
    <row r="998" ht="14.25" customHeight="1">
      <c r="A998" s="21"/>
      <c r="B998" s="22"/>
      <c r="C998" s="22"/>
    </row>
    <row r="999" ht="14.25" customHeight="1">
      <c r="A999" s="21"/>
      <c r="B999" s="22"/>
      <c r="C999" s="22"/>
    </row>
    <row r="1000" ht="14.25" customHeight="1">
      <c r="A1000" s="21"/>
      <c r="B1000" s="22"/>
      <c r="C1000" s="22"/>
    </row>
  </sheetData>
  <mergeCells count="44">
    <mergeCell ref="AD1:AE1"/>
    <mergeCell ref="AF1:AG1"/>
    <mergeCell ref="AH1:AI1"/>
    <mergeCell ref="AJ1:AL1"/>
    <mergeCell ref="AM1:AN1"/>
    <mergeCell ref="AO1:AP1"/>
    <mergeCell ref="AQ1:AR1"/>
    <mergeCell ref="AS1:AU1"/>
    <mergeCell ref="AV1:AX1"/>
    <mergeCell ref="AY1:AZ1"/>
    <mergeCell ref="BA1:BB1"/>
    <mergeCell ref="BC1:BD1"/>
    <mergeCell ref="BE1:BF1"/>
    <mergeCell ref="BG1:BI1"/>
    <mergeCell ref="BL1:BM1"/>
    <mergeCell ref="BN1:BP1"/>
    <mergeCell ref="BQ1:BS1"/>
    <mergeCell ref="BT1:BU1"/>
    <mergeCell ref="BV1:BW1"/>
    <mergeCell ref="BX1:BY1"/>
    <mergeCell ref="BZ1:CC1"/>
    <mergeCell ref="DB1:DC1"/>
    <mergeCell ref="DD1:DE1"/>
    <mergeCell ref="DF1:DG1"/>
    <mergeCell ref="CG1:CH1"/>
    <mergeCell ref="CJ1:CK1"/>
    <mergeCell ref="CM1:CO1"/>
    <mergeCell ref="CP1:CR1"/>
    <mergeCell ref="CS1:CV1"/>
    <mergeCell ref="CW1:CY1"/>
    <mergeCell ref="CZ1:DA1"/>
    <mergeCell ref="B2:C2"/>
    <mergeCell ref="A3:C3"/>
    <mergeCell ref="B54:B55"/>
    <mergeCell ref="A66:C70"/>
    <mergeCell ref="A74:C75"/>
    <mergeCell ref="A78:C80"/>
    <mergeCell ref="A1:A2"/>
    <mergeCell ref="B1:C1"/>
    <mergeCell ref="D1:J1"/>
    <mergeCell ref="K1:N1"/>
    <mergeCell ref="O1:T1"/>
    <mergeCell ref="U1:Y1"/>
    <mergeCell ref="Z1:AA1"/>
  </mergeCell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5.86"/>
    <col customWidth="1" min="2" max="2" width="11.0"/>
    <col customWidth="1" min="3" max="3" width="9.14"/>
    <col customWidth="1" min="4" max="32" width="8.71"/>
  </cols>
  <sheetData>
    <row r="1" ht="14.25" customHeight="1">
      <c r="A1" s="1"/>
      <c r="B1" s="2" t="s">
        <v>0</v>
      </c>
      <c r="D1" s="3" t="s">
        <v>284</v>
      </c>
      <c r="E1" s="3" t="s">
        <v>285</v>
      </c>
      <c r="H1" s="3" t="s">
        <v>286</v>
      </c>
      <c r="K1" s="3" t="s">
        <v>287</v>
      </c>
      <c r="M1" s="3" t="s">
        <v>288</v>
      </c>
      <c r="O1" s="3" t="s">
        <v>289</v>
      </c>
      <c r="Q1" s="3" t="s">
        <v>290</v>
      </c>
      <c r="R1" s="3" t="s">
        <v>291</v>
      </c>
      <c r="S1" s="3" t="s">
        <v>292</v>
      </c>
      <c r="W1" s="3" t="s">
        <v>293</v>
      </c>
      <c r="Y1" s="3" t="s">
        <v>294</v>
      </c>
      <c r="AA1" s="3" t="s">
        <v>295</v>
      </c>
      <c r="AB1" s="3" t="s">
        <v>296</v>
      </c>
      <c r="AD1" s="3" t="s">
        <v>297</v>
      </c>
      <c r="AF1" s="3" t="s">
        <v>298</v>
      </c>
    </row>
    <row r="2" ht="14.25" customHeight="1">
      <c r="A2" s="4"/>
      <c r="B2" s="5" t="s">
        <v>44</v>
      </c>
      <c r="C2" s="4"/>
      <c r="D2" s="6" t="s">
        <v>55</v>
      </c>
      <c r="E2" s="6" t="s">
        <v>55</v>
      </c>
      <c r="F2" s="11" t="s">
        <v>299</v>
      </c>
      <c r="G2" s="7" t="s">
        <v>300</v>
      </c>
      <c r="H2" s="6" t="s">
        <v>55</v>
      </c>
      <c r="I2" s="11" t="s">
        <v>299</v>
      </c>
      <c r="J2" s="7" t="s">
        <v>300</v>
      </c>
      <c r="K2" s="6" t="s">
        <v>55</v>
      </c>
      <c r="L2" s="7" t="s">
        <v>300</v>
      </c>
      <c r="M2" s="6" t="s">
        <v>55</v>
      </c>
      <c r="N2" s="7" t="s">
        <v>300</v>
      </c>
      <c r="O2" s="6" t="s">
        <v>55</v>
      </c>
      <c r="P2" s="7" t="s">
        <v>300</v>
      </c>
      <c r="Q2" s="6" t="s">
        <v>301</v>
      </c>
      <c r="R2" s="6" t="s">
        <v>301</v>
      </c>
      <c r="S2" s="6" t="s">
        <v>302</v>
      </c>
      <c r="T2" s="11" t="s">
        <v>303</v>
      </c>
      <c r="U2" s="13" t="s">
        <v>304</v>
      </c>
      <c r="V2" s="13" t="s">
        <v>305</v>
      </c>
      <c r="W2" s="6" t="s">
        <v>301</v>
      </c>
      <c r="X2" s="7" t="s">
        <v>300</v>
      </c>
      <c r="Y2" s="6" t="s">
        <v>301</v>
      </c>
      <c r="Z2" s="7" t="s">
        <v>300</v>
      </c>
      <c r="AA2" s="6" t="s">
        <v>55</v>
      </c>
      <c r="AB2" s="6" t="s">
        <v>301</v>
      </c>
      <c r="AC2" s="7" t="s">
        <v>300</v>
      </c>
      <c r="AD2" s="6" t="s">
        <v>301</v>
      </c>
      <c r="AE2" s="7" t="s">
        <v>300</v>
      </c>
    </row>
    <row r="3" ht="14.25" customHeight="1">
      <c r="A3" s="15" t="s">
        <v>88</v>
      </c>
      <c r="B3" s="16"/>
      <c r="C3" s="17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49"/>
    </row>
    <row r="4" ht="14.25" customHeight="1">
      <c r="A4" s="19" t="s">
        <v>89</v>
      </c>
      <c r="B4" s="20" t="s">
        <v>90</v>
      </c>
      <c r="C4" s="20" t="s">
        <v>91</v>
      </c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ht="14.25" customHeight="1">
      <c r="A5" s="21" t="s">
        <v>92</v>
      </c>
      <c r="B5" s="22" t="s">
        <v>93</v>
      </c>
      <c r="C5" s="22"/>
      <c r="D5" s="23">
        <v>4.07</v>
      </c>
      <c r="E5" s="23">
        <v>5.31</v>
      </c>
      <c r="F5" s="23">
        <v>5.79</v>
      </c>
      <c r="G5" s="23">
        <v>2.52</v>
      </c>
      <c r="H5" s="23">
        <v>4.7</v>
      </c>
      <c r="I5" s="23">
        <v>4.51</v>
      </c>
      <c r="J5" s="23">
        <v>2.53</v>
      </c>
      <c r="K5" s="23">
        <v>5.2</v>
      </c>
      <c r="L5" s="23">
        <v>1.7</v>
      </c>
      <c r="M5" s="23">
        <v>3.91</v>
      </c>
      <c r="N5" s="23">
        <v>1.85</v>
      </c>
      <c r="O5" s="23">
        <v>6.5</v>
      </c>
      <c r="P5" s="23">
        <v>1.55</v>
      </c>
      <c r="Q5" s="23">
        <v>3.48</v>
      </c>
      <c r="R5" s="23">
        <v>2.28</v>
      </c>
      <c r="S5" s="23">
        <v>46.99</v>
      </c>
      <c r="T5" s="23">
        <v>3.0</v>
      </c>
      <c r="U5" s="23">
        <v>94.99</v>
      </c>
      <c r="V5" s="23">
        <v>67.62</v>
      </c>
      <c r="W5" s="23">
        <v>4.73</v>
      </c>
      <c r="X5" s="23">
        <v>1.2</v>
      </c>
      <c r="Y5" s="23">
        <v>5.23</v>
      </c>
      <c r="Z5" s="23">
        <v>2.03</v>
      </c>
      <c r="AA5" s="23">
        <v>6.96</v>
      </c>
      <c r="AB5" s="23">
        <v>3.75</v>
      </c>
      <c r="AC5" s="23">
        <v>5.0</v>
      </c>
      <c r="AD5" s="23">
        <v>4.69</v>
      </c>
      <c r="AE5" s="23">
        <v>3.3</v>
      </c>
      <c r="AF5" s="23">
        <v>5.95</v>
      </c>
    </row>
    <row r="6" ht="14.25" customHeight="1">
      <c r="A6" s="21" t="s">
        <v>94</v>
      </c>
      <c r="B6" s="22" t="s">
        <v>95</v>
      </c>
      <c r="C6" s="22"/>
      <c r="D6" s="23">
        <v>654.0</v>
      </c>
      <c r="E6" s="23">
        <v>628.0</v>
      </c>
      <c r="F6" s="23">
        <v>629.0</v>
      </c>
      <c r="G6" s="23">
        <v>646.0</v>
      </c>
      <c r="H6" s="23">
        <v>575.0</v>
      </c>
      <c r="I6" s="23">
        <v>590.0</v>
      </c>
      <c r="J6" s="23">
        <v>595.0</v>
      </c>
      <c r="K6" s="23">
        <v>553.0</v>
      </c>
      <c r="L6" s="23">
        <v>574.0</v>
      </c>
      <c r="M6" s="23">
        <v>562.0</v>
      </c>
      <c r="N6" s="23">
        <v>567.0</v>
      </c>
      <c r="O6" s="23">
        <v>567.0</v>
      </c>
      <c r="P6" s="23">
        <v>585.0</v>
      </c>
      <c r="Q6" s="23">
        <v>656.0</v>
      </c>
      <c r="R6" s="23">
        <v>673.0</v>
      </c>
      <c r="S6" s="23">
        <v>354.0</v>
      </c>
      <c r="T6" s="23">
        <v>660.0</v>
      </c>
      <c r="U6" s="23">
        <v>19.0</v>
      </c>
      <c r="V6" s="23">
        <v>230.0</v>
      </c>
      <c r="W6" s="23">
        <v>584.0</v>
      </c>
      <c r="X6" s="23">
        <v>582.0</v>
      </c>
      <c r="Y6" s="23">
        <v>559.0</v>
      </c>
      <c r="Z6" s="23">
        <v>574.0</v>
      </c>
      <c r="AA6" s="23">
        <v>534.0</v>
      </c>
      <c r="AB6" s="23">
        <v>631.0</v>
      </c>
      <c r="AC6" s="23">
        <v>567.0</v>
      </c>
      <c r="AD6" s="23">
        <v>573.0</v>
      </c>
      <c r="AE6" s="23">
        <v>565.0</v>
      </c>
      <c r="AF6" s="23">
        <v>525.0</v>
      </c>
    </row>
    <row r="7" ht="14.25" customHeight="1">
      <c r="A7" s="21" t="s">
        <v>96</v>
      </c>
      <c r="B7" s="22" t="s">
        <v>97</v>
      </c>
      <c r="C7" s="22" t="s">
        <v>98</v>
      </c>
      <c r="D7" s="23">
        <v>15.23</v>
      </c>
      <c r="E7" s="23">
        <v>14.95</v>
      </c>
      <c r="F7" s="23">
        <v>13.7</v>
      </c>
      <c r="G7" s="23">
        <v>15.03</v>
      </c>
      <c r="H7" s="24">
        <v>21.22</v>
      </c>
      <c r="I7" s="24">
        <v>21.4</v>
      </c>
      <c r="J7" s="24">
        <v>21.06</v>
      </c>
      <c r="K7" s="24">
        <v>18.22</v>
      </c>
      <c r="L7" s="23">
        <v>15.31</v>
      </c>
      <c r="M7" s="24">
        <v>20.27</v>
      </c>
      <c r="N7" s="24">
        <v>20.95</v>
      </c>
      <c r="O7" s="25">
        <v>25.8</v>
      </c>
      <c r="P7" s="25">
        <v>23.68</v>
      </c>
      <c r="Q7" s="23">
        <v>14.32</v>
      </c>
      <c r="R7" s="23">
        <v>13.69</v>
      </c>
      <c r="S7" s="23">
        <v>3.33</v>
      </c>
      <c r="T7" s="23">
        <v>6.88</v>
      </c>
      <c r="U7" s="23">
        <v>0.72</v>
      </c>
      <c r="V7" s="23">
        <v>2.29</v>
      </c>
      <c r="W7" s="24">
        <v>20.78</v>
      </c>
      <c r="X7" s="24">
        <v>19.33</v>
      </c>
      <c r="Y7" s="26">
        <v>30.23</v>
      </c>
      <c r="Z7" s="26">
        <v>29.84</v>
      </c>
      <c r="AA7" s="24">
        <v>18.29</v>
      </c>
      <c r="AB7" s="25">
        <v>20.45</v>
      </c>
      <c r="AC7" s="23">
        <v>16.96</v>
      </c>
      <c r="AD7" s="24">
        <v>17.73</v>
      </c>
      <c r="AE7" s="23">
        <v>16.96</v>
      </c>
      <c r="AF7" s="24">
        <v>17.99</v>
      </c>
    </row>
    <row r="8" ht="14.25" customHeight="1">
      <c r="A8" s="21" t="s">
        <v>99</v>
      </c>
      <c r="B8" s="22" t="s">
        <v>100</v>
      </c>
      <c r="C8" s="22"/>
      <c r="D8" s="25">
        <v>65.21</v>
      </c>
      <c r="E8" s="25">
        <v>60.75</v>
      </c>
      <c r="F8" s="25">
        <v>61.15</v>
      </c>
      <c r="G8" s="25">
        <v>62.4</v>
      </c>
      <c r="H8" s="24">
        <v>49.42</v>
      </c>
      <c r="I8" s="24">
        <v>52.52</v>
      </c>
      <c r="J8" s="24">
        <v>52.05</v>
      </c>
      <c r="K8" s="23">
        <v>43.85</v>
      </c>
      <c r="L8" s="23">
        <v>46.35</v>
      </c>
      <c r="M8" s="23">
        <v>45.39</v>
      </c>
      <c r="N8" s="23">
        <v>44.82</v>
      </c>
      <c r="O8" s="24">
        <v>49.24</v>
      </c>
      <c r="P8" s="24">
        <v>49.66</v>
      </c>
      <c r="Q8" s="25">
        <v>66.43</v>
      </c>
      <c r="R8" s="26">
        <v>68.37</v>
      </c>
      <c r="S8" s="23">
        <v>33.49</v>
      </c>
      <c r="T8" s="25">
        <v>64.53</v>
      </c>
      <c r="U8" s="23">
        <v>0.2</v>
      </c>
      <c r="V8" s="23">
        <v>23.84</v>
      </c>
      <c r="W8" s="24">
        <v>51.46</v>
      </c>
      <c r="X8" s="24">
        <v>49.8</v>
      </c>
      <c r="Y8" s="24">
        <v>49.05</v>
      </c>
      <c r="Z8" s="24">
        <v>49.05</v>
      </c>
      <c r="AA8" s="23">
        <v>42.16</v>
      </c>
      <c r="AB8" s="25">
        <v>61.21</v>
      </c>
      <c r="AC8" s="24">
        <v>48.0</v>
      </c>
      <c r="AD8" s="24">
        <v>49.67</v>
      </c>
      <c r="AE8" s="24">
        <v>48.0</v>
      </c>
      <c r="AF8" s="23">
        <v>41.56</v>
      </c>
    </row>
    <row r="9" ht="14.25" customHeight="1">
      <c r="A9" s="21" t="s">
        <v>101</v>
      </c>
      <c r="B9" s="22" t="s">
        <v>102</v>
      </c>
      <c r="C9" s="22"/>
      <c r="D9" s="23">
        <v>13.71</v>
      </c>
      <c r="E9" s="23">
        <v>16.7</v>
      </c>
      <c r="F9" s="23">
        <v>17.0</v>
      </c>
      <c r="G9" s="23">
        <v>17.6</v>
      </c>
      <c r="H9" s="23">
        <v>21.67</v>
      </c>
      <c r="I9" s="23">
        <v>18.67</v>
      </c>
      <c r="J9" s="23">
        <v>21.2</v>
      </c>
      <c r="K9" s="23">
        <v>30.19</v>
      </c>
      <c r="L9" s="23">
        <v>32.69</v>
      </c>
      <c r="M9" s="23">
        <v>27.51</v>
      </c>
      <c r="N9" s="23">
        <v>29.38</v>
      </c>
      <c r="O9" s="23">
        <v>16.13</v>
      </c>
      <c r="P9" s="23">
        <v>21.51</v>
      </c>
      <c r="Q9" s="23">
        <v>12.27</v>
      </c>
      <c r="R9" s="23">
        <v>13.08</v>
      </c>
      <c r="S9" s="23">
        <v>15.23</v>
      </c>
      <c r="T9" s="23">
        <v>23.65</v>
      </c>
      <c r="U9" s="23">
        <v>3.71</v>
      </c>
      <c r="V9" s="23">
        <v>5.54</v>
      </c>
      <c r="W9" s="23">
        <v>20.0</v>
      </c>
      <c r="X9" s="23">
        <v>24.07</v>
      </c>
      <c r="Y9" s="23">
        <v>10.71</v>
      </c>
      <c r="Z9" s="23">
        <v>14.71</v>
      </c>
      <c r="AA9" s="23">
        <v>28.88</v>
      </c>
      <c r="AB9" s="23">
        <v>11.73</v>
      </c>
      <c r="AC9" s="23">
        <v>26.04</v>
      </c>
      <c r="AD9" s="23">
        <v>23.45</v>
      </c>
      <c r="AE9" s="23">
        <v>25.74</v>
      </c>
      <c r="AF9" s="23">
        <v>28.13</v>
      </c>
    </row>
    <row r="10" ht="14.25" customHeight="1">
      <c r="A10" s="21" t="s">
        <v>103</v>
      </c>
      <c r="B10" s="22" t="s">
        <v>104</v>
      </c>
      <c r="C10" s="22"/>
      <c r="D10" s="23">
        <v>6.7</v>
      </c>
      <c r="E10" s="24">
        <v>9.7</v>
      </c>
      <c r="F10" s="24">
        <v>11.0</v>
      </c>
      <c r="G10" s="24">
        <v>9.4</v>
      </c>
      <c r="H10" s="24">
        <v>12.2</v>
      </c>
      <c r="I10" s="24">
        <v>9.9</v>
      </c>
      <c r="J10" s="24">
        <v>10.9</v>
      </c>
      <c r="K10" s="23">
        <v>3.3</v>
      </c>
      <c r="L10" s="23">
        <v>3.0</v>
      </c>
      <c r="M10" s="24">
        <v>10.3</v>
      </c>
      <c r="N10" s="24">
        <v>9.9</v>
      </c>
      <c r="O10" s="23">
        <v>8.5</v>
      </c>
      <c r="P10" s="23">
        <v>8.0</v>
      </c>
      <c r="Q10" s="23">
        <v>7.5</v>
      </c>
      <c r="R10" s="23">
        <v>3.7</v>
      </c>
      <c r="S10" s="24">
        <v>9.0</v>
      </c>
      <c r="T10" s="25">
        <v>16.3</v>
      </c>
      <c r="U10" s="23">
        <v>1.1</v>
      </c>
      <c r="V10" s="23">
        <v>2.2</v>
      </c>
      <c r="W10" s="23">
        <v>8.6</v>
      </c>
      <c r="X10" s="24">
        <v>11.1</v>
      </c>
      <c r="Y10" s="23">
        <v>6.0</v>
      </c>
      <c r="Z10" s="23">
        <v>6.5</v>
      </c>
      <c r="AA10" s="26">
        <v>27.3</v>
      </c>
      <c r="AB10" s="24">
        <v>11.6</v>
      </c>
      <c r="AC10" s="25">
        <v>16.9</v>
      </c>
      <c r="AD10" s="24">
        <v>11.8</v>
      </c>
      <c r="AE10" s="25">
        <v>14.0</v>
      </c>
      <c r="AF10" s="25">
        <v>19.5</v>
      </c>
    </row>
    <row r="11" ht="14.25" customHeight="1">
      <c r="A11" s="21" t="s">
        <v>105</v>
      </c>
      <c r="B11" s="22"/>
      <c r="C11" s="22"/>
      <c r="D11" s="23">
        <v>2.61</v>
      </c>
      <c r="E11" s="23">
        <v>4.34</v>
      </c>
      <c r="F11" s="23">
        <v>3.49</v>
      </c>
      <c r="G11" s="23">
        <v>4.89</v>
      </c>
      <c r="H11" s="23">
        <v>3.89</v>
      </c>
      <c r="I11" s="23">
        <v>4.63</v>
      </c>
      <c r="J11" s="23">
        <v>4.93</v>
      </c>
      <c r="K11" s="23">
        <v>5.91</v>
      </c>
      <c r="L11" s="23">
        <v>5.01</v>
      </c>
      <c r="M11" s="23">
        <v>7.66</v>
      </c>
      <c r="N11" s="23">
        <v>7.74</v>
      </c>
      <c r="O11" s="23">
        <v>3.97</v>
      </c>
      <c r="P11" s="23">
        <v>4.18</v>
      </c>
      <c r="Q11" s="23">
        <v>2.33</v>
      </c>
      <c r="R11" s="23">
        <v>3.59</v>
      </c>
      <c r="S11" s="23">
        <v>6.23</v>
      </c>
      <c r="T11" s="23">
        <v>7.35</v>
      </c>
      <c r="U11" s="23">
        <v>2.61</v>
      </c>
      <c r="V11" s="23">
        <v>3.34</v>
      </c>
      <c r="W11" s="23">
        <v>2.62</v>
      </c>
      <c r="X11" s="23">
        <v>2.73</v>
      </c>
      <c r="Y11" s="23">
        <v>1.4</v>
      </c>
      <c r="Z11" s="23">
        <v>1.29</v>
      </c>
      <c r="AA11" s="23">
        <v>1.55</v>
      </c>
      <c r="AB11" s="23">
        <v>0.48</v>
      </c>
      <c r="AC11" s="23">
        <v>0.48</v>
      </c>
      <c r="AD11" s="23">
        <v>0.3</v>
      </c>
      <c r="AF11" s="23">
        <v>2.99</v>
      </c>
    </row>
    <row r="12" ht="14.25" customHeight="1">
      <c r="A12" s="19" t="s">
        <v>106</v>
      </c>
      <c r="B12" s="27"/>
      <c r="C12" s="27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</row>
    <row r="13" ht="14.25" customHeight="1">
      <c r="A13" s="21" t="s">
        <v>107</v>
      </c>
      <c r="B13" s="22">
        <v>1000.0</v>
      </c>
      <c r="C13" s="22">
        <v>2500.0</v>
      </c>
      <c r="D13" s="23">
        <v>98.0</v>
      </c>
      <c r="E13" s="23">
        <v>114.0</v>
      </c>
      <c r="F13" s="23">
        <v>149.0</v>
      </c>
      <c r="G13" s="23">
        <v>123.0</v>
      </c>
      <c r="H13" s="24">
        <v>264.0</v>
      </c>
      <c r="I13" s="24">
        <v>236.0</v>
      </c>
      <c r="J13" s="24">
        <v>267.0</v>
      </c>
      <c r="K13" s="23">
        <v>37.0</v>
      </c>
      <c r="L13" s="23">
        <v>45.0</v>
      </c>
      <c r="M13" s="23">
        <v>105.0</v>
      </c>
      <c r="N13" s="23">
        <v>107.0</v>
      </c>
      <c r="O13" s="23">
        <v>92.0</v>
      </c>
      <c r="P13" s="23">
        <v>54.0</v>
      </c>
      <c r="Q13" s="23">
        <v>160.0</v>
      </c>
      <c r="R13" s="23">
        <v>16.0</v>
      </c>
      <c r="S13" s="23">
        <v>14.0</v>
      </c>
      <c r="T13" s="23">
        <v>26.0</v>
      </c>
      <c r="U13" s="23">
        <v>24.0</v>
      </c>
      <c r="V13" s="23">
        <v>16.0</v>
      </c>
      <c r="W13" s="23">
        <v>78.0</v>
      </c>
      <c r="X13" s="23">
        <v>70.0</v>
      </c>
      <c r="Y13" s="23">
        <v>46.0</v>
      </c>
      <c r="Z13" s="23">
        <v>52.0</v>
      </c>
      <c r="AA13" s="24">
        <v>255.0</v>
      </c>
      <c r="AB13" s="23">
        <v>60.0</v>
      </c>
      <c r="AC13" s="23">
        <v>131.0</v>
      </c>
      <c r="AD13" s="26">
        <v>975.0</v>
      </c>
      <c r="AE13" s="26">
        <v>989.0</v>
      </c>
      <c r="AF13" s="26">
        <v>1438.0</v>
      </c>
    </row>
    <row r="14" ht="14.25" customHeight="1">
      <c r="A14" s="21" t="s">
        <v>108</v>
      </c>
      <c r="B14" s="22" t="s">
        <v>109</v>
      </c>
      <c r="C14" s="22" t="s">
        <v>110</v>
      </c>
      <c r="D14" s="23">
        <v>2.91</v>
      </c>
      <c r="E14" s="23">
        <v>4.7</v>
      </c>
      <c r="F14" s="23">
        <v>3.3</v>
      </c>
      <c r="G14" s="23">
        <v>4.38</v>
      </c>
      <c r="H14" s="23">
        <v>3.72</v>
      </c>
      <c r="I14" s="23">
        <v>3.28</v>
      </c>
      <c r="J14" s="23">
        <v>3.83</v>
      </c>
      <c r="K14" s="24">
        <v>6.68</v>
      </c>
      <c r="L14" s="24">
        <v>6.0</v>
      </c>
      <c r="M14" s="23">
        <v>3.92</v>
      </c>
      <c r="N14" s="21">
        <v>4.03</v>
      </c>
      <c r="O14" s="21">
        <v>4.58</v>
      </c>
      <c r="P14" s="23">
        <v>2.26</v>
      </c>
      <c r="Q14" s="23">
        <v>2.43</v>
      </c>
      <c r="R14" s="24">
        <v>5.53</v>
      </c>
      <c r="S14" s="23">
        <v>2.43</v>
      </c>
      <c r="T14" s="23">
        <v>3.32</v>
      </c>
      <c r="U14" s="23">
        <v>0.29</v>
      </c>
      <c r="V14" s="23">
        <v>1.64</v>
      </c>
      <c r="W14" s="24">
        <v>5.25</v>
      </c>
      <c r="X14" s="23">
        <v>3.8</v>
      </c>
      <c r="Y14" s="25">
        <v>8.82</v>
      </c>
      <c r="Z14" s="25">
        <v>8.07</v>
      </c>
      <c r="AA14" s="24">
        <v>5.73</v>
      </c>
      <c r="AB14" s="24">
        <v>6.36</v>
      </c>
      <c r="AC14" s="24">
        <v>7.78</v>
      </c>
      <c r="AD14" s="26">
        <v>14.55</v>
      </c>
      <c r="AE14" s="26">
        <v>14.76</v>
      </c>
      <c r="AF14" s="50">
        <v>9.76</v>
      </c>
    </row>
    <row r="15" ht="14.25" customHeight="1">
      <c r="A15" s="21" t="s">
        <v>111</v>
      </c>
      <c r="B15" s="22" t="s">
        <v>112</v>
      </c>
      <c r="C15" s="22">
        <v>350.0</v>
      </c>
      <c r="D15" s="23">
        <v>158.0</v>
      </c>
      <c r="E15" s="23">
        <v>163.0</v>
      </c>
      <c r="F15" s="23">
        <v>160.0</v>
      </c>
      <c r="G15" s="23">
        <v>173.0</v>
      </c>
      <c r="H15" s="24">
        <v>268.0</v>
      </c>
      <c r="I15" s="24">
        <v>268.0</v>
      </c>
      <c r="J15" s="24">
        <v>281.0</v>
      </c>
      <c r="K15" s="24">
        <v>292.0</v>
      </c>
      <c r="L15" s="24">
        <v>260.0</v>
      </c>
      <c r="M15" s="23">
        <v>121.0</v>
      </c>
      <c r="N15" s="23">
        <v>109.0</v>
      </c>
      <c r="O15" s="23">
        <v>168.0</v>
      </c>
      <c r="P15" s="23">
        <v>176.0</v>
      </c>
      <c r="Q15" s="50">
        <v>376.0</v>
      </c>
      <c r="R15" s="24">
        <v>251.0</v>
      </c>
      <c r="S15" s="23">
        <v>32.0</v>
      </c>
      <c r="T15" s="23">
        <v>90.0</v>
      </c>
      <c r="U15" s="23">
        <v>25.0</v>
      </c>
      <c r="V15" s="23">
        <v>37.0</v>
      </c>
      <c r="W15" s="50">
        <v>325.0</v>
      </c>
      <c r="X15" s="23">
        <v>129.0</v>
      </c>
      <c r="Y15" s="26">
        <v>592.0</v>
      </c>
      <c r="Z15" s="26">
        <v>550.0</v>
      </c>
      <c r="AA15" s="50">
        <v>392.0</v>
      </c>
      <c r="AB15" s="50">
        <v>345.0</v>
      </c>
      <c r="AC15" s="50">
        <v>346.0</v>
      </c>
      <c r="AD15" s="50">
        <v>351.0</v>
      </c>
      <c r="AE15" s="50">
        <v>356.0</v>
      </c>
      <c r="AF15" s="50">
        <v>347.0</v>
      </c>
    </row>
    <row r="16" ht="14.25" customHeight="1">
      <c r="A16" s="21" t="s">
        <v>113</v>
      </c>
      <c r="B16" s="22" t="s">
        <v>114</v>
      </c>
      <c r="C16" s="22">
        <v>4000.0</v>
      </c>
      <c r="D16" s="23">
        <v>346.0</v>
      </c>
      <c r="E16" s="23">
        <v>290.0</v>
      </c>
      <c r="F16" s="23">
        <v>310.0</v>
      </c>
      <c r="G16" s="23">
        <v>310.0</v>
      </c>
      <c r="H16" s="23">
        <v>484.0</v>
      </c>
      <c r="I16" s="23">
        <v>481.0</v>
      </c>
      <c r="J16" s="23">
        <v>470.0</v>
      </c>
      <c r="K16" s="23">
        <v>593.0</v>
      </c>
      <c r="L16" s="23">
        <v>490.0</v>
      </c>
      <c r="M16" s="23">
        <v>490.0</v>
      </c>
      <c r="N16" s="23">
        <v>469.0</v>
      </c>
      <c r="O16" s="23">
        <v>376.0</v>
      </c>
      <c r="P16" s="23">
        <v>358.0</v>
      </c>
      <c r="Q16" s="23">
        <v>725.0</v>
      </c>
      <c r="R16" s="23">
        <v>575.0</v>
      </c>
      <c r="S16" s="23">
        <v>113.0</v>
      </c>
      <c r="T16" s="23">
        <v>206.0</v>
      </c>
      <c r="U16" s="23">
        <v>20.0</v>
      </c>
      <c r="V16" s="23">
        <v>100.0</v>
      </c>
      <c r="W16" s="23">
        <v>660.0</v>
      </c>
      <c r="X16" s="23">
        <v>1155.0</v>
      </c>
      <c r="Y16" s="23">
        <v>1233.0</v>
      </c>
      <c r="Z16" s="23">
        <v>1174.0</v>
      </c>
      <c r="AA16" s="23">
        <v>642.0</v>
      </c>
      <c r="AB16" s="23">
        <v>667.0</v>
      </c>
      <c r="AC16" s="23">
        <v>774.0</v>
      </c>
      <c r="AD16" s="23">
        <v>629.0</v>
      </c>
      <c r="AE16" s="23">
        <v>638.0</v>
      </c>
      <c r="AF16" s="23">
        <v>870.0</v>
      </c>
    </row>
    <row r="17" ht="14.25" customHeight="1">
      <c r="A17" s="21" t="s">
        <v>115</v>
      </c>
      <c r="B17" s="22" t="s">
        <v>116</v>
      </c>
      <c r="C17" s="22" t="s">
        <v>100</v>
      </c>
      <c r="D17" s="23">
        <v>441.0</v>
      </c>
      <c r="E17" s="24">
        <v>680.0</v>
      </c>
      <c r="F17" s="24">
        <v>658.0</v>
      </c>
      <c r="G17" s="24">
        <v>755.0</v>
      </c>
      <c r="H17" s="24">
        <v>705.0</v>
      </c>
      <c r="I17" s="24">
        <v>659.0</v>
      </c>
      <c r="J17" s="24">
        <v>712.0</v>
      </c>
      <c r="K17" s="24">
        <v>660.0</v>
      </c>
      <c r="L17" s="24">
        <v>565.0</v>
      </c>
      <c r="M17" s="50">
        <v>1025.0</v>
      </c>
      <c r="N17" s="50">
        <v>1007.0</v>
      </c>
      <c r="O17" s="24">
        <v>705.0</v>
      </c>
      <c r="P17" s="24">
        <v>658.0</v>
      </c>
      <c r="Q17" s="24">
        <v>659.0</v>
      </c>
      <c r="R17" s="24">
        <v>597.0</v>
      </c>
      <c r="S17" s="23">
        <v>356.0</v>
      </c>
      <c r="T17" s="24">
        <v>543.0</v>
      </c>
      <c r="U17" s="23">
        <v>250.0</v>
      </c>
      <c r="V17" s="23">
        <v>263.0</v>
      </c>
      <c r="W17" s="24">
        <v>645.0</v>
      </c>
      <c r="X17" s="25">
        <v>850.0</v>
      </c>
      <c r="Y17" s="25">
        <v>809.0</v>
      </c>
      <c r="Z17" s="25">
        <v>788.0</v>
      </c>
      <c r="AA17" s="25">
        <v>813.0</v>
      </c>
      <c r="AB17" s="23">
        <v>370.0</v>
      </c>
      <c r="AC17" s="24">
        <v>406.0</v>
      </c>
      <c r="AD17" s="24">
        <v>468.0</v>
      </c>
      <c r="AE17" s="24">
        <v>475.0</v>
      </c>
      <c r="AF17" s="25">
        <v>719.0</v>
      </c>
    </row>
    <row r="18" ht="14.25" customHeight="1">
      <c r="A18" s="21" t="s">
        <v>117</v>
      </c>
      <c r="B18" s="22" t="s">
        <v>118</v>
      </c>
      <c r="C18" s="22">
        <v>2300.0</v>
      </c>
      <c r="D18" s="23">
        <v>2.0</v>
      </c>
      <c r="E18" s="23">
        <v>0.0</v>
      </c>
      <c r="F18" s="23">
        <v>0.0</v>
      </c>
      <c r="G18" s="23">
        <v>0.0</v>
      </c>
      <c r="H18" s="23">
        <v>1.0</v>
      </c>
      <c r="I18" s="23">
        <v>19.0</v>
      </c>
      <c r="J18" s="23">
        <v>3.0</v>
      </c>
      <c r="K18" s="23">
        <v>12.0</v>
      </c>
      <c r="L18" s="23">
        <v>16.0</v>
      </c>
      <c r="M18" s="23">
        <v>1.0</v>
      </c>
      <c r="N18" s="23">
        <v>6.0</v>
      </c>
      <c r="O18" s="23">
        <v>18.0</v>
      </c>
      <c r="P18" s="23">
        <v>6.0</v>
      </c>
      <c r="Q18" s="23">
        <v>3.0</v>
      </c>
      <c r="R18" s="23">
        <v>2.0</v>
      </c>
      <c r="S18" s="23">
        <v>20.0</v>
      </c>
      <c r="T18" s="23">
        <v>37.0</v>
      </c>
      <c r="U18" s="24">
        <v>105.0</v>
      </c>
      <c r="V18" s="23">
        <v>15.0</v>
      </c>
      <c r="W18" s="23">
        <v>9.0</v>
      </c>
      <c r="X18" s="23">
        <v>3.0</v>
      </c>
      <c r="Y18" s="23">
        <v>7.0</v>
      </c>
      <c r="Z18" s="23">
        <v>18.0</v>
      </c>
      <c r="AA18" s="23">
        <v>30.0</v>
      </c>
      <c r="AB18" s="24">
        <v>47.0</v>
      </c>
      <c r="AC18" s="24">
        <v>39.0</v>
      </c>
      <c r="AD18" s="23">
        <v>11.0</v>
      </c>
      <c r="AE18" s="23">
        <v>11.0</v>
      </c>
      <c r="AF18" s="23">
        <v>26.0</v>
      </c>
    </row>
    <row r="19" ht="14.25" customHeight="1">
      <c r="A19" s="21" t="s">
        <v>119</v>
      </c>
      <c r="B19" s="22" t="s">
        <v>120</v>
      </c>
      <c r="C19" s="22">
        <v>40.0</v>
      </c>
      <c r="D19" s="23">
        <v>3.09</v>
      </c>
      <c r="E19" s="23">
        <v>2.45</v>
      </c>
      <c r="F19" s="23">
        <v>2.2</v>
      </c>
      <c r="G19" s="23">
        <v>2.5</v>
      </c>
      <c r="H19" s="23">
        <v>3.08</v>
      </c>
      <c r="I19" s="23">
        <v>2.97</v>
      </c>
      <c r="J19" s="23">
        <v>3.3</v>
      </c>
      <c r="K19" s="25">
        <v>5.78</v>
      </c>
      <c r="L19" s="25">
        <v>5.6</v>
      </c>
      <c r="M19" s="23">
        <v>2.2</v>
      </c>
      <c r="N19" s="23">
        <v>2.34</v>
      </c>
      <c r="O19" s="23">
        <v>3.27</v>
      </c>
      <c r="P19" s="23">
        <v>3.31</v>
      </c>
      <c r="Q19" s="24">
        <v>4.06</v>
      </c>
      <c r="R19" s="25">
        <v>6.45</v>
      </c>
      <c r="S19" s="23">
        <v>1.1</v>
      </c>
      <c r="T19" s="23">
        <v>2.01</v>
      </c>
      <c r="U19" s="23">
        <v>0.1</v>
      </c>
      <c r="V19" s="23">
        <v>0.67</v>
      </c>
      <c r="W19" s="25">
        <v>5.0</v>
      </c>
      <c r="X19" s="25">
        <v>5.29</v>
      </c>
      <c r="Y19" s="50">
        <v>7.81</v>
      </c>
      <c r="Z19" s="50">
        <v>7.64</v>
      </c>
      <c r="AA19" s="24">
        <v>4.34</v>
      </c>
      <c r="AB19" s="50">
        <v>6.73</v>
      </c>
      <c r="AC19" s="26">
        <v>10.23</v>
      </c>
      <c r="AD19" s="50">
        <v>7.75</v>
      </c>
      <c r="AE19" s="50">
        <v>7.16</v>
      </c>
      <c r="AF19" s="50">
        <v>7.9</v>
      </c>
    </row>
    <row r="20" ht="14.25" customHeight="1">
      <c r="A20" s="21" t="s">
        <v>121</v>
      </c>
      <c r="B20" s="22" t="s">
        <v>122</v>
      </c>
      <c r="C20" s="22">
        <v>10.0</v>
      </c>
      <c r="D20" s="24">
        <v>1.586</v>
      </c>
      <c r="E20" s="24">
        <v>1.725</v>
      </c>
      <c r="F20" s="24">
        <v>1.6</v>
      </c>
      <c r="G20" s="24">
        <v>1.75</v>
      </c>
      <c r="H20" s="23">
        <v>0.996</v>
      </c>
      <c r="I20" s="23">
        <v>1.027</v>
      </c>
      <c r="J20" s="23">
        <v>1.11</v>
      </c>
      <c r="K20" s="50">
        <v>2.195</v>
      </c>
      <c r="L20" s="50">
        <v>2.22</v>
      </c>
      <c r="M20" s="23">
        <v>1.3</v>
      </c>
      <c r="N20" s="23">
        <v>1.293</v>
      </c>
      <c r="O20" s="23">
        <v>1.144</v>
      </c>
      <c r="P20" s="23">
        <v>0.671</v>
      </c>
      <c r="Q20" s="24">
        <v>1.743</v>
      </c>
      <c r="R20" s="21">
        <v>1.324</v>
      </c>
      <c r="S20" s="23">
        <v>0.435</v>
      </c>
      <c r="T20" s="23">
        <v>0.796</v>
      </c>
      <c r="U20" s="23">
        <v>0.04</v>
      </c>
      <c r="V20" s="23">
        <v>0.266</v>
      </c>
      <c r="W20" s="24">
        <v>1.8</v>
      </c>
      <c r="X20" s="24">
        <v>1.83</v>
      </c>
      <c r="Y20" s="23">
        <v>1.343</v>
      </c>
      <c r="Z20" s="23">
        <v>1.275</v>
      </c>
      <c r="AA20" s="23">
        <v>1.22</v>
      </c>
      <c r="AB20" s="23">
        <v>1.4</v>
      </c>
      <c r="AC20" s="24">
        <v>1.457</v>
      </c>
      <c r="AD20" s="26">
        <v>4.082</v>
      </c>
      <c r="AE20" s="50">
        <v>2.47</v>
      </c>
      <c r="AF20" s="24">
        <v>1.627</v>
      </c>
    </row>
    <row r="21" ht="14.25" customHeight="1">
      <c r="A21" s="21" t="s">
        <v>123</v>
      </c>
      <c r="B21" s="22" t="s">
        <v>124</v>
      </c>
      <c r="C21" s="22">
        <v>11.0</v>
      </c>
      <c r="D21" s="25">
        <v>3.414</v>
      </c>
      <c r="E21" s="26">
        <v>6.175</v>
      </c>
      <c r="F21" s="51">
        <v>12.65</v>
      </c>
      <c r="G21" s="50">
        <v>5.55</v>
      </c>
      <c r="H21" s="25">
        <v>2.285</v>
      </c>
      <c r="I21" s="24">
        <v>1.835</v>
      </c>
      <c r="J21" s="25">
        <v>2.314</v>
      </c>
      <c r="K21" s="24">
        <v>1.655</v>
      </c>
      <c r="L21" s="23">
        <v>0.826</v>
      </c>
      <c r="M21" s="24">
        <v>1.2</v>
      </c>
      <c r="N21" s="24">
        <v>1.243</v>
      </c>
      <c r="O21" s="24">
        <v>1.934</v>
      </c>
      <c r="P21" s="25">
        <v>2.083</v>
      </c>
      <c r="Q21" s="24">
        <v>1.223</v>
      </c>
      <c r="R21" s="26">
        <v>8.802</v>
      </c>
      <c r="S21" s="24">
        <v>1.5</v>
      </c>
      <c r="T21" s="25">
        <v>2.745</v>
      </c>
      <c r="U21" s="23">
        <v>0.142</v>
      </c>
      <c r="V21" s="23">
        <v>0.916</v>
      </c>
      <c r="W21" s="24">
        <v>1.95</v>
      </c>
      <c r="X21" s="25">
        <v>2.11</v>
      </c>
      <c r="Y21" s="50">
        <v>4.543</v>
      </c>
      <c r="Z21" s="50">
        <v>4.49</v>
      </c>
      <c r="AA21" s="25">
        <v>2.482</v>
      </c>
      <c r="AB21" s="24">
        <v>1.44</v>
      </c>
      <c r="AC21" s="24">
        <v>1.427</v>
      </c>
      <c r="AD21" s="25">
        <v>2.46</v>
      </c>
      <c r="AE21" s="25">
        <v>2.496</v>
      </c>
      <c r="AF21" s="26">
        <v>6.707</v>
      </c>
    </row>
    <row r="22" ht="14.25" customHeight="1">
      <c r="A22" s="21" t="s">
        <v>125</v>
      </c>
      <c r="B22" s="22" t="s">
        <v>126</v>
      </c>
      <c r="C22" s="22">
        <v>400.0</v>
      </c>
      <c r="D22" s="23">
        <v>4.9</v>
      </c>
      <c r="E22" s="23">
        <v>2.4</v>
      </c>
      <c r="F22" s="23">
        <v>4.1</v>
      </c>
      <c r="G22" s="23">
        <v>4.1</v>
      </c>
      <c r="H22" s="23">
        <v>2.5</v>
      </c>
      <c r="I22" s="23">
        <v>3.2</v>
      </c>
      <c r="J22" s="23">
        <v>2.3</v>
      </c>
      <c r="K22" s="24">
        <v>19.9</v>
      </c>
      <c r="L22" s="23">
        <v>11.7</v>
      </c>
      <c r="M22" s="23">
        <v>7.0</v>
      </c>
      <c r="N22" s="23">
        <v>10.0</v>
      </c>
      <c r="O22" s="23">
        <v>7.2</v>
      </c>
      <c r="P22" s="23">
        <v>7.5</v>
      </c>
      <c r="Q22" s="51">
        <v>1917.0</v>
      </c>
      <c r="R22" s="23">
        <v>0.7</v>
      </c>
      <c r="S22" s="23">
        <v>10.1</v>
      </c>
      <c r="T22" s="23">
        <v>18.5</v>
      </c>
      <c r="U22" s="23">
        <v>1.0</v>
      </c>
      <c r="V22" s="23">
        <v>6.2</v>
      </c>
      <c r="W22" s="23">
        <v>53.0</v>
      </c>
      <c r="X22" s="50">
        <v>79.3</v>
      </c>
      <c r="Y22" s="23">
        <v>9.4</v>
      </c>
      <c r="Z22" s="23">
        <v>9.4</v>
      </c>
      <c r="AA22" s="24">
        <v>25.4</v>
      </c>
      <c r="AB22" s="24">
        <v>34.4</v>
      </c>
      <c r="AC22" s="24">
        <v>34.4</v>
      </c>
      <c r="AD22" s="24">
        <v>34.4</v>
      </c>
      <c r="AE22" s="24">
        <v>34.4</v>
      </c>
      <c r="AF22" s="23">
        <v>13.5</v>
      </c>
    </row>
    <row r="23" ht="14.25" customHeight="1">
      <c r="A23" s="21" t="s">
        <v>127</v>
      </c>
      <c r="B23" s="22" t="s">
        <v>128</v>
      </c>
      <c r="C23" s="22" t="s">
        <v>129</v>
      </c>
      <c r="M23" s="23">
        <v>3.4</v>
      </c>
    </row>
    <row r="24" ht="14.25" customHeight="1">
      <c r="A24" s="19" t="s">
        <v>130</v>
      </c>
      <c r="B24" s="27"/>
      <c r="C24" s="27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ht="14.25" customHeight="1">
      <c r="A25" s="21" t="s">
        <v>131</v>
      </c>
      <c r="B25" s="22">
        <v>90.0</v>
      </c>
      <c r="C25" s="22">
        <v>2000.0</v>
      </c>
      <c r="D25" s="23">
        <v>1.3</v>
      </c>
      <c r="E25" s="23">
        <v>6.3</v>
      </c>
      <c r="F25" s="23">
        <v>0.6</v>
      </c>
      <c r="G25" s="23">
        <v>3.8</v>
      </c>
      <c r="H25" s="23">
        <v>0.0</v>
      </c>
      <c r="I25" s="23">
        <v>0.0</v>
      </c>
      <c r="J25" s="23">
        <v>0.0</v>
      </c>
      <c r="K25" s="23">
        <v>0.5</v>
      </c>
      <c r="L25" s="23">
        <v>0.0</v>
      </c>
      <c r="M25" s="23">
        <v>5.6</v>
      </c>
      <c r="N25" s="23">
        <v>3.0</v>
      </c>
      <c r="O25" s="23">
        <v>0.0</v>
      </c>
      <c r="P25" s="23">
        <v>0.0</v>
      </c>
      <c r="Q25" s="23">
        <v>0.7</v>
      </c>
      <c r="R25" s="23">
        <v>0.8</v>
      </c>
      <c r="S25" s="23">
        <v>3.3</v>
      </c>
      <c r="T25" s="23">
        <v>1.5</v>
      </c>
      <c r="U25" s="23">
        <v>2.4</v>
      </c>
      <c r="V25" s="23">
        <v>2.8</v>
      </c>
      <c r="W25" s="23">
        <v>1.4</v>
      </c>
      <c r="X25" s="23">
        <v>1.4</v>
      </c>
      <c r="Y25" s="23">
        <v>1.9</v>
      </c>
      <c r="Z25" s="23">
        <v>1.8</v>
      </c>
      <c r="AA25" s="23">
        <v>0.6</v>
      </c>
      <c r="AB25" s="23">
        <v>0.0</v>
      </c>
      <c r="AC25" s="23">
        <v>0.0</v>
      </c>
      <c r="AD25" s="23">
        <v>0.0</v>
      </c>
      <c r="AE25" s="23">
        <v>0.0</v>
      </c>
      <c r="AF25" s="23">
        <v>1.0</v>
      </c>
    </row>
    <row r="26" ht="14.25" customHeight="1">
      <c r="A26" s="21" t="s">
        <v>132</v>
      </c>
      <c r="B26" s="22" t="s">
        <v>133</v>
      </c>
      <c r="C26" s="22" t="s">
        <v>100</v>
      </c>
      <c r="D26" s="23">
        <v>0.341</v>
      </c>
      <c r="E26" s="24">
        <v>0.643</v>
      </c>
      <c r="F26" s="23">
        <v>0.135</v>
      </c>
      <c r="G26" s="23">
        <v>0.338</v>
      </c>
      <c r="H26" s="23">
        <v>0.211</v>
      </c>
      <c r="I26" s="23">
        <v>0.191</v>
      </c>
      <c r="J26" s="23">
        <v>0.084</v>
      </c>
      <c r="K26" s="23">
        <v>0.423</v>
      </c>
      <c r="L26" s="23">
        <v>0.2</v>
      </c>
      <c r="M26" s="24">
        <v>0.87</v>
      </c>
      <c r="N26" s="24">
        <v>0.695</v>
      </c>
      <c r="O26" s="24">
        <v>0.64</v>
      </c>
      <c r="P26" s="23">
        <v>0.438</v>
      </c>
      <c r="Q26" s="24">
        <v>0.617</v>
      </c>
      <c r="R26" s="23">
        <v>0.364</v>
      </c>
      <c r="S26" s="23">
        <v>0.066</v>
      </c>
      <c r="T26" s="23">
        <v>0.06</v>
      </c>
      <c r="U26" s="23">
        <v>0.03</v>
      </c>
      <c r="V26" s="23">
        <v>0.026</v>
      </c>
      <c r="W26" s="26">
        <v>1.48</v>
      </c>
      <c r="X26" s="23">
        <v>0.106</v>
      </c>
      <c r="Y26" s="23">
        <v>0.273</v>
      </c>
      <c r="Z26" s="23">
        <v>0.07</v>
      </c>
      <c r="AA26" s="26">
        <v>1.644</v>
      </c>
      <c r="AB26" s="24">
        <v>0.699</v>
      </c>
      <c r="AC26" s="50">
        <v>1.205</v>
      </c>
      <c r="AD26" s="25">
        <v>0.791</v>
      </c>
      <c r="AE26" s="25">
        <v>0.803</v>
      </c>
      <c r="AF26" s="25">
        <v>0.854</v>
      </c>
    </row>
    <row r="27" ht="14.25" customHeight="1">
      <c r="A27" s="21" t="s">
        <v>134</v>
      </c>
      <c r="B27" s="22" t="s">
        <v>135</v>
      </c>
      <c r="C27" s="22" t="s">
        <v>100</v>
      </c>
      <c r="D27" s="23">
        <v>0.15</v>
      </c>
      <c r="E27" s="23">
        <v>0.113</v>
      </c>
      <c r="F27" s="23">
        <v>0.031</v>
      </c>
      <c r="G27" s="23">
        <v>0.123</v>
      </c>
      <c r="H27" s="50">
        <v>1.014</v>
      </c>
      <c r="I27" s="25">
        <v>0.711</v>
      </c>
      <c r="J27" s="25">
        <v>0.967</v>
      </c>
      <c r="K27" s="23">
        <v>0.058</v>
      </c>
      <c r="L27" s="23">
        <v>0.2</v>
      </c>
      <c r="M27" s="23">
        <v>0.16</v>
      </c>
      <c r="N27" s="23">
        <v>0.234</v>
      </c>
      <c r="O27" s="23">
        <v>0.135</v>
      </c>
      <c r="P27" s="23">
        <v>0.098</v>
      </c>
      <c r="Q27" s="23">
        <v>0.035</v>
      </c>
      <c r="R27" s="23">
        <v>0.227</v>
      </c>
      <c r="S27" s="23">
        <v>0.02</v>
      </c>
      <c r="T27" s="23">
        <v>0.1</v>
      </c>
      <c r="U27" s="23">
        <v>0.057</v>
      </c>
      <c r="V27" s="23">
        <v>0.0</v>
      </c>
      <c r="W27" s="24">
        <v>0.355</v>
      </c>
      <c r="X27" s="23">
        <v>0.246</v>
      </c>
      <c r="Y27" s="23">
        <v>0.153</v>
      </c>
      <c r="Z27" s="23">
        <v>0.15</v>
      </c>
      <c r="AA27" s="23">
        <v>0.161</v>
      </c>
      <c r="AB27" s="23">
        <v>0.09</v>
      </c>
      <c r="AC27" s="24">
        <v>0.466</v>
      </c>
      <c r="AD27" s="23">
        <v>0.247</v>
      </c>
      <c r="AE27" s="23">
        <v>0.251</v>
      </c>
      <c r="AF27" s="23">
        <v>0.1</v>
      </c>
    </row>
    <row r="28" ht="14.25" customHeight="1">
      <c r="A28" s="21" t="s">
        <v>136</v>
      </c>
      <c r="B28" s="22" t="s">
        <v>137</v>
      </c>
      <c r="C28" s="22" t="s">
        <v>138</v>
      </c>
      <c r="D28" s="23">
        <v>1.125</v>
      </c>
      <c r="E28" s="23">
        <v>1.8</v>
      </c>
      <c r="F28" s="23">
        <v>0.439</v>
      </c>
      <c r="G28" s="23">
        <v>2.05</v>
      </c>
      <c r="H28" s="24">
        <v>3.385</v>
      </c>
      <c r="I28" s="24">
        <v>3.5</v>
      </c>
      <c r="J28" s="24">
        <v>3.553</v>
      </c>
      <c r="K28" s="23">
        <v>1.062</v>
      </c>
      <c r="L28" s="23">
        <v>1.4</v>
      </c>
      <c r="M28" s="23">
        <v>1.3</v>
      </c>
      <c r="N28" s="23">
        <v>1.373</v>
      </c>
      <c r="O28" s="26">
        <v>12.066</v>
      </c>
      <c r="P28" s="26">
        <v>13.525</v>
      </c>
      <c r="Q28" s="23">
        <v>0.295</v>
      </c>
      <c r="R28" s="24">
        <v>4.387</v>
      </c>
      <c r="S28" s="23">
        <v>0.54</v>
      </c>
      <c r="T28" s="23">
        <v>0.603</v>
      </c>
      <c r="U28" s="23">
        <v>0.08</v>
      </c>
      <c r="V28" s="23">
        <v>0.76</v>
      </c>
      <c r="W28" s="25">
        <v>8.335</v>
      </c>
      <c r="X28" s="25">
        <v>7.042</v>
      </c>
      <c r="Y28" s="24">
        <v>4.987</v>
      </c>
      <c r="Z28" s="24">
        <v>4.43</v>
      </c>
      <c r="AA28" s="24">
        <v>3.08</v>
      </c>
      <c r="AB28" s="24">
        <v>5.8</v>
      </c>
      <c r="AC28" s="24">
        <v>5.438</v>
      </c>
      <c r="AD28" s="24">
        <v>4.515</v>
      </c>
      <c r="AE28" s="24">
        <v>4.581</v>
      </c>
      <c r="AF28" s="23">
        <v>0.896</v>
      </c>
    </row>
    <row r="29" ht="14.25" customHeight="1">
      <c r="A29" s="21" t="s">
        <v>139</v>
      </c>
      <c r="B29" s="22">
        <v>1.3</v>
      </c>
      <c r="C29" s="22" t="s">
        <v>140</v>
      </c>
      <c r="D29" s="23">
        <v>0.537</v>
      </c>
      <c r="E29" s="23">
        <v>0.563</v>
      </c>
      <c r="F29" s="23">
        <v>0.166</v>
      </c>
      <c r="G29" s="23">
        <v>0.62</v>
      </c>
      <c r="H29" s="23">
        <v>0.143</v>
      </c>
      <c r="I29" s="23">
        <v>0.115</v>
      </c>
      <c r="J29" s="23">
        <v>0.127</v>
      </c>
      <c r="K29" s="23">
        <v>0.417</v>
      </c>
      <c r="L29" s="23">
        <v>0.256</v>
      </c>
      <c r="M29" s="26">
        <v>1.7</v>
      </c>
      <c r="N29" s="50">
        <v>1.122</v>
      </c>
      <c r="O29" s="23">
        <v>0.348</v>
      </c>
      <c r="P29" s="23">
        <v>0.256</v>
      </c>
      <c r="Q29" s="23">
        <v>0.101</v>
      </c>
      <c r="R29" s="23">
        <v>0.094</v>
      </c>
      <c r="S29" s="23">
        <v>0.054</v>
      </c>
      <c r="T29" s="23">
        <v>0.3</v>
      </c>
      <c r="U29" s="23">
        <v>0.032</v>
      </c>
      <c r="V29" s="23">
        <v>0.033</v>
      </c>
      <c r="W29" s="50">
        <v>1.345</v>
      </c>
      <c r="X29" s="24">
        <v>0.804</v>
      </c>
      <c r="Y29" s="23">
        <v>0.143</v>
      </c>
      <c r="Z29" s="23">
        <v>0.1</v>
      </c>
      <c r="AA29" s="23">
        <v>0.473</v>
      </c>
      <c r="AB29" s="23">
        <v>0.4</v>
      </c>
      <c r="AC29" s="23">
        <v>0.146</v>
      </c>
      <c r="AD29" s="24">
        <v>0.79</v>
      </c>
      <c r="AE29" s="24">
        <v>0.802</v>
      </c>
      <c r="AF29" s="23">
        <v>0.247</v>
      </c>
    </row>
    <row r="30" ht="14.25" customHeight="1">
      <c r="A30" s="23" t="s">
        <v>141</v>
      </c>
      <c r="B30" s="22" t="s">
        <v>142</v>
      </c>
      <c r="C30" s="22">
        <v>1000.0</v>
      </c>
      <c r="D30" s="24">
        <v>98.0</v>
      </c>
      <c r="E30" s="25">
        <v>113.0</v>
      </c>
      <c r="F30" s="23">
        <v>22.0</v>
      </c>
      <c r="G30" s="24">
        <v>88.0</v>
      </c>
      <c r="H30" s="23">
        <v>50.0</v>
      </c>
      <c r="I30" s="23">
        <v>49.0</v>
      </c>
      <c r="J30" s="23">
        <v>53.0</v>
      </c>
      <c r="K30" s="23">
        <v>25.0</v>
      </c>
      <c r="L30" s="23">
        <v>69.0</v>
      </c>
      <c r="M30" s="23">
        <v>51.0</v>
      </c>
      <c r="N30" s="23">
        <v>51.0</v>
      </c>
      <c r="O30" s="26">
        <v>240.0</v>
      </c>
      <c r="P30" s="25">
        <v>145.0</v>
      </c>
      <c r="Q30" s="23">
        <v>22.0</v>
      </c>
      <c r="R30" s="23">
        <v>34.0</v>
      </c>
      <c r="S30" s="23">
        <v>26.0</v>
      </c>
      <c r="T30" s="23">
        <v>9.0</v>
      </c>
      <c r="U30" s="23">
        <v>3.0</v>
      </c>
      <c r="V30" s="23">
        <v>16.0</v>
      </c>
      <c r="W30" s="26">
        <v>227.0</v>
      </c>
      <c r="X30" s="26">
        <v>237.0</v>
      </c>
      <c r="Y30" s="21">
        <v>58.0</v>
      </c>
      <c r="Z30" s="21">
        <v>57.0</v>
      </c>
      <c r="AA30" s="24">
        <v>87.0</v>
      </c>
      <c r="AB30" s="25">
        <v>115.0</v>
      </c>
      <c r="AC30" s="24">
        <v>96.0</v>
      </c>
      <c r="AD30" s="24">
        <v>97.0</v>
      </c>
      <c r="AE30" s="24">
        <v>98.0</v>
      </c>
      <c r="AF30" s="24">
        <v>82.0</v>
      </c>
    </row>
    <row r="31" ht="14.25" customHeight="1">
      <c r="A31" s="21" t="s">
        <v>143</v>
      </c>
      <c r="B31" s="22" t="s">
        <v>144</v>
      </c>
      <c r="C31" s="22" t="s">
        <v>100</v>
      </c>
      <c r="D31" s="23">
        <v>0.0</v>
      </c>
      <c r="E31" s="23">
        <v>0.0</v>
      </c>
      <c r="F31" s="23">
        <v>0.0</v>
      </c>
      <c r="G31" s="23">
        <v>0.0</v>
      </c>
      <c r="H31" s="23">
        <v>0.0</v>
      </c>
      <c r="I31" s="23">
        <v>0.0</v>
      </c>
      <c r="J31" s="23">
        <v>0.0</v>
      </c>
      <c r="K31" s="23">
        <v>0.0</v>
      </c>
      <c r="L31" s="23">
        <v>0.0</v>
      </c>
      <c r="M31" s="23">
        <v>0.0</v>
      </c>
      <c r="N31" s="23">
        <v>0.0</v>
      </c>
      <c r="O31" s="23">
        <v>0.0</v>
      </c>
      <c r="P31" s="23">
        <v>0.0</v>
      </c>
      <c r="Q31" s="23">
        <v>0.0</v>
      </c>
      <c r="R31" s="23">
        <v>0.0</v>
      </c>
      <c r="S31" s="23">
        <v>0.0</v>
      </c>
      <c r="T31" s="23">
        <v>0.0</v>
      </c>
      <c r="U31" s="23">
        <v>0.0</v>
      </c>
      <c r="V31" s="23">
        <v>0.0</v>
      </c>
      <c r="W31" s="23">
        <v>0.0</v>
      </c>
      <c r="X31" s="23">
        <v>0.0</v>
      </c>
      <c r="Y31" s="23">
        <v>0.0</v>
      </c>
      <c r="Z31" s="23">
        <v>0.0</v>
      </c>
      <c r="AA31" s="23">
        <v>0.0</v>
      </c>
      <c r="AB31" s="23">
        <v>0.0</v>
      </c>
      <c r="AC31" s="23">
        <v>0.0</v>
      </c>
      <c r="AD31" s="23">
        <v>0.0</v>
      </c>
      <c r="AE31" s="23">
        <v>0.0</v>
      </c>
      <c r="AF31" s="23">
        <v>0.0</v>
      </c>
    </row>
    <row r="32" ht="14.25" customHeight="1">
      <c r="A32" s="21" t="s">
        <v>145</v>
      </c>
      <c r="B32" s="22">
        <v>900.0</v>
      </c>
      <c r="C32" s="22">
        <v>3000.0</v>
      </c>
      <c r="D32" s="23">
        <v>1.0</v>
      </c>
      <c r="E32" s="23">
        <v>1.0</v>
      </c>
      <c r="F32" s="23">
        <v>1.0</v>
      </c>
      <c r="G32" s="23">
        <v>3.0</v>
      </c>
      <c r="H32" s="23">
        <v>0.0</v>
      </c>
      <c r="I32" s="23">
        <v>0.0</v>
      </c>
      <c r="J32" s="23">
        <v>0.0</v>
      </c>
      <c r="K32" s="23">
        <v>0.0</v>
      </c>
      <c r="L32" s="23">
        <v>0.0</v>
      </c>
      <c r="M32" s="23">
        <v>21.0</v>
      </c>
      <c r="N32" s="23">
        <v>13.0</v>
      </c>
      <c r="O32" s="23">
        <v>0.0</v>
      </c>
      <c r="P32" s="23">
        <v>0.0</v>
      </c>
      <c r="Q32" s="23">
        <v>0.0</v>
      </c>
      <c r="R32" s="23">
        <v>1.0</v>
      </c>
      <c r="S32" s="23">
        <v>0.0</v>
      </c>
      <c r="T32" s="23">
        <v>0.0</v>
      </c>
      <c r="U32" s="23">
        <v>0.0</v>
      </c>
      <c r="V32" s="23">
        <v>0.0</v>
      </c>
      <c r="W32" s="23">
        <v>3.0</v>
      </c>
      <c r="X32" s="23">
        <v>0.0</v>
      </c>
      <c r="Y32" s="23">
        <v>1.0</v>
      </c>
      <c r="Z32" s="23">
        <v>0.0</v>
      </c>
      <c r="AA32" s="23">
        <v>0.0</v>
      </c>
      <c r="AB32" s="23">
        <v>3.0</v>
      </c>
      <c r="AC32" s="23">
        <v>3.0</v>
      </c>
      <c r="AD32" s="23">
        <v>0.0</v>
      </c>
      <c r="AE32" s="23">
        <v>0.0</v>
      </c>
      <c r="AF32" s="23">
        <v>0.0</v>
      </c>
    </row>
    <row r="33" ht="14.25" customHeight="1">
      <c r="A33" s="28" t="s">
        <v>146</v>
      </c>
      <c r="B33" s="29"/>
      <c r="C33" s="29"/>
      <c r="D33" s="28">
        <v>20.0</v>
      </c>
      <c r="E33" s="28">
        <v>20.0</v>
      </c>
      <c r="F33" s="28">
        <v>11.0</v>
      </c>
      <c r="G33" s="28">
        <v>61.0</v>
      </c>
      <c r="H33" s="28">
        <v>1.0</v>
      </c>
      <c r="I33" s="28">
        <v>7.0</v>
      </c>
      <c r="J33" s="28">
        <v>1.0</v>
      </c>
      <c r="K33" s="28">
        <v>0.0</v>
      </c>
      <c r="L33" s="28">
        <v>0.0</v>
      </c>
      <c r="M33" s="28">
        <v>415.0</v>
      </c>
      <c r="N33" s="28">
        <v>259.0</v>
      </c>
      <c r="O33" s="28">
        <v>0.0</v>
      </c>
      <c r="P33" s="28">
        <v>0.0</v>
      </c>
      <c r="Q33" s="28">
        <v>0.0</v>
      </c>
      <c r="R33" s="28">
        <v>29.0</v>
      </c>
      <c r="S33" s="28">
        <v>0.0</v>
      </c>
      <c r="T33" s="28">
        <v>0.0</v>
      </c>
      <c r="U33" s="28">
        <v>0.0</v>
      </c>
      <c r="V33" s="28">
        <v>0.0</v>
      </c>
      <c r="W33" s="28">
        <v>50.0</v>
      </c>
      <c r="X33" s="28">
        <v>9.0</v>
      </c>
      <c r="Y33" s="28">
        <v>16.0</v>
      </c>
      <c r="Z33" s="28">
        <v>8.0</v>
      </c>
      <c r="AA33" s="28">
        <v>0.0</v>
      </c>
      <c r="AB33" s="28">
        <v>66.0</v>
      </c>
      <c r="AC33" s="28">
        <v>66.0</v>
      </c>
      <c r="AD33" s="28">
        <v>9.0</v>
      </c>
      <c r="AE33" s="28">
        <v>9.0</v>
      </c>
      <c r="AF33" s="28">
        <v>0.0</v>
      </c>
    </row>
    <row r="34" ht="14.25" customHeight="1">
      <c r="A34" s="21" t="s">
        <v>147</v>
      </c>
      <c r="B34" s="22" t="s">
        <v>148</v>
      </c>
      <c r="C34" s="22">
        <v>1000.0</v>
      </c>
      <c r="D34" s="23">
        <v>0.7</v>
      </c>
      <c r="E34" s="50">
        <v>15.03</v>
      </c>
      <c r="F34" s="23">
        <v>4.96</v>
      </c>
      <c r="G34" s="50">
        <v>15.28</v>
      </c>
      <c r="H34" s="26">
        <v>26.22</v>
      </c>
      <c r="I34" s="26">
        <v>23.75</v>
      </c>
      <c r="J34" s="26">
        <v>23.8</v>
      </c>
      <c r="K34" s="23">
        <v>0.9</v>
      </c>
      <c r="L34" s="23">
        <v>0.92</v>
      </c>
      <c r="M34" s="23">
        <v>2.3</v>
      </c>
      <c r="N34" s="23">
        <v>2.42</v>
      </c>
      <c r="O34" s="24">
        <v>8.33</v>
      </c>
      <c r="P34" s="24">
        <v>6.93</v>
      </c>
      <c r="Q34" s="23">
        <v>5.73</v>
      </c>
      <c r="R34" s="25">
        <v>9.33</v>
      </c>
      <c r="S34" s="23">
        <v>0.24</v>
      </c>
      <c r="T34" s="23">
        <v>0.44</v>
      </c>
      <c r="U34" s="23">
        <v>0.0</v>
      </c>
      <c r="V34" s="23">
        <v>0.15</v>
      </c>
      <c r="W34" s="26">
        <v>35.17</v>
      </c>
      <c r="X34" s="26">
        <v>26.1</v>
      </c>
      <c r="Y34" s="23">
        <v>2.18</v>
      </c>
      <c r="Z34" s="23">
        <v>0.56</v>
      </c>
      <c r="AA34" s="23">
        <v>0.31</v>
      </c>
      <c r="AB34" s="23">
        <v>1.68</v>
      </c>
      <c r="AC34" s="23">
        <v>0.25</v>
      </c>
      <c r="AD34" s="23">
        <v>0.25</v>
      </c>
      <c r="AF34" s="23">
        <v>1.77</v>
      </c>
    </row>
    <row r="35" ht="14.25" customHeight="1">
      <c r="A35" s="21" t="s">
        <v>149</v>
      </c>
      <c r="B35" s="22" t="s">
        <v>150</v>
      </c>
      <c r="C35" s="22">
        <v>100.0</v>
      </c>
      <c r="D35" s="23">
        <v>0.0</v>
      </c>
      <c r="E35" s="23">
        <v>0.0</v>
      </c>
      <c r="F35" s="23">
        <v>0.0</v>
      </c>
      <c r="G35" s="23">
        <v>0.0</v>
      </c>
      <c r="H35" s="23">
        <v>0.0</v>
      </c>
      <c r="I35" s="23">
        <v>0.0</v>
      </c>
      <c r="J35" s="23">
        <v>0.0</v>
      </c>
      <c r="K35" s="23">
        <v>0.0</v>
      </c>
      <c r="L35" s="23">
        <v>0.0</v>
      </c>
      <c r="M35" s="23">
        <v>0.0</v>
      </c>
      <c r="N35" s="23">
        <v>0.0</v>
      </c>
      <c r="O35" s="23">
        <v>0.0</v>
      </c>
      <c r="P35" s="23">
        <v>0.0</v>
      </c>
      <c r="Q35" s="23">
        <v>0.0</v>
      </c>
      <c r="R35" s="23">
        <v>0.0</v>
      </c>
      <c r="S35" s="23">
        <v>0.0</v>
      </c>
      <c r="T35" s="23">
        <v>0.0</v>
      </c>
      <c r="U35" s="23">
        <v>0.0</v>
      </c>
      <c r="V35" s="23">
        <v>0.0</v>
      </c>
      <c r="W35" s="23">
        <v>0.0</v>
      </c>
      <c r="X35" s="23">
        <v>0.0</v>
      </c>
      <c r="Y35" s="23">
        <v>0.0</v>
      </c>
      <c r="Z35" s="23">
        <v>0.0</v>
      </c>
      <c r="AA35" s="23">
        <v>0.0</v>
      </c>
      <c r="AB35" s="23">
        <v>0.0</v>
      </c>
      <c r="AC35" s="23">
        <v>0.0</v>
      </c>
      <c r="AD35" s="23">
        <v>0.0</v>
      </c>
      <c r="AE35" s="23">
        <v>0.0</v>
      </c>
      <c r="AF35" s="23">
        <v>0.0</v>
      </c>
    </row>
    <row r="36" ht="14.25" customHeight="1">
      <c r="A36" s="28" t="s">
        <v>151</v>
      </c>
      <c r="B36" s="29"/>
      <c r="C36" s="29"/>
      <c r="D36" s="28">
        <v>0.0</v>
      </c>
      <c r="E36" s="28">
        <v>0.0</v>
      </c>
      <c r="F36" s="28">
        <v>0.0</v>
      </c>
      <c r="G36" s="28">
        <v>0.0</v>
      </c>
      <c r="H36" s="28">
        <v>0.0</v>
      </c>
      <c r="I36" s="28">
        <v>0.0</v>
      </c>
      <c r="J36" s="28">
        <v>0.0</v>
      </c>
      <c r="K36" s="28">
        <v>0.0</v>
      </c>
      <c r="L36" s="28">
        <v>0.0</v>
      </c>
      <c r="M36" s="28">
        <v>0.0</v>
      </c>
      <c r="N36" s="28">
        <v>0.0</v>
      </c>
      <c r="O36" s="28">
        <v>0.0</v>
      </c>
      <c r="P36" s="28">
        <v>0.0</v>
      </c>
      <c r="Q36" s="28">
        <v>0.0</v>
      </c>
      <c r="R36" s="28">
        <v>0.0</v>
      </c>
      <c r="S36" s="28">
        <v>0.0</v>
      </c>
      <c r="T36" s="28">
        <v>0.0</v>
      </c>
      <c r="U36" s="28">
        <v>0.0</v>
      </c>
      <c r="V36" s="28">
        <v>0.0</v>
      </c>
      <c r="W36" s="28">
        <v>0.0</v>
      </c>
      <c r="X36" s="28">
        <v>0.0</v>
      </c>
      <c r="Y36" s="28">
        <v>0.0</v>
      </c>
      <c r="Z36" s="28">
        <v>0.0</v>
      </c>
      <c r="AA36" s="28">
        <v>0.0</v>
      </c>
      <c r="AB36" s="28">
        <v>0.0</v>
      </c>
      <c r="AC36" s="28">
        <v>0.0</v>
      </c>
      <c r="AD36" s="28">
        <v>0.0</v>
      </c>
      <c r="AE36" s="28">
        <v>0.0</v>
      </c>
      <c r="AF36" s="28">
        <v>0.0</v>
      </c>
    </row>
    <row r="37" ht="14.25" customHeight="1">
      <c r="A37" s="21" t="s">
        <v>152</v>
      </c>
      <c r="B37" s="22">
        <v>120.0</v>
      </c>
      <c r="C37" s="22" t="s">
        <v>100</v>
      </c>
      <c r="D37" s="23">
        <v>2.7</v>
      </c>
      <c r="E37" s="23">
        <v>14.2</v>
      </c>
      <c r="H37" s="23">
        <v>0.0</v>
      </c>
      <c r="I37" s="23">
        <v>0.0</v>
      </c>
      <c r="J37" s="23">
        <v>0.0</v>
      </c>
      <c r="K37" s="24">
        <v>34.1</v>
      </c>
      <c r="L37" s="24">
        <v>34.7</v>
      </c>
      <c r="N37" s="23">
        <v>13.2</v>
      </c>
      <c r="O37" s="23">
        <v>0.0</v>
      </c>
      <c r="P37" s="23">
        <v>0.0</v>
      </c>
      <c r="Q37" s="23">
        <v>0.0</v>
      </c>
      <c r="R37" s="25">
        <v>53.9</v>
      </c>
      <c r="S37" s="23">
        <v>0.2</v>
      </c>
      <c r="T37" s="23">
        <v>0.3</v>
      </c>
      <c r="U37" s="23">
        <v>0.0</v>
      </c>
      <c r="V37" s="23">
        <v>0.1</v>
      </c>
      <c r="W37" s="23">
        <v>0.0</v>
      </c>
      <c r="X37" s="23">
        <v>2.7</v>
      </c>
      <c r="Y37" s="23">
        <v>7.3</v>
      </c>
      <c r="Z37" s="23">
        <v>4.5</v>
      </c>
      <c r="AA37" s="23">
        <v>4.3</v>
      </c>
      <c r="AB37" s="23">
        <v>0.0</v>
      </c>
      <c r="AC37" s="23">
        <v>0.0</v>
      </c>
      <c r="AD37" s="23">
        <v>0.0</v>
      </c>
      <c r="AF37" s="23">
        <v>0.0</v>
      </c>
    </row>
    <row r="38" ht="14.25" customHeight="1">
      <c r="A38" s="21" t="s">
        <v>153</v>
      </c>
      <c r="B38" s="22" t="s">
        <v>154</v>
      </c>
      <c r="C38" s="22" t="s">
        <v>100</v>
      </c>
      <c r="D38" s="23">
        <v>0.57</v>
      </c>
      <c r="E38" s="24">
        <v>0.918</v>
      </c>
      <c r="F38" s="24">
        <v>0.815</v>
      </c>
      <c r="G38" s="24">
        <v>0.923</v>
      </c>
      <c r="H38" s="23">
        <v>0.469</v>
      </c>
      <c r="I38" s="23">
        <v>0.314</v>
      </c>
      <c r="J38" s="23">
        <v>0.322</v>
      </c>
      <c r="K38" s="24">
        <v>0.864</v>
      </c>
      <c r="L38" s="25">
        <v>1.217</v>
      </c>
      <c r="M38" s="23">
        <v>0.52</v>
      </c>
      <c r="N38" s="23">
        <v>0.513</v>
      </c>
      <c r="O38" s="25">
        <v>1.767</v>
      </c>
      <c r="P38" s="25">
        <v>1.395</v>
      </c>
      <c r="Q38" s="23">
        <v>0.184</v>
      </c>
      <c r="R38" s="23">
        <v>0.313</v>
      </c>
      <c r="S38" s="23">
        <v>0.3</v>
      </c>
      <c r="T38" s="24">
        <v>0.8</v>
      </c>
      <c r="U38" s="23">
        <v>0.043</v>
      </c>
      <c r="V38" s="23">
        <v>0.183</v>
      </c>
      <c r="W38" s="25">
        <v>1.13</v>
      </c>
      <c r="X38" s="26">
        <v>7.042</v>
      </c>
      <c r="Y38" s="24">
        <v>0.75</v>
      </c>
      <c r="Z38" s="23">
        <v>0.57</v>
      </c>
      <c r="AA38" s="24">
        <v>0.985</v>
      </c>
      <c r="AB38" s="23">
        <v>0.29</v>
      </c>
      <c r="AC38" s="23">
        <v>0.68</v>
      </c>
      <c r="AD38" s="23">
        <v>0.05</v>
      </c>
      <c r="AE38" s="23">
        <v>0.051</v>
      </c>
      <c r="AF38" s="23">
        <v>0.324</v>
      </c>
    </row>
    <row r="39" ht="14.25" customHeight="1">
      <c r="A39" s="21" t="s">
        <v>155</v>
      </c>
      <c r="B39" s="22" t="s">
        <v>156</v>
      </c>
      <c r="C39" s="22">
        <v>3500.0</v>
      </c>
      <c r="D39" s="23">
        <v>39.2</v>
      </c>
      <c r="E39" s="23">
        <v>45.6</v>
      </c>
      <c r="H39" s="24">
        <v>52.1</v>
      </c>
      <c r="I39" s="24">
        <v>52.1</v>
      </c>
      <c r="J39" s="24">
        <v>52.1</v>
      </c>
      <c r="L39" s="24">
        <v>61.0</v>
      </c>
      <c r="N39" s="25">
        <v>71.4</v>
      </c>
      <c r="O39" s="24">
        <v>52.5</v>
      </c>
      <c r="P39" s="24">
        <v>55.3</v>
      </c>
      <c r="Q39" s="23">
        <v>28.8</v>
      </c>
      <c r="R39" s="24">
        <v>55.8</v>
      </c>
      <c r="S39" s="23">
        <v>12.1</v>
      </c>
      <c r="T39" s="23">
        <v>22.1</v>
      </c>
      <c r="U39" s="23">
        <v>1.1</v>
      </c>
      <c r="V39" s="23">
        <v>8.5</v>
      </c>
      <c r="W39" s="24">
        <v>55.1</v>
      </c>
      <c r="X39" s="24">
        <v>55.1</v>
      </c>
      <c r="Y39" s="24">
        <v>63.0</v>
      </c>
      <c r="Z39" s="24">
        <v>63.0</v>
      </c>
      <c r="AA39" s="25">
        <v>78.7</v>
      </c>
      <c r="AB39" s="23">
        <v>25.6</v>
      </c>
      <c r="AC39" s="23">
        <v>25.6</v>
      </c>
      <c r="AD39" s="23">
        <v>25.6</v>
      </c>
      <c r="AF39" s="23">
        <v>8.8</v>
      </c>
    </row>
    <row r="40" ht="14.25" customHeight="1">
      <c r="A40" s="21" t="s">
        <v>157</v>
      </c>
      <c r="B40" s="22"/>
      <c r="C40" s="22"/>
      <c r="D40" s="23">
        <v>0.3</v>
      </c>
      <c r="E40" s="23">
        <v>0.4</v>
      </c>
      <c r="H40" s="23">
        <v>0.5</v>
      </c>
      <c r="N40" s="23">
        <v>0.8</v>
      </c>
      <c r="O40" s="23">
        <v>0.6</v>
      </c>
      <c r="Q40" s="23">
        <v>0.4</v>
      </c>
      <c r="R40" s="23">
        <v>0.4</v>
      </c>
      <c r="W40" s="23">
        <v>35.4</v>
      </c>
      <c r="Z40" s="23">
        <v>1.5</v>
      </c>
      <c r="AA40" s="23">
        <v>3.1</v>
      </c>
      <c r="AB40" s="23">
        <v>0.4</v>
      </c>
      <c r="AF40" s="23">
        <v>0.9</v>
      </c>
    </row>
    <row r="41" ht="14.25" customHeight="1">
      <c r="A41" s="19" t="s">
        <v>158</v>
      </c>
      <c r="B41" s="27"/>
      <c r="C41" s="27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ht="14.25" customHeight="1">
      <c r="A42" s="21" t="s">
        <v>159</v>
      </c>
      <c r="B42" s="22" t="s">
        <v>160</v>
      </c>
      <c r="C42" s="22" t="s">
        <v>161</v>
      </c>
      <c r="D42" s="23">
        <v>6.126</v>
      </c>
      <c r="E42" s="23">
        <v>4.464</v>
      </c>
      <c r="F42" s="23">
        <v>4.669</v>
      </c>
      <c r="G42" s="23">
        <v>4.511</v>
      </c>
      <c r="H42" s="23">
        <v>3.731</v>
      </c>
      <c r="I42" s="23">
        <v>3.953</v>
      </c>
      <c r="J42" s="23">
        <v>4.03</v>
      </c>
      <c r="K42" s="23">
        <v>7.783</v>
      </c>
      <c r="L42" s="23">
        <v>9.157</v>
      </c>
      <c r="M42" s="23">
        <v>5.556</v>
      </c>
      <c r="N42" s="23">
        <v>5.456</v>
      </c>
      <c r="O42" s="23">
        <v>6.834</v>
      </c>
      <c r="P42" s="23">
        <v>6.893</v>
      </c>
      <c r="Q42" s="23">
        <v>15.137</v>
      </c>
      <c r="R42" s="23">
        <v>4.899</v>
      </c>
      <c r="S42" s="23">
        <v>29.698</v>
      </c>
      <c r="T42" s="23">
        <v>57.218</v>
      </c>
      <c r="U42" s="23">
        <v>0.176</v>
      </c>
      <c r="V42" s="23">
        <v>21.14</v>
      </c>
      <c r="W42" s="23">
        <v>4.455</v>
      </c>
      <c r="X42" s="23">
        <v>5.219</v>
      </c>
      <c r="Y42" s="23">
        <v>8.659</v>
      </c>
      <c r="Z42" s="23">
        <v>8.544</v>
      </c>
      <c r="AA42" s="23">
        <v>3.663</v>
      </c>
      <c r="AB42" s="23">
        <v>9.055</v>
      </c>
      <c r="AC42" s="23">
        <v>6.722</v>
      </c>
      <c r="AD42" s="23">
        <v>6.957</v>
      </c>
      <c r="AE42" s="23">
        <v>6.722</v>
      </c>
      <c r="AF42" s="23">
        <v>4.517</v>
      </c>
    </row>
    <row r="43" ht="14.25" customHeight="1">
      <c r="A43" s="21" t="s">
        <v>162</v>
      </c>
      <c r="B43" s="22"/>
      <c r="C43" s="22"/>
      <c r="D43" s="23">
        <v>8.933</v>
      </c>
      <c r="E43" s="23">
        <v>45.652</v>
      </c>
      <c r="F43" s="23">
        <v>48.192</v>
      </c>
      <c r="G43" s="23">
        <v>46.608</v>
      </c>
      <c r="H43" s="23">
        <v>30.889</v>
      </c>
      <c r="I43" s="23">
        <v>33.415</v>
      </c>
      <c r="J43" s="23">
        <v>32.383</v>
      </c>
      <c r="K43" s="23">
        <v>23.797</v>
      </c>
      <c r="L43" s="23">
        <v>27.317</v>
      </c>
      <c r="M43" s="23">
        <v>23.82</v>
      </c>
      <c r="N43" s="23">
        <v>23.676</v>
      </c>
      <c r="O43" s="23">
        <v>24.429</v>
      </c>
      <c r="P43" s="23">
        <v>24.64</v>
      </c>
      <c r="Q43" s="23">
        <v>24.548</v>
      </c>
      <c r="R43" s="23">
        <v>18.764</v>
      </c>
      <c r="S43" s="23">
        <v>1.425</v>
      </c>
      <c r="T43" s="23">
        <v>2.745</v>
      </c>
      <c r="U43" s="23">
        <v>0.008</v>
      </c>
      <c r="V43" s="23">
        <v>1.014</v>
      </c>
      <c r="W43" s="23">
        <v>18.528</v>
      </c>
      <c r="X43" s="23">
        <v>9.505</v>
      </c>
      <c r="Y43" s="23">
        <v>16.242</v>
      </c>
      <c r="Z43" s="23">
        <v>15.734</v>
      </c>
      <c r="AA43" s="23">
        <v>7.527</v>
      </c>
      <c r="AB43" s="23">
        <v>23.924</v>
      </c>
      <c r="AC43" s="23">
        <v>18.127</v>
      </c>
      <c r="AD43" s="23">
        <v>18.759</v>
      </c>
      <c r="AE43" s="23">
        <v>18.127</v>
      </c>
      <c r="AF43" s="23">
        <v>5.982</v>
      </c>
    </row>
    <row r="44" ht="14.25" customHeight="1">
      <c r="A44" s="21" t="s">
        <v>163</v>
      </c>
      <c r="B44" s="22"/>
      <c r="C44" s="22"/>
      <c r="D44" s="23">
        <v>47.174</v>
      </c>
      <c r="E44" s="23">
        <v>7.92</v>
      </c>
      <c r="F44" s="23">
        <v>5.558</v>
      </c>
      <c r="G44" s="23">
        <v>8.463</v>
      </c>
      <c r="H44" s="23">
        <v>12.07</v>
      </c>
      <c r="I44" s="23">
        <v>12.368</v>
      </c>
      <c r="J44" s="23">
        <v>12.995</v>
      </c>
      <c r="K44" s="23">
        <v>7.845</v>
      </c>
      <c r="L44" s="23">
        <v>7.836</v>
      </c>
      <c r="M44" s="23">
        <v>13.744</v>
      </c>
      <c r="N44" s="23">
        <v>13.448</v>
      </c>
      <c r="O44" s="23">
        <v>15.559</v>
      </c>
      <c r="P44" s="23">
        <v>15.694</v>
      </c>
      <c r="Q44" s="23">
        <v>20.577</v>
      </c>
      <c r="R44" s="23">
        <v>34.071</v>
      </c>
      <c r="S44" s="23">
        <v>0.366</v>
      </c>
      <c r="T44" s="23">
        <v>0.706</v>
      </c>
      <c r="U44" s="23">
        <v>0.002</v>
      </c>
      <c r="V44" s="23">
        <v>0.261</v>
      </c>
      <c r="W44" s="23">
        <v>23.137</v>
      </c>
      <c r="X44" s="23">
        <v>32.884</v>
      </c>
      <c r="Y44" s="23">
        <v>20.976</v>
      </c>
      <c r="Z44" s="23">
        <v>19.856</v>
      </c>
      <c r="AA44" s="23">
        <v>28.73</v>
      </c>
      <c r="AB44" s="23">
        <v>25.491</v>
      </c>
      <c r="AC44" s="23">
        <v>21.039</v>
      </c>
      <c r="AD44" s="23">
        <v>21.773</v>
      </c>
      <c r="AE44" s="23">
        <v>21.039</v>
      </c>
      <c r="AF44" s="23">
        <v>28.569</v>
      </c>
    </row>
    <row r="45" ht="14.25" customHeight="1">
      <c r="A45" s="21" t="s">
        <v>164</v>
      </c>
      <c r="B45" s="22" t="s">
        <v>160</v>
      </c>
      <c r="C45" s="22" t="s">
        <v>165</v>
      </c>
      <c r="D45" s="23">
        <v>0.0</v>
      </c>
      <c r="E45" s="23">
        <v>0.0</v>
      </c>
      <c r="F45" s="23">
        <v>0.0</v>
      </c>
      <c r="G45" s="23">
        <v>0.0</v>
      </c>
      <c r="H45" s="23">
        <v>0.0</v>
      </c>
      <c r="I45" s="23">
        <v>0.0</v>
      </c>
      <c r="J45" s="23">
        <v>0.0</v>
      </c>
      <c r="K45" s="23">
        <v>0.0</v>
      </c>
      <c r="L45" s="23">
        <v>0.0</v>
      </c>
      <c r="M45" s="23">
        <v>0.0</v>
      </c>
      <c r="N45" s="23">
        <v>0.0</v>
      </c>
      <c r="O45" s="23">
        <v>0.0</v>
      </c>
      <c r="P45" s="23">
        <v>0.0</v>
      </c>
      <c r="Q45" s="23">
        <v>0.0</v>
      </c>
      <c r="R45" s="23">
        <v>0.0</v>
      </c>
      <c r="S45" s="23">
        <v>0.0</v>
      </c>
      <c r="T45" s="23">
        <v>0.0</v>
      </c>
      <c r="U45" s="23">
        <v>0.0</v>
      </c>
      <c r="V45" s="23">
        <v>0.0</v>
      </c>
      <c r="W45" s="23">
        <v>0.0</v>
      </c>
      <c r="X45" s="23">
        <v>0.0</v>
      </c>
      <c r="Y45" s="23">
        <v>0.0</v>
      </c>
      <c r="Z45" s="23">
        <v>0.0</v>
      </c>
      <c r="AA45" s="23">
        <v>0.0</v>
      </c>
      <c r="AB45" s="23">
        <v>0.0</v>
      </c>
      <c r="AC45" s="23">
        <v>0.0</v>
      </c>
      <c r="AD45" s="23">
        <v>0.0</v>
      </c>
      <c r="AE45" s="23">
        <v>0.0</v>
      </c>
      <c r="AF45" s="23">
        <v>0.0</v>
      </c>
    </row>
    <row r="46" ht="14.25" customHeight="1">
      <c r="A46" s="19" t="s">
        <v>166</v>
      </c>
      <c r="B46" s="30" t="s">
        <v>167</v>
      </c>
      <c r="C46" s="27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ht="14.25" customHeight="1">
      <c r="A47" s="31" t="s">
        <v>168</v>
      </c>
      <c r="B47" s="32" t="s">
        <v>169</v>
      </c>
      <c r="C47" s="32"/>
      <c r="D47" s="31">
        <v>0.17</v>
      </c>
      <c r="E47" s="31">
        <v>0.193</v>
      </c>
      <c r="F47" s="31">
        <v>0.177</v>
      </c>
      <c r="G47" s="31">
        <v>0.194</v>
      </c>
      <c r="H47" s="31">
        <v>0.214</v>
      </c>
      <c r="I47" s="31">
        <v>0.193</v>
      </c>
      <c r="J47" s="31">
        <v>0.19</v>
      </c>
      <c r="K47" s="24">
        <v>0.287</v>
      </c>
      <c r="L47" s="31">
        <v>0.237</v>
      </c>
      <c r="M47" s="24">
        <v>0.271</v>
      </c>
      <c r="N47" s="24">
        <v>0.284</v>
      </c>
      <c r="O47" s="31">
        <v>0.25</v>
      </c>
      <c r="P47" s="31">
        <v>0.23</v>
      </c>
      <c r="Q47" s="31">
        <v>0.141</v>
      </c>
      <c r="R47" s="31">
        <v>0.107</v>
      </c>
      <c r="S47" s="31">
        <v>0.039</v>
      </c>
      <c r="T47" s="31">
        <v>0.081</v>
      </c>
      <c r="U47" s="31">
        <v>0.008</v>
      </c>
      <c r="V47" s="31">
        <v>0.027</v>
      </c>
      <c r="W47" s="25">
        <v>0.348</v>
      </c>
      <c r="X47" s="24">
        <v>0.295</v>
      </c>
      <c r="Y47" s="26">
        <v>0.576</v>
      </c>
      <c r="Z47" s="26">
        <v>0.569</v>
      </c>
      <c r="AA47" s="24">
        <v>0.297</v>
      </c>
      <c r="AB47" s="31">
        <v>0.33</v>
      </c>
      <c r="AC47" s="25">
        <v>0.371</v>
      </c>
      <c r="AD47" s="25">
        <v>0.388</v>
      </c>
      <c r="AE47" s="25">
        <v>0.371</v>
      </c>
      <c r="AF47" s="31">
        <v>0.184</v>
      </c>
    </row>
    <row r="48" ht="14.25" customHeight="1">
      <c r="A48" s="31" t="s">
        <v>170</v>
      </c>
      <c r="B48" s="32" t="s">
        <v>171</v>
      </c>
      <c r="C48" s="32"/>
      <c r="D48" s="31">
        <v>0.596</v>
      </c>
      <c r="E48" s="31">
        <v>0.497</v>
      </c>
      <c r="F48" s="31">
        <v>0.455</v>
      </c>
      <c r="G48" s="31">
        <v>0.499</v>
      </c>
      <c r="H48" s="31">
        <v>0.598</v>
      </c>
      <c r="I48" s="31">
        <v>0.682</v>
      </c>
      <c r="J48" s="31">
        <v>0.672</v>
      </c>
      <c r="K48" s="31">
        <v>0.688</v>
      </c>
      <c r="L48" s="31">
        <v>0.592</v>
      </c>
      <c r="M48" s="31">
        <v>0.667</v>
      </c>
      <c r="N48" s="24">
        <v>0.703</v>
      </c>
      <c r="O48" s="25">
        <v>0.883</v>
      </c>
      <c r="P48" s="25">
        <v>0.811</v>
      </c>
      <c r="Q48" s="31">
        <v>0.362</v>
      </c>
      <c r="R48" s="31">
        <v>0.37</v>
      </c>
      <c r="S48" s="31">
        <v>0.121</v>
      </c>
      <c r="T48" s="31">
        <v>0.251</v>
      </c>
      <c r="U48" s="31">
        <v>0.026</v>
      </c>
      <c r="V48" s="31">
        <v>0.083</v>
      </c>
      <c r="W48" s="26">
        <v>0.928</v>
      </c>
      <c r="X48" s="24">
        <v>0.788</v>
      </c>
      <c r="Y48" s="26">
        <v>0.998</v>
      </c>
      <c r="Z48" s="26">
        <v>0.985</v>
      </c>
      <c r="AA48" s="24">
        <v>0.766</v>
      </c>
      <c r="AB48" s="31">
        <v>0.73</v>
      </c>
      <c r="AC48" s="24">
        <v>0.704</v>
      </c>
      <c r="AD48" s="24">
        <v>0.736</v>
      </c>
      <c r="AE48" s="24">
        <v>0.704</v>
      </c>
      <c r="AF48" s="31">
        <v>0.686</v>
      </c>
    </row>
    <row r="49" ht="14.25" customHeight="1">
      <c r="A49" s="31" t="s">
        <v>172</v>
      </c>
      <c r="B49" s="32" t="s">
        <v>173</v>
      </c>
      <c r="C49" s="32"/>
      <c r="D49" s="31">
        <v>0.625</v>
      </c>
      <c r="E49" s="31">
        <v>0.545</v>
      </c>
      <c r="F49" s="31">
        <v>0.499</v>
      </c>
      <c r="G49" s="31">
        <v>0.548</v>
      </c>
      <c r="H49" s="24">
        <v>0.702</v>
      </c>
      <c r="I49" s="31">
        <v>0.696</v>
      </c>
      <c r="J49" s="31">
        <v>0.685</v>
      </c>
      <c r="K49" s="24">
        <v>0.789</v>
      </c>
      <c r="L49" s="24">
        <v>0.731</v>
      </c>
      <c r="M49" s="25">
        <v>0.893</v>
      </c>
      <c r="N49" s="25">
        <v>0.932</v>
      </c>
      <c r="O49" s="25">
        <v>0.907</v>
      </c>
      <c r="P49" s="25">
        <v>0.833</v>
      </c>
      <c r="Q49" s="31">
        <v>0.516</v>
      </c>
      <c r="R49" s="31">
        <v>0.542</v>
      </c>
      <c r="S49" s="31">
        <v>0.131</v>
      </c>
      <c r="T49" s="31">
        <v>0.27</v>
      </c>
      <c r="U49" s="31">
        <v>0.028</v>
      </c>
      <c r="V49" s="31">
        <v>0.09</v>
      </c>
      <c r="W49" s="26">
        <v>1.139</v>
      </c>
      <c r="X49" s="25">
        <v>0.967</v>
      </c>
      <c r="Y49" s="26">
        <v>1.281</v>
      </c>
      <c r="Z49" s="26">
        <v>1.265</v>
      </c>
      <c r="AA49" s="25">
        <v>0.896</v>
      </c>
      <c r="AB49" s="24">
        <v>0.75</v>
      </c>
      <c r="AC49" s="24">
        <v>0.73</v>
      </c>
      <c r="AD49" s="24">
        <v>0.763</v>
      </c>
      <c r="AE49" s="24">
        <v>0.73</v>
      </c>
      <c r="AF49" s="25">
        <v>0.819</v>
      </c>
    </row>
    <row r="50" ht="14.25" customHeight="1">
      <c r="A50" s="31" t="s">
        <v>174</v>
      </c>
      <c r="B50" s="32" t="s">
        <v>175</v>
      </c>
      <c r="C50" s="32"/>
      <c r="D50" s="31">
        <v>1.17</v>
      </c>
      <c r="E50" s="31">
        <v>1.063</v>
      </c>
      <c r="F50" s="31">
        <v>0.974</v>
      </c>
      <c r="G50" s="31">
        <v>1.069</v>
      </c>
      <c r="H50" s="25">
        <v>1.488</v>
      </c>
      <c r="I50" s="25">
        <v>1.479</v>
      </c>
      <c r="J50" s="25">
        <v>1.456</v>
      </c>
      <c r="K50" s="25">
        <v>1.472</v>
      </c>
      <c r="L50" s="24">
        <v>1.285</v>
      </c>
      <c r="M50" s="25">
        <v>1.542</v>
      </c>
      <c r="N50" s="25">
        <v>1.599</v>
      </c>
      <c r="O50" s="25">
        <v>1.672</v>
      </c>
      <c r="P50" s="25">
        <v>1.535</v>
      </c>
      <c r="Q50" s="31">
        <v>1.155</v>
      </c>
      <c r="R50" s="31">
        <v>0.991</v>
      </c>
      <c r="S50" s="31">
        <v>0.247</v>
      </c>
      <c r="T50" s="31">
        <v>0.511</v>
      </c>
      <c r="U50" s="31">
        <v>0.053</v>
      </c>
      <c r="V50" s="31">
        <v>0.17</v>
      </c>
      <c r="W50" s="25">
        <v>1.659</v>
      </c>
      <c r="X50" s="25">
        <v>1.408</v>
      </c>
      <c r="Y50" s="26">
        <v>2.419</v>
      </c>
      <c r="Z50" s="26">
        <v>2.388</v>
      </c>
      <c r="AA50" s="24">
        <v>1.235</v>
      </c>
      <c r="AB50" s="31">
        <v>1.5</v>
      </c>
      <c r="AC50" s="24">
        <v>1.299</v>
      </c>
      <c r="AD50" s="24">
        <v>1.358</v>
      </c>
      <c r="AE50" s="24">
        <v>1.299</v>
      </c>
      <c r="AF50" s="24">
        <v>1.321</v>
      </c>
    </row>
    <row r="51" ht="14.25" customHeight="1">
      <c r="A51" s="31" t="s">
        <v>176</v>
      </c>
      <c r="B51" s="32" t="s">
        <v>177</v>
      </c>
      <c r="C51" s="32"/>
      <c r="D51" s="31">
        <v>0.424</v>
      </c>
      <c r="E51" s="31">
        <v>0.42</v>
      </c>
      <c r="F51" s="31">
        <v>0.385</v>
      </c>
      <c r="G51" s="31">
        <v>0.422</v>
      </c>
      <c r="H51" s="31">
        <v>0.58</v>
      </c>
      <c r="I51" s="31">
        <v>0.605</v>
      </c>
      <c r="J51" s="31">
        <v>0.595</v>
      </c>
      <c r="K51" s="25">
        <v>0.928</v>
      </c>
      <c r="L51" s="31">
        <v>0.817</v>
      </c>
      <c r="M51" s="26">
        <v>1.142</v>
      </c>
      <c r="N51" s="26">
        <v>1.195</v>
      </c>
      <c r="O51" s="25">
        <v>0.926</v>
      </c>
      <c r="P51" s="24">
        <v>0.85</v>
      </c>
      <c r="Q51" s="31">
        <v>0.492</v>
      </c>
      <c r="R51" s="31">
        <v>0.54</v>
      </c>
      <c r="S51" s="31">
        <v>0.147</v>
      </c>
      <c r="T51" s="31">
        <v>0.304</v>
      </c>
      <c r="U51" s="31">
        <v>0.032</v>
      </c>
      <c r="V51" s="31">
        <v>0.101</v>
      </c>
      <c r="W51" s="25">
        <v>0.937</v>
      </c>
      <c r="X51" s="24">
        <v>0.795</v>
      </c>
      <c r="Y51" s="26">
        <v>1.236</v>
      </c>
      <c r="Z51" s="26">
        <v>1.22</v>
      </c>
      <c r="AA51" s="24">
        <v>0.862</v>
      </c>
      <c r="AB51" s="31">
        <v>0.65</v>
      </c>
      <c r="AC51" s="31">
        <v>0.544</v>
      </c>
      <c r="AD51" s="31">
        <v>0.569</v>
      </c>
      <c r="AE51" s="31">
        <v>0.544</v>
      </c>
      <c r="AF51" s="25">
        <v>0.952</v>
      </c>
    </row>
    <row r="52" ht="14.25" customHeight="1">
      <c r="A52" s="31" t="s">
        <v>178</v>
      </c>
      <c r="B52" s="32" t="s">
        <v>179</v>
      </c>
      <c r="C52" s="32"/>
      <c r="D52" s="31">
        <v>0.236</v>
      </c>
      <c r="E52" s="31">
        <v>0.221</v>
      </c>
      <c r="F52" s="31">
        <v>0.203</v>
      </c>
      <c r="G52" s="31">
        <v>0.222</v>
      </c>
      <c r="H52" s="31">
        <v>0.151</v>
      </c>
      <c r="I52" s="31">
        <v>0.19</v>
      </c>
      <c r="J52" s="31">
        <v>0.187</v>
      </c>
      <c r="K52" s="31">
        <v>0.362</v>
      </c>
      <c r="L52" s="31">
        <v>0.274</v>
      </c>
      <c r="M52" s="31">
        <v>0.335</v>
      </c>
      <c r="N52" s="31">
        <v>0.343</v>
      </c>
      <c r="O52" s="31">
        <v>0.317</v>
      </c>
      <c r="P52" s="31">
        <v>0.291</v>
      </c>
      <c r="Q52" s="26">
        <v>1.008</v>
      </c>
      <c r="R52" s="31">
        <v>0.259</v>
      </c>
      <c r="S52" s="31">
        <v>0.062</v>
      </c>
      <c r="T52" s="31">
        <v>0.129</v>
      </c>
      <c r="U52" s="31">
        <v>0.013</v>
      </c>
      <c r="V52" s="24">
        <v>0.043</v>
      </c>
      <c r="W52" s="24">
        <v>0.494</v>
      </c>
      <c r="X52" s="24">
        <v>0.42</v>
      </c>
      <c r="Y52" s="25">
        <v>0.603</v>
      </c>
      <c r="Z52" s="25">
        <v>0.595</v>
      </c>
      <c r="AA52" s="31">
        <v>0.37</v>
      </c>
      <c r="AB52" s="26">
        <v>0.88</v>
      </c>
      <c r="AC52" s="24">
        <v>0.56</v>
      </c>
      <c r="AD52" s="24">
        <v>0.586</v>
      </c>
      <c r="AE52" s="24">
        <v>0.56</v>
      </c>
      <c r="AF52" s="24">
        <v>0.502</v>
      </c>
    </row>
    <row r="53" ht="14.25" customHeight="1">
      <c r="A53" s="21" t="s">
        <v>180</v>
      </c>
      <c r="B53" s="22" t="s">
        <v>181</v>
      </c>
      <c r="C53" s="22"/>
      <c r="D53" s="23">
        <v>0.208</v>
      </c>
      <c r="E53" s="23">
        <v>0.277</v>
      </c>
      <c r="F53" s="23">
        <v>0.254</v>
      </c>
      <c r="G53" s="23">
        <v>0.278</v>
      </c>
      <c r="H53" s="23">
        <v>0.189</v>
      </c>
      <c r="I53" s="23">
        <v>0.284</v>
      </c>
      <c r="J53" s="23">
        <v>0.279</v>
      </c>
      <c r="K53" s="23">
        <v>0.393</v>
      </c>
      <c r="L53" s="23">
        <v>0.283</v>
      </c>
      <c r="M53" s="23">
        <v>0.355</v>
      </c>
      <c r="N53" s="23">
        <v>0.36</v>
      </c>
      <c r="O53" s="23">
        <v>0.331</v>
      </c>
      <c r="P53" s="23">
        <v>0.304</v>
      </c>
      <c r="Q53" s="23">
        <v>0.367</v>
      </c>
      <c r="R53" s="23">
        <v>0.289</v>
      </c>
      <c r="S53" s="23">
        <v>0.066</v>
      </c>
      <c r="T53" s="23">
        <v>0.136</v>
      </c>
      <c r="U53" s="23">
        <v>0.014</v>
      </c>
      <c r="V53" s="23">
        <v>0.045</v>
      </c>
      <c r="W53" s="23">
        <v>0.451</v>
      </c>
      <c r="X53" s="23">
        <v>0.383</v>
      </c>
      <c r="Y53" s="23">
        <v>0.332</v>
      </c>
      <c r="Z53" s="23">
        <v>0.327</v>
      </c>
      <c r="AA53" s="23">
        <v>0.34</v>
      </c>
      <c r="AB53" s="23">
        <v>0.44</v>
      </c>
      <c r="AC53" s="23">
        <v>0.342</v>
      </c>
      <c r="AD53" s="23">
        <v>0.358</v>
      </c>
      <c r="AE53" s="23">
        <v>0.342</v>
      </c>
      <c r="AF53" s="23">
        <v>0.297</v>
      </c>
    </row>
    <row r="54" ht="14.25" customHeight="1">
      <c r="A54" s="31" t="s">
        <v>182</v>
      </c>
      <c r="B54" s="33" t="s">
        <v>183</v>
      </c>
      <c r="C54" s="32"/>
      <c r="D54" s="31">
        <v>0.711</v>
      </c>
      <c r="E54" s="31">
        <v>0.663</v>
      </c>
      <c r="F54" s="31">
        <v>0.608</v>
      </c>
      <c r="G54" s="31">
        <v>0.667</v>
      </c>
      <c r="H54" s="24">
        <v>1.12</v>
      </c>
      <c r="I54" s="24">
        <v>1.156</v>
      </c>
      <c r="J54" s="24">
        <v>1.137</v>
      </c>
      <c r="K54" s="24">
        <v>0.951</v>
      </c>
      <c r="L54" s="31">
        <v>0.791</v>
      </c>
      <c r="M54" s="24">
        <v>1.054</v>
      </c>
      <c r="N54" s="24">
        <v>1.107</v>
      </c>
      <c r="O54" s="25">
        <v>1.337</v>
      </c>
      <c r="P54" s="25">
        <v>1.227</v>
      </c>
      <c r="Q54" s="31">
        <v>0.63</v>
      </c>
      <c r="R54" s="31">
        <v>0.524</v>
      </c>
      <c r="S54" s="31">
        <v>0.169</v>
      </c>
      <c r="T54" s="31">
        <v>0.349</v>
      </c>
      <c r="U54" s="31">
        <v>0.037</v>
      </c>
      <c r="V54" s="31">
        <v>0.116</v>
      </c>
      <c r="W54" s="24">
        <v>1.169</v>
      </c>
      <c r="X54" s="31">
        <v>0.992</v>
      </c>
      <c r="Y54" s="26">
        <v>1.733</v>
      </c>
      <c r="Z54" s="26">
        <v>1.711</v>
      </c>
      <c r="AA54" s="24">
        <v>0.957</v>
      </c>
      <c r="AB54" s="24">
        <v>0.94</v>
      </c>
      <c r="AC54" s="24">
        <v>0.899</v>
      </c>
      <c r="AD54" s="24">
        <v>0.94</v>
      </c>
      <c r="AE54" s="24">
        <v>0.899</v>
      </c>
      <c r="AF54" s="31">
        <v>0.758</v>
      </c>
    </row>
    <row r="55" ht="14.25" customHeight="1">
      <c r="A55" s="21" t="s">
        <v>184</v>
      </c>
      <c r="C55" s="22"/>
      <c r="D55" s="23">
        <v>0.406</v>
      </c>
      <c r="E55" s="23">
        <v>0.362</v>
      </c>
      <c r="F55" s="23">
        <v>0.332</v>
      </c>
      <c r="G55" s="23">
        <v>0.364</v>
      </c>
      <c r="H55" s="23">
        <v>0.452</v>
      </c>
      <c r="I55" s="23">
        <v>0.533</v>
      </c>
      <c r="J55" s="23">
        <v>0.525</v>
      </c>
      <c r="K55" s="23">
        <v>0.508</v>
      </c>
      <c r="L55" s="23">
        <v>0.491</v>
      </c>
      <c r="M55" s="23">
        <v>0.412</v>
      </c>
      <c r="N55" s="23">
        <v>0.507</v>
      </c>
      <c r="O55" s="23">
        <v>1.049</v>
      </c>
      <c r="P55" s="23">
        <v>0.963</v>
      </c>
      <c r="Q55" s="23">
        <v>0.42</v>
      </c>
      <c r="R55" s="23">
        <v>0.509</v>
      </c>
      <c r="S55" s="23">
        <v>0.103</v>
      </c>
      <c r="T55" s="23">
        <v>0.213</v>
      </c>
      <c r="U55" s="23">
        <v>0.022</v>
      </c>
      <c r="V55" s="23">
        <v>0.071</v>
      </c>
      <c r="W55" s="23">
        <v>0.666</v>
      </c>
      <c r="X55" s="23">
        <v>0.565</v>
      </c>
      <c r="Y55" s="23">
        <v>1.093</v>
      </c>
      <c r="Z55" s="23">
        <v>1.079</v>
      </c>
      <c r="AA55" s="23">
        <v>0.493</v>
      </c>
      <c r="AB55" s="23">
        <v>0.79</v>
      </c>
      <c r="AC55" s="23">
        <v>0.71</v>
      </c>
      <c r="AD55" s="23">
        <v>0.743</v>
      </c>
      <c r="AE55" s="23">
        <v>0.71</v>
      </c>
      <c r="AF55" s="23">
        <v>0.727</v>
      </c>
    </row>
    <row r="56" ht="14.25" customHeight="1">
      <c r="A56" s="31" t="s">
        <v>185</v>
      </c>
      <c r="B56" s="32" t="s">
        <v>186</v>
      </c>
      <c r="C56" s="32"/>
      <c r="D56" s="31">
        <v>0.753</v>
      </c>
      <c r="E56" s="31">
        <v>0.701</v>
      </c>
      <c r="F56" s="31">
        <v>0.643</v>
      </c>
      <c r="G56" s="31">
        <v>0.705</v>
      </c>
      <c r="H56" s="31">
        <v>0.817</v>
      </c>
      <c r="I56" s="31">
        <v>0.805</v>
      </c>
      <c r="J56" s="31">
        <v>0.792</v>
      </c>
      <c r="K56" s="24">
        <v>1.094</v>
      </c>
      <c r="L56" s="24">
        <v>1.04</v>
      </c>
      <c r="M56" s="25">
        <v>1.23</v>
      </c>
      <c r="N56" s="25">
        <v>1.262</v>
      </c>
      <c r="O56" s="24">
        <v>1.082</v>
      </c>
      <c r="P56" s="24">
        <v>0.993</v>
      </c>
      <c r="Q56" s="31">
        <v>0.756</v>
      </c>
      <c r="R56" s="31">
        <v>0.687</v>
      </c>
      <c r="S56" s="31">
        <v>0.202</v>
      </c>
      <c r="T56" s="31">
        <v>0.417</v>
      </c>
      <c r="U56" s="31">
        <v>0.044</v>
      </c>
      <c r="V56" s="31">
        <v>0.139</v>
      </c>
      <c r="W56" s="25">
        <v>1.315</v>
      </c>
      <c r="X56" s="24">
        <v>1.116</v>
      </c>
      <c r="Y56" s="26">
        <v>1.579</v>
      </c>
      <c r="Z56" s="26">
        <v>1.559</v>
      </c>
      <c r="AA56" s="24">
        <v>1.072</v>
      </c>
      <c r="AB56" s="24">
        <v>0.98</v>
      </c>
      <c r="AC56" s="24">
        <v>0.947</v>
      </c>
      <c r="AD56" s="24">
        <v>0.99</v>
      </c>
      <c r="AE56" s="24">
        <v>0.947</v>
      </c>
      <c r="AF56" s="24">
        <v>1.095</v>
      </c>
    </row>
    <row r="57" ht="14.25" customHeight="1">
      <c r="A57" s="34" t="s">
        <v>187</v>
      </c>
      <c r="B57" s="35"/>
      <c r="C57" s="35"/>
      <c r="D57" s="34">
        <v>2.278</v>
      </c>
      <c r="E57" s="34">
        <v>2.211</v>
      </c>
      <c r="F57" s="34">
        <v>2.026</v>
      </c>
      <c r="G57" s="34">
        <v>2.222</v>
      </c>
      <c r="H57" s="34">
        <v>2.446</v>
      </c>
      <c r="I57" s="34">
        <v>2.483</v>
      </c>
      <c r="J57" s="34">
        <v>2.444</v>
      </c>
      <c r="K57" s="34">
        <v>2.123</v>
      </c>
      <c r="L57" s="34">
        <v>1.741</v>
      </c>
      <c r="M57" s="34">
        <v>2.012</v>
      </c>
      <c r="N57" s="34">
        <v>2.203</v>
      </c>
      <c r="O57" s="34">
        <v>3.085</v>
      </c>
      <c r="P57" s="34">
        <v>2.832</v>
      </c>
      <c r="Q57" s="34">
        <v>2.148</v>
      </c>
      <c r="R57" s="34">
        <v>2.413</v>
      </c>
      <c r="S57" s="34">
        <v>0.546</v>
      </c>
      <c r="T57" s="34">
        <v>1.13</v>
      </c>
      <c r="U57" s="34">
        <v>0.118</v>
      </c>
      <c r="V57" s="34">
        <v>0.376</v>
      </c>
      <c r="W57" s="34">
        <v>2.403</v>
      </c>
      <c r="X57" s="34">
        <v>2.039</v>
      </c>
      <c r="Y57" s="34">
        <v>5.353</v>
      </c>
      <c r="Z57" s="34">
        <v>5.284</v>
      </c>
      <c r="AA57" s="34">
        <v>1.925</v>
      </c>
      <c r="AB57" s="34">
        <v>3.25</v>
      </c>
      <c r="AC57" s="34">
        <v>2.515</v>
      </c>
      <c r="AD57" s="34">
        <v>2.63</v>
      </c>
      <c r="AE57" s="34">
        <v>2.515</v>
      </c>
      <c r="AF57" s="34">
        <v>1.945</v>
      </c>
    </row>
    <row r="58" ht="14.25" customHeight="1">
      <c r="A58" s="34" t="s">
        <v>188</v>
      </c>
      <c r="B58" s="35" t="s">
        <v>189</v>
      </c>
      <c r="C58" s="35"/>
      <c r="D58" s="34">
        <v>0.391</v>
      </c>
      <c r="E58" s="34">
        <v>0.432</v>
      </c>
      <c r="F58" s="34">
        <v>0.396</v>
      </c>
      <c r="G58" s="34">
        <v>0.434</v>
      </c>
      <c r="H58" s="34">
        <v>0.557</v>
      </c>
      <c r="I58" s="34">
        <v>0.596</v>
      </c>
      <c r="J58" s="34">
        <v>0.587</v>
      </c>
      <c r="K58" s="34">
        <v>0.456</v>
      </c>
      <c r="L58" s="34">
        <v>0.399</v>
      </c>
      <c r="M58" s="34">
        <v>0.503</v>
      </c>
      <c r="N58" s="34">
        <v>0.513</v>
      </c>
      <c r="O58" s="34">
        <v>0.652</v>
      </c>
      <c r="P58" s="34">
        <v>0.599</v>
      </c>
      <c r="Q58" s="34">
        <v>0.386</v>
      </c>
      <c r="R58" s="34">
        <v>0.341</v>
      </c>
      <c r="S58" s="34">
        <v>0.077</v>
      </c>
      <c r="T58" s="34">
        <v>0.158</v>
      </c>
      <c r="U58" s="34">
        <v>0.017</v>
      </c>
      <c r="V58" s="34">
        <v>0.053</v>
      </c>
      <c r="W58" s="34">
        <v>0.632</v>
      </c>
      <c r="X58" s="34">
        <v>0.536</v>
      </c>
      <c r="Y58" s="34">
        <v>0.78</v>
      </c>
      <c r="Z58" s="34">
        <v>0.77</v>
      </c>
      <c r="AA58" s="34">
        <v>0.472</v>
      </c>
      <c r="AB58" s="34">
        <v>0.55</v>
      </c>
      <c r="AC58" s="34">
        <v>0.499</v>
      </c>
      <c r="AD58" s="34">
        <v>0.522</v>
      </c>
      <c r="AE58" s="34">
        <v>0.499</v>
      </c>
      <c r="AF58" s="34">
        <v>0.471</v>
      </c>
    </row>
    <row r="59" ht="14.25" customHeight="1">
      <c r="A59" s="21" t="s">
        <v>190</v>
      </c>
      <c r="B59" s="22"/>
      <c r="C59" s="22"/>
      <c r="D59" s="23">
        <v>0.696</v>
      </c>
      <c r="E59" s="23">
        <v>0.73</v>
      </c>
      <c r="F59" s="23">
        <v>0.669</v>
      </c>
      <c r="G59" s="23">
        <v>0.733</v>
      </c>
      <c r="H59" s="23">
        <v>1.027</v>
      </c>
      <c r="I59" s="23">
        <v>1.007</v>
      </c>
      <c r="J59" s="23">
        <v>0.991</v>
      </c>
      <c r="K59" s="23">
        <v>0.837</v>
      </c>
      <c r="L59" s="23">
        <v>0.702</v>
      </c>
      <c r="M59" s="23">
        <v>0.914</v>
      </c>
      <c r="N59" s="23">
        <v>0.955</v>
      </c>
      <c r="O59" s="23">
        <v>1.025</v>
      </c>
      <c r="P59" s="23">
        <v>0.941</v>
      </c>
      <c r="Q59" s="23">
        <v>0.577</v>
      </c>
      <c r="R59" s="23">
        <v>0.684</v>
      </c>
      <c r="S59" s="23">
        <v>0.17</v>
      </c>
      <c r="T59" s="23">
        <v>0.352</v>
      </c>
      <c r="U59" s="23">
        <v>0.037</v>
      </c>
      <c r="V59" s="23">
        <v>0.117</v>
      </c>
      <c r="W59" s="23">
        <v>1.117</v>
      </c>
      <c r="X59" s="23">
        <v>0.948</v>
      </c>
      <c r="Y59" s="23">
        <v>1.485</v>
      </c>
      <c r="Z59" s="23">
        <v>1.466</v>
      </c>
      <c r="AA59" s="23">
        <v>0.925</v>
      </c>
      <c r="AB59" s="23">
        <v>0.99</v>
      </c>
      <c r="AC59" s="23">
        <v>0.886</v>
      </c>
      <c r="AD59" s="23">
        <v>0.927</v>
      </c>
      <c r="AE59" s="23">
        <v>0.886</v>
      </c>
      <c r="AF59" s="23">
        <v>0.839</v>
      </c>
    </row>
    <row r="60" ht="14.25" customHeight="1">
      <c r="A60" s="21" t="s">
        <v>191</v>
      </c>
      <c r="B60" s="22"/>
      <c r="C60" s="22"/>
      <c r="D60" s="23">
        <v>1.829</v>
      </c>
      <c r="E60" s="23">
        <v>1.679</v>
      </c>
      <c r="F60" s="23">
        <v>1.539</v>
      </c>
      <c r="G60" s="23">
        <v>1.687</v>
      </c>
      <c r="H60" s="23">
        <v>2.911</v>
      </c>
      <c r="I60" s="23">
        <v>2.751</v>
      </c>
      <c r="J60" s="23">
        <v>2.708</v>
      </c>
      <c r="K60" s="23">
        <v>1.795</v>
      </c>
      <c r="L60" s="23">
        <v>1.505</v>
      </c>
      <c r="M60" s="23">
        <v>1.803</v>
      </c>
      <c r="N60" s="23">
        <v>1.907</v>
      </c>
      <c r="O60" s="23">
        <v>3.146</v>
      </c>
      <c r="P60" s="23">
        <v>2.888</v>
      </c>
      <c r="Q60" s="23">
        <v>1.346</v>
      </c>
      <c r="R60" s="23">
        <v>1.303</v>
      </c>
      <c r="S60" s="23">
        <v>0.325</v>
      </c>
      <c r="T60" s="23">
        <v>0.673</v>
      </c>
      <c r="U60" s="23">
        <v>0.07</v>
      </c>
      <c r="V60" s="23">
        <v>0.224</v>
      </c>
      <c r="W60" s="23">
        <v>2.446</v>
      </c>
      <c r="X60" s="23">
        <v>2.076</v>
      </c>
      <c r="Y60" s="23">
        <v>2.96</v>
      </c>
      <c r="Z60" s="23">
        <v>2.922</v>
      </c>
      <c r="AA60" s="23">
        <v>2.046</v>
      </c>
      <c r="AB60" s="23">
        <v>2.07</v>
      </c>
      <c r="AC60" s="23">
        <v>1.574</v>
      </c>
      <c r="AD60" s="23">
        <v>1.646</v>
      </c>
      <c r="AE60" s="23">
        <v>1.574</v>
      </c>
      <c r="AF60" s="23">
        <v>2.365</v>
      </c>
    </row>
    <row r="61" ht="14.25" customHeight="1">
      <c r="A61" s="21" t="s">
        <v>192</v>
      </c>
      <c r="B61" s="22"/>
      <c r="C61" s="22"/>
      <c r="D61" s="23">
        <v>2.816</v>
      </c>
      <c r="E61" s="23">
        <v>3.71</v>
      </c>
      <c r="F61" s="23">
        <v>3.399</v>
      </c>
      <c r="G61" s="23">
        <v>3.728</v>
      </c>
      <c r="H61" s="23">
        <v>6.81</v>
      </c>
      <c r="I61" s="23">
        <v>5.206</v>
      </c>
      <c r="J61" s="23">
        <v>5.124</v>
      </c>
      <c r="K61" s="23">
        <v>4.506</v>
      </c>
      <c r="L61" s="23">
        <v>3.624</v>
      </c>
      <c r="M61" s="23">
        <v>3.79</v>
      </c>
      <c r="N61" s="23">
        <v>4.062</v>
      </c>
      <c r="O61" s="23">
        <v>5.39</v>
      </c>
      <c r="P61" s="23">
        <v>4.949</v>
      </c>
      <c r="Q61" s="23">
        <v>3.147</v>
      </c>
      <c r="R61" s="23">
        <v>2.926</v>
      </c>
      <c r="S61" s="23">
        <v>0.761</v>
      </c>
      <c r="T61" s="23">
        <v>1.574</v>
      </c>
      <c r="U61" s="23">
        <v>0.165</v>
      </c>
      <c r="V61" s="23">
        <v>0.524</v>
      </c>
      <c r="W61" s="23">
        <v>5.579</v>
      </c>
      <c r="X61" s="23">
        <v>4.735</v>
      </c>
      <c r="Y61" s="23">
        <v>6.188</v>
      </c>
      <c r="Z61" s="23">
        <v>6.108</v>
      </c>
      <c r="AA61" s="23">
        <v>4.039</v>
      </c>
      <c r="AB61" s="23">
        <v>4.6</v>
      </c>
      <c r="AC61" s="23">
        <v>3.782</v>
      </c>
      <c r="AD61" s="23">
        <v>3.955</v>
      </c>
      <c r="AE61" s="23">
        <v>3.782</v>
      </c>
      <c r="AF61" s="23">
        <v>4.299</v>
      </c>
    </row>
    <row r="62" ht="14.25" customHeight="1">
      <c r="A62" s="21" t="s">
        <v>193</v>
      </c>
      <c r="B62" s="22"/>
      <c r="C62" s="22"/>
      <c r="D62" s="23">
        <v>0.816</v>
      </c>
      <c r="E62" s="23">
        <v>0.724</v>
      </c>
      <c r="F62" s="23">
        <v>0.663</v>
      </c>
      <c r="G62" s="23">
        <v>0.727</v>
      </c>
      <c r="H62" s="23">
        <v>1.469</v>
      </c>
      <c r="I62" s="23">
        <v>1.478</v>
      </c>
      <c r="J62" s="23">
        <v>1.455</v>
      </c>
      <c r="K62" s="23">
        <v>0.937</v>
      </c>
      <c r="L62" s="23">
        <v>0.803</v>
      </c>
      <c r="M62" s="23">
        <v>0.946</v>
      </c>
      <c r="N62" s="23">
        <v>0.992</v>
      </c>
      <c r="O62" s="23">
        <v>1.554</v>
      </c>
      <c r="P62" s="23">
        <v>1.427</v>
      </c>
      <c r="Q62" s="23">
        <v>0.718</v>
      </c>
      <c r="R62" s="23">
        <v>0.691</v>
      </c>
      <c r="S62" s="23">
        <v>0.158</v>
      </c>
      <c r="T62" s="23">
        <v>0.326</v>
      </c>
      <c r="U62" s="23">
        <v>0.034</v>
      </c>
      <c r="V62" s="23">
        <v>0.108</v>
      </c>
      <c r="W62" s="23">
        <v>1.461</v>
      </c>
      <c r="X62" s="23">
        <v>1.24</v>
      </c>
      <c r="Y62" s="23">
        <v>1.843</v>
      </c>
      <c r="Z62" s="23">
        <v>1.819</v>
      </c>
      <c r="AA62" s="23">
        <v>1.248</v>
      </c>
      <c r="AB62" s="23">
        <v>1.09</v>
      </c>
      <c r="AC62" s="23">
        <v>1.162</v>
      </c>
      <c r="AD62" s="23">
        <v>1.215</v>
      </c>
      <c r="AE62" s="23">
        <v>1.162</v>
      </c>
      <c r="AF62" s="23">
        <v>0.952</v>
      </c>
    </row>
    <row r="63" ht="14.25" customHeight="1">
      <c r="A63" s="21" t="s">
        <v>194</v>
      </c>
      <c r="B63" s="22"/>
      <c r="C63" s="22"/>
      <c r="D63" s="23">
        <v>0.706</v>
      </c>
      <c r="E63" s="23">
        <v>0.561</v>
      </c>
      <c r="F63" s="23">
        <v>0.514</v>
      </c>
      <c r="G63" s="23">
        <v>0.563</v>
      </c>
      <c r="H63" s="23">
        <v>1.032</v>
      </c>
      <c r="I63" s="23">
        <v>0.975</v>
      </c>
      <c r="J63" s="23">
        <v>0.96</v>
      </c>
      <c r="K63" s="23">
        <v>0.812</v>
      </c>
      <c r="L63" s="23">
        <v>0.69</v>
      </c>
      <c r="M63" s="23">
        <v>0.805</v>
      </c>
      <c r="N63" s="23">
        <v>0.844</v>
      </c>
      <c r="O63" s="23">
        <v>1.138</v>
      </c>
      <c r="P63" s="23">
        <v>1.045</v>
      </c>
      <c r="Q63" s="23">
        <v>0.657</v>
      </c>
      <c r="R63" s="23">
        <v>0.673</v>
      </c>
      <c r="S63" s="23">
        <v>0.138</v>
      </c>
      <c r="T63" s="23">
        <v>0.284</v>
      </c>
      <c r="U63" s="23">
        <v>0.03</v>
      </c>
      <c r="V63" s="23">
        <v>0.095</v>
      </c>
      <c r="W63" s="23">
        <v>1.182</v>
      </c>
      <c r="X63" s="23">
        <v>1.003</v>
      </c>
      <c r="Y63" s="23">
        <v>1.316</v>
      </c>
      <c r="Z63" s="23">
        <v>1.299</v>
      </c>
      <c r="AA63" s="23">
        <v>0.806</v>
      </c>
      <c r="AB63" s="23">
        <v>1.04</v>
      </c>
      <c r="AC63" s="23">
        <v>0.774</v>
      </c>
      <c r="AD63" s="23">
        <v>0.81</v>
      </c>
      <c r="AE63" s="23">
        <v>0.774</v>
      </c>
      <c r="AF63" s="23">
        <v>2.754</v>
      </c>
    </row>
    <row r="64" ht="14.25" customHeight="1">
      <c r="A64" s="21" t="s">
        <v>195</v>
      </c>
      <c r="B64" s="22"/>
      <c r="C64" s="22"/>
      <c r="D64" s="23">
        <v>0.934</v>
      </c>
      <c r="E64" s="23">
        <v>0.735</v>
      </c>
      <c r="F64" s="23">
        <v>0.674</v>
      </c>
      <c r="G64" s="23">
        <v>0.739</v>
      </c>
      <c r="H64" s="23">
        <v>0.948</v>
      </c>
      <c r="I64" s="23">
        <v>1.012</v>
      </c>
      <c r="J64" s="23">
        <v>0.996</v>
      </c>
      <c r="K64" s="23">
        <v>1.079</v>
      </c>
      <c r="L64" s="23">
        <v>0.849</v>
      </c>
      <c r="M64" s="23">
        <v>1.216</v>
      </c>
      <c r="N64" s="23">
        <v>1.263</v>
      </c>
      <c r="O64" s="23">
        <v>1.271</v>
      </c>
      <c r="P64" s="23">
        <v>1.167</v>
      </c>
      <c r="Q64" s="23">
        <v>0.683</v>
      </c>
      <c r="R64" s="23">
        <v>0.835</v>
      </c>
      <c r="S64" s="23">
        <v>0.172</v>
      </c>
      <c r="T64" s="23">
        <v>0.356</v>
      </c>
      <c r="U64" s="23">
        <v>0.037</v>
      </c>
      <c r="V64" s="23">
        <v>0.118</v>
      </c>
      <c r="W64" s="23">
        <v>1.075</v>
      </c>
      <c r="X64" s="23">
        <v>0.912</v>
      </c>
      <c r="Y64" s="23">
        <v>1.673</v>
      </c>
      <c r="Z64" s="23">
        <v>1.652</v>
      </c>
      <c r="AA64" s="23">
        <v>0.97</v>
      </c>
      <c r="AB64" s="23">
        <v>1.2</v>
      </c>
      <c r="AC64" s="23">
        <v>0.925</v>
      </c>
      <c r="AD64" s="23">
        <v>0.967</v>
      </c>
      <c r="AE64" s="23">
        <v>0.925</v>
      </c>
      <c r="AF64" s="23">
        <v>0.952</v>
      </c>
    </row>
    <row r="65" ht="14.25" customHeight="1">
      <c r="A65" s="52" t="s">
        <v>306</v>
      </c>
      <c r="B65" s="53"/>
      <c r="C65" s="54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</row>
    <row r="66" ht="14.25" customHeight="1">
      <c r="A66" s="56" t="s">
        <v>307</v>
      </c>
      <c r="B66" s="56" t="s">
        <v>308</v>
      </c>
      <c r="C66" s="56"/>
      <c r="D66" s="56"/>
      <c r="E66" s="56"/>
      <c r="F66" s="56"/>
      <c r="G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7">
        <v>0.12</v>
      </c>
      <c r="Z66" s="57">
        <v>0.111</v>
      </c>
      <c r="AA66" s="56">
        <v>23.2</v>
      </c>
      <c r="AB66" s="56"/>
      <c r="AC66" s="56"/>
      <c r="AD66" s="56"/>
      <c r="AE66" s="56"/>
      <c r="AF66" s="57">
        <v>0.273</v>
      </c>
    </row>
    <row r="67" ht="14.25" customHeight="1">
      <c r="A67" s="56" t="s">
        <v>309</v>
      </c>
      <c r="B67" s="58" t="s">
        <v>310</v>
      </c>
      <c r="C67" s="56"/>
      <c r="D67" s="56">
        <v>33.3</v>
      </c>
      <c r="E67" s="56"/>
      <c r="F67" s="56"/>
      <c r="G67" s="56"/>
      <c r="H67" s="57">
        <v>12.055</v>
      </c>
      <c r="I67" s="57">
        <v>12.365</v>
      </c>
      <c r="J67" s="57">
        <v>12.986</v>
      </c>
      <c r="K67" s="56"/>
      <c r="L67" s="56"/>
      <c r="M67" s="56"/>
      <c r="N67" s="56"/>
      <c r="O67" s="56">
        <v>16.0</v>
      </c>
      <c r="P67" s="56">
        <v>16.0</v>
      </c>
      <c r="Q67" s="56"/>
      <c r="R67" s="56"/>
      <c r="S67" s="56"/>
      <c r="T67" s="56"/>
      <c r="U67" s="56"/>
      <c r="V67" s="56"/>
      <c r="W67" s="56">
        <v>33.8</v>
      </c>
      <c r="X67" s="56">
        <v>32.7</v>
      </c>
      <c r="Y67" s="57">
        <v>20.667</v>
      </c>
      <c r="Z67" s="57">
        <v>19.559</v>
      </c>
      <c r="AA67" s="56">
        <v>6.3</v>
      </c>
      <c r="AB67" s="56">
        <v>27.5</v>
      </c>
      <c r="AC67" s="56">
        <v>21.6</v>
      </c>
      <c r="AD67" s="56">
        <v>22.35</v>
      </c>
      <c r="AE67" s="56">
        <v>21.6</v>
      </c>
      <c r="AF67" s="56">
        <v>29.0</v>
      </c>
    </row>
    <row r="68" ht="14.25" customHeight="1">
      <c r="A68" s="21"/>
      <c r="B68" s="22"/>
      <c r="C68" s="22"/>
    </row>
    <row r="69" ht="14.25" customHeight="1">
      <c r="A69" s="36" t="s">
        <v>196</v>
      </c>
      <c r="B69" s="37"/>
      <c r="C69" s="38"/>
    </row>
    <row r="70" ht="14.25" customHeight="1">
      <c r="A70" s="39"/>
      <c r="C70" s="40"/>
    </row>
    <row r="71" ht="14.25" customHeight="1">
      <c r="A71" s="39"/>
      <c r="C71" s="40"/>
    </row>
    <row r="72" ht="14.25" customHeight="1">
      <c r="A72" s="39"/>
      <c r="C72" s="40"/>
    </row>
    <row r="73" ht="14.25" customHeight="1">
      <c r="A73" s="41"/>
      <c r="B73" s="42"/>
      <c r="C73" s="43"/>
    </row>
    <row r="74" ht="14.25" customHeight="1">
      <c r="A74" s="44" t="s">
        <v>197</v>
      </c>
      <c r="B74" s="21"/>
      <c r="C74" s="21"/>
    </row>
    <row r="75" ht="14.25" customHeight="1">
      <c r="A75" s="44" t="s">
        <v>198</v>
      </c>
      <c r="B75" s="21"/>
      <c r="C75" s="21"/>
    </row>
    <row r="76" ht="14.25" customHeight="1">
      <c r="A76" s="21"/>
      <c r="B76" s="21"/>
      <c r="C76" s="21"/>
    </row>
    <row r="77" ht="15.0" customHeight="1">
      <c r="A77" s="36" t="s">
        <v>199</v>
      </c>
      <c r="B77" s="37"/>
      <c r="C77" s="38"/>
    </row>
    <row r="78" ht="15.0" customHeight="1">
      <c r="A78" s="41"/>
      <c r="B78" s="42"/>
      <c r="C78" s="43"/>
    </row>
    <row r="79" ht="15.0" customHeight="1">
      <c r="A79" s="44" t="s">
        <v>200</v>
      </c>
      <c r="B79" s="22"/>
      <c r="C79" s="22"/>
    </row>
    <row r="80" ht="14.25" customHeight="1">
      <c r="B80" s="22"/>
      <c r="C80" s="22"/>
    </row>
    <row r="81" ht="14.25" customHeight="1">
      <c r="A81" s="45" t="s">
        <v>201</v>
      </c>
      <c r="B81" s="37"/>
      <c r="C81" s="38"/>
    </row>
    <row r="82" ht="14.25" customHeight="1">
      <c r="A82" s="39"/>
      <c r="C82" s="40"/>
    </row>
    <row r="83" ht="14.25" customHeight="1">
      <c r="A83" s="41"/>
      <c r="B83" s="42"/>
      <c r="C83" s="43"/>
    </row>
    <row r="84" ht="14.25" customHeight="1">
      <c r="A84" s="44" t="s">
        <v>202</v>
      </c>
      <c r="B84" s="22"/>
      <c r="C84" s="22"/>
    </row>
    <row r="85" ht="14.25" customHeight="1">
      <c r="A85" s="21"/>
      <c r="B85" s="22"/>
      <c r="C85" s="22"/>
    </row>
    <row r="86" ht="14.25" customHeight="1">
      <c r="A86" s="21"/>
      <c r="B86" s="22"/>
      <c r="C86" s="22"/>
    </row>
    <row r="87" ht="14.25" customHeight="1">
      <c r="A87" s="21"/>
      <c r="B87" s="22"/>
      <c r="C87" s="22"/>
    </row>
    <row r="88" ht="14.25" customHeight="1">
      <c r="A88" s="21"/>
      <c r="B88" s="22"/>
      <c r="C88" s="22"/>
    </row>
    <row r="89" ht="14.25" customHeight="1">
      <c r="A89" s="21"/>
      <c r="B89" s="22"/>
      <c r="C89" s="22"/>
    </row>
    <row r="90" ht="14.25" customHeight="1">
      <c r="A90" s="21"/>
      <c r="B90" s="22"/>
      <c r="C90" s="22"/>
    </row>
    <row r="91" ht="14.25" customHeight="1">
      <c r="A91" s="21"/>
      <c r="B91" s="22"/>
      <c r="C91" s="22"/>
    </row>
    <row r="92" ht="14.25" customHeight="1">
      <c r="A92" s="21"/>
      <c r="B92" s="22"/>
      <c r="C92" s="22"/>
    </row>
    <row r="93" ht="14.25" customHeight="1">
      <c r="A93" s="21"/>
      <c r="B93" s="22"/>
      <c r="C93" s="22"/>
    </row>
    <row r="94" ht="14.25" customHeight="1">
      <c r="A94" s="21"/>
      <c r="B94" s="22"/>
      <c r="C94" s="22"/>
    </row>
    <row r="95" ht="14.25" customHeight="1">
      <c r="A95" s="21"/>
      <c r="B95" s="22"/>
      <c r="C95" s="22"/>
    </row>
    <row r="96" ht="14.25" customHeight="1">
      <c r="A96" s="21"/>
      <c r="B96" s="22"/>
      <c r="C96" s="22"/>
    </row>
    <row r="97" ht="14.25" customHeight="1">
      <c r="A97" s="21"/>
      <c r="B97" s="22"/>
      <c r="C97" s="22"/>
    </row>
    <row r="98" ht="14.25" customHeight="1">
      <c r="A98" s="21"/>
      <c r="B98" s="22"/>
      <c r="C98" s="22"/>
    </row>
    <row r="99" ht="14.25" customHeight="1">
      <c r="A99" s="21"/>
      <c r="B99" s="22"/>
      <c r="C99" s="22"/>
    </row>
    <row r="100" ht="14.25" customHeight="1">
      <c r="A100" s="21"/>
      <c r="B100" s="22"/>
      <c r="C100" s="22"/>
    </row>
    <row r="101" ht="14.25" customHeight="1">
      <c r="A101" s="21"/>
      <c r="B101" s="22"/>
      <c r="C101" s="22"/>
    </row>
    <row r="102" ht="14.25" customHeight="1">
      <c r="A102" s="21"/>
      <c r="B102" s="22"/>
      <c r="C102" s="22"/>
    </row>
    <row r="103" ht="14.25" customHeight="1">
      <c r="A103" s="21"/>
      <c r="B103" s="22"/>
      <c r="C103" s="22"/>
    </row>
    <row r="104" ht="14.25" customHeight="1">
      <c r="A104" s="21"/>
      <c r="B104" s="22"/>
      <c r="C104" s="22"/>
    </row>
    <row r="105" ht="14.25" customHeight="1">
      <c r="A105" s="21"/>
      <c r="B105" s="22"/>
      <c r="C105" s="22"/>
    </row>
    <row r="106" ht="14.25" customHeight="1">
      <c r="A106" s="21"/>
      <c r="B106" s="22"/>
      <c r="C106" s="22"/>
    </row>
    <row r="107" ht="14.25" customHeight="1">
      <c r="A107" s="21"/>
      <c r="B107" s="22"/>
      <c r="C107" s="22"/>
    </row>
    <row r="108" ht="14.25" customHeight="1">
      <c r="A108" s="21"/>
      <c r="B108" s="22"/>
      <c r="C108" s="22"/>
    </row>
    <row r="109" ht="14.25" customHeight="1">
      <c r="A109" s="21"/>
      <c r="B109" s="22"/>
      <c r="C109" s="22"/>
    </row>
    <row r="110" ht="14.25" customHeight="1">
      <c r="A110" s="21"/>
      <c r="B110" s="22"/>
      <c r="C110" s="22"/>
    </row>
    <row r="111" ht="14.25" customHeight="1">
      <c r="A111" s="21"/>
      <c r="B111" s="22"/>
      <c r="C111" s="22"/>
    </row>
    <row r="112" ht="14.25" customHeight="1">
      <c r="A112" s="21"/>
      <c r="B112" s="22"/>
      <c r="C112" s="22"/>
    </row>
    <row r="113" ht="14.25" customHeight="1">
      <c r="A113" s="21"/>
      <c r="B113" s="22"/>
      <c r="C113" s="22"/>
    </row>
    <row r="114" ht="14.25" customHeight="1">
      <c r="A114" s="21"/>
      <c r="B114" s="22"/>
      <c r="C114" s="22"/>
    </row>
    <row r="115" ht="14.25" customHeight="1">
      <c r="A115" s="21"/>
      <c r="B115" s="22"/>
      <c r="C115" s="22"/>
    </row>
    <row r="116" ht="14.25" customHeight="1">
      <c r="A116" s="21"/>
      <c r="B116" s="22"/>
      <c r="C116" s="22"/>
    </row>
    <row r="117" ht="14.25" customHeight="1">
      <c r="A117" s="21"/>
      <c r="B117" s="22"/>
      <c r="C117" s="22"/>
    </row>
    <row r="118" ht="14.25" customHeight="1">
      <c r="A118" s="21"/>
      <c r="B118" s="22"/>
      <c r="C118" s="22"/>
    </row>
    <row r="119" ht="14.25" customHeight="1">
      <c r="A119" s="21"/>
      <c r="B119" s="22"/>
      <c r="C119" s="22"/>
    </row>
    <row r="120" ht="14.25" customHeight="1">
      <c r="A120" s="21"/>
      <c r="B120" s="22"/>
      <c r="C120" s="22"/>
    </row>
    <row r="121" ht="14.25" customHeight="1">
      <c r="A121" s="21"/>
      <c r="B121" s="22"/>
      <c r="C121" s="22"/>
    </row>
    <row r="122" ht="14.25" customHeight="1">
      <c r="A122" s="21"/>
      <c r="B122" s="22"/>
      <c r="C122" s="22"/>
    </row>
    <row r="123" ht="14.25" customHeight="1">
      <c r="A123" s="21"/>
      <c r="B123" s="22"/>
      <c r="C123" s="22"/>
    </row>
    <row r="124" ht="14.25" customHeight="1">
      <c r="A124" s="21"/>
      <c r="B124" s="22"/>
      <c r="C124" s="22"/>
    </row>
    <row r="125" ht="14.25" customHeight="1">
      <c r="A125" s="21"/>
      <c r="B125" s="22"/>
      <c r="C125" s="22"/>
    </row>
    <row r="126" ht="14.25" customHeight="1">
      <c r="A126" s="21"/>
      <c r="B126" s="22"/>
      <c r="C126" s="22"/>
    </row>
    <row r="127" ht="14.25" customHeight="1">
      <c r="A127" s="21"/>
      <c r="B127" s="22"/>
      <c r="C127" s="22"/>
    </row>
    <row r="128" ht="14.25" customHeight="1">
      <c r="A128" s="21"/>
      <c r="B128" s="22"/>
      <c r="C128" s="22"/>
    </row>
    <row r="129" ht="14.25" customHeight="1">
      <c r="A129" s="21"/>
      <c r="B129" s="22"/>
      <c r="C129" s="22"/>
    </row>
    <row r="130" ht="14.25" customHeight="1">
      <c r="A130" s="21"/>
      <c r="B130" s="22"/>
      <c r="C130" s="22"/>
    </row>
    <row r="131" ht="14.25" customHeight="1">
      <c r="A131" s="21"/>
      <c r="B131" s="22"/>
      <c r="C131" s="22"/>
    </row>
    <row r="132" ht="14.25" customHeight="1">
      <c r="A132" s="21"/>
      <c r="B132" s="22"/>
      <c r="C132" s="22"/>
    </row>
    <row r="133" ht="14.25" customHeight="1">
      <c r="A133" s="21"/>
      <c r="B133" s="22"/>
      <c r="C133" s="22"/>
    </row>
    <row r="134" ht="14.25" customHeight="1">
      <c r="A134" s="21"/>
      <c r="B134" s="22"/>
      <c r="C134" s="22"/>
    </row>
    <row r="135" ht="14.25" customHeight="1">
      <c r="A135" s="21"/>
      <c r="B135" s="22"/>
      <c r="C135" s="22"/>
    </row>
    <row r="136" ht="14.25" customHeight="1">
      <c r="A136" s="21"/>
      <c r="B136" s="22"/>
      <c r="C136" s="22"/>
    </row>
    <row r="137" ht="14.25" customHeight="1">
      <c r="A137" s="21"/>
      <c r="B137" s="22"/>
      <c r="C137" s="22"/>
    </row>
    <row r="138" ht="14.25" customHeight="1">
      <c r="A138" s="21"/>
      <c r="B138" s="22"/>
      <c r="C138" s="22"/>
    </row>
    <row r="139" ht="14.25" customHeight="1">
      <c r="A139" s="21"/>
      <c r="B139" s="22"/>
      <c r="C139" s="22"/>
    </row>
    <row r="140" ht="14.25" customHeight="1">
      <c r="A140" s="21"/>
      <c r="B140" s="22"/>
      <c r="C140" s="22"/>
    </row>
    <row r="141" ht="14.25" customHeight="1">
      <c r="A141" s="21"/>
      <c r="B141" s="22"/>
      <c r="C141" s="22"/>
    </row>
    <row r="142" ht="14.25" customHeight="1">
      <c r="A142" s="21"/>
      <c r="B142" s="22"/>
      <c r="C142" s="22"/>
    </row>
    <row r="143" ht="14.25" customHeight="1">
      <c r="A143" s="21"/>
      <c r="B143" s="22"/>
      <c r="C143" s="22"/>
    </row>
    <row r="144" ht="14.25" customHeight="1">
      <c r="A144" s="21"/>
      <c r="B144" s="22"/>
      <c r="C144" s="22"/>
    </row>
    <row r="145" ht="14.25" customHeight="1">
      <c r="A145" s="21"/>
      <c r="B145" s="22"/>
      <c r="C145" s="22"/>
    </row>
    <row r="146" ht="14.25" customHeight="1">
      <c r="A146" s="21"/>
      <c r="B146" s="22"/>
      <c r="C146" s="22"/>
    </row>
    <row r="147" ht="14.25" customHeight="1">
      <c r="A147" s="21"/>
      <c r="B147" s="22"/>
      <c r="C147" s="22"/>
    </row>
    <row r="148" ht="14.25" customHeight="1">
      <c r="A148" s="21"/>
      <c r="B148" s="22"/>
      <c r="C148" s="22"/>
    </row>
    <row r="149" ht="14.25" customHeight="1">
      <c r="A149" s="21"/>
      <c r="B149" s="22"/>
      <c r="C149" s="22"/>
    </row>
    <row r="150" ht="14.25" customHeight="1">
      <c r="A150" s="21"/>
      <c r="B150" s="22"/>
      <c r="C150" s="22"/>
    </row>
    <row r="151" ht="14.25" customHeight="1">
      <c r="A151" s="21"/>
      <c r="B151" s="22"/>
      <c r="C151" s="22"/>
    </row>
    <row r="152" ht="14.25" customHeight="1">
      <c r="A152" s="21"/>
      <c r="B152" s="22"/>
      <c r="C152" s="22"/>
    </row>
    <row r="153" ht="14.25" customHeight="1">
      <c r="A153" s="21"/>
      <c r="B153" s="22"/>
      <c r="C153" s="22"/>
    </row>
    <row r="154" ht="14.25" customHeight="1">
      <c r="A154" s="21"/>
      <c r="B154" s="22"/>
      <c r="C154" s="22"/>
    </row>
    <row r="155" ht="14.25" customHeight="1">
      <c r="A155" s="21"/>
      <c r="B155" s="22"/>
      <c r="C155" s="22"/>
    </row>
    <row r="156" ht="14.25" customHeight="1">
      <c r="A156" s="21"/>
      <c r="B156" s="22"/>
      <c r="C156" s="22"/>
    </row>
    <row r="157" ht="14.25" customHeight="1">
      <c r="A157" s="21"/>
      <c r="B157" s="22"/>
      <c r="C157" s="22"/>
    </row>
    <row r="158" ht="14.25" customHeight="1">
      <c r="A158" s="21"/>
      <c r="B158" s="22"/>
      <c r="C158" s="22"/>
    </row>
    <row r="159" ht="14.25" customHeight="1">
      <c r="A159" s="21"/>
      <c r="B159" s="22"/>
      <c r="C159" s="22"/>
    </row>
    <row r="160" ht="14.25" customHeight="1">
      <c r="A160" s="21"/>
      <c r="B160" s="22"/>
      <c r="C160" s="22"/>
    </row>
    <row r="161" ht="14.25" customHeight="1">
      <c r="A161" s="21"/>
      <c r="B161" s="22"/>
      <c r="C161" s="22"/>
    </row>
    <row r="162" ht="14.25" customHeight="1">
      <c r="A162" s="21"/>
      <c r="B162" s="22"/>
      <c r="C162" s="22"/>
    </row>
    <row r="163" ht="14.25" customHeight="1">
      <c r="A163" s="21"/>
      <c r="B163" s="22"/>
      <c r="C163" s="22"/>
    </row>
    <row r="164" ht="14.25" customHeight="1">
      <c r="A164" s="21"/>
      <c r="B164" s="22"/>
      <c r="C164" s="22"/>
    </row>
    <row r="165" ht="14.25" customHeight="1">
      <c r="A165" s="21"/>
      <c r="B165" s="22"/>
      <c r="C165" s="22"/>
    </row>
    <row r="166" ht="14.25" customHeight="1">
      <c r="A166" s="21"/>
      <c r="B166" s="22"/>
      <c r="C166" s="22"/>
    </row>
    <row r="167" ht="14.25" customHeight="1">
      <c r="A167" s="21"/>
      <c r="B167" s="22"/>
      <c r="C167" s="22"/>
    </row>
    <row r="168" ht="14.25" customHeight="1">
      <c r="A168" s="21"/>
      <c r="B168" s="22"/>
      <c r="C168" s="22"/>
    </row>
    <row r="169" ht="14.25" customHeight="1">
      <c r="A169" s="21"/>
      <c r="B169" s="22"/>
      <c r="C169" s="22"/>
    </row>
    <row r="170" ht="14.25" customHeight="1">
      <c r="A170" s="21"/>
      <c r="B170" s="22"/>
      <c r="C170" s="22"/>
    </row>
    <row r="171" ht="14.25" customHeight="1">
      <c r="A171" s="21"/>
      <c r="B171" s="22"/>
      <c r="C171" s="22"/>
    </row>
    <row r="172" ht="14.25" customHeight="1">
      <c r="A172" s="21"/>
      <c r="B172" s="22"/>
      <c r="C172" s="22"/>
    </row>
    <row r="173" ht="14.25" customHeight="1">
      <c r="A173" s="21"/>
      <c r="B173" s="22"/>
      <c r="C173" s="22"/>
    </row>
    <row r="174" ht="14.25" customHeight="1">
      <c r="A174" s="21"/>
      <c r="B174" s="22"/>
      <c r="C174" s="22"/>
    </row>
    <row r="175" ht="14.25" customHeight="1">
      <c r="A175" s="21"/>
      <c r="B175" s="22"/>
      <c r="C175" s="22"/>
    </row>
    <row r="176" ht="14.25" customHeight="1">
      <c r="A176" s="21"/>
      <c r="B176" s="22"/>
      <c r="C176" s="22"/>
    </row>
    <row r="177" ht="14.25" customHeight="1">
      <c r="A177" s="21"/>
      <c r="B177" s="22"/>
      <c r="C177" s="22"/>
    </row>
    <row r="178" ht="14.25" customHeight="1">
      <c r="A178" s="21"/>
      <c r="B178" s="22"/>
      <c r="C178" s="22"/>
    </row>
    <row r="179" ht="14.25" customHeight="1">
      <c r="A179" s="21"/>
      <c r="B179" s="22"/>
      <c r="C179" s="22"/>
    </row>
    <row r="180" ht="14.25" customHeight="1">
      <c r="A180" s="21"/>
      <c r="B180" s="22"/>
      <c r="C180" s="22"/>
    </row>
    <row r="181" ht="14.25" customHeight="1">
      <c r="A181" s="21"/>
      <c r="B181" s="22"/>
      <c r="C181" s="22"/>
    </row>
    <row r="182" ht="14.25" customHeight="1">
      <c r="A182" s="21"/>
      <c r="B182" s="22"/>
      <c r="C182" s="22"/>
    </row>
    <row r="183" ht="14.25" customHeight="1">
      <c r="A183" s="21"/>
      <c r="B183" s="22"/>
      <c r="C183" s="22"/>
    </row>
    <row r="184" ht="14.25" customHeight="1">
      <c r="A184" s="21"/>
      <c r="B184" s="22"/>
      <c r="C184" s="22"/>
    </row>
    <row r="185" ht="14.25" customHeight="1">
      <c r="A185" s="21"/>
      <c r="B185" s="22"/>
      <c r="C185" s="22"/>
    </row>
    <row r="186" ht="14.25" customHeight="1">
      <c r="A186" s="21"/>
      <c r="B186" s="22"/>
      <c r="C186" s="22"/>
    </row>
    <row r="187" ht="14.25" customHeight="1">
      <c r="A187" s="21"/>
      <c r="B187" s="22"/>
      <c r="C187" s="22"/>
    </row>
    <row r="188" ht="14.25" customHeight="1">
      <c r="A188" s="21"/>
      <c r="B188" s="22"/>
      <c r="C188" s="22"/>
    </row>
    <row r="189" ht="14.25" customHeight="1">
      <c r="A189" s="21"/>
      <c r="B189" s="22"/>
      <c r="C189" s="22"/>
    </row>
    <row r="190" ht="14.25" customHeight="1">
      <c r="A190" s="21"/>
      <c r="B190" s="22"/>
      <c r="C190" s="22"/>
    </row>
    <row r="191" ht="14.25" customHeight="1">
      <c r="A191" s="21"/>
      <c r="B191" s="22"/>
      <c r="C191" s="22"/>
    </row>
    <row r="192" ht="14.25" customHeight="1">
      <c r="A192" s="21"/>
      <c r="B192" s="22"/>
      <c r="C192" s="22"/>
    </row>
    <row r="193" ht="14.25" customHeight="1">
      <c r="A193" s="21"/>
      <c r="B193" s="22"/>
      <c r="C193" s="22"/>
    </row>
    <row r="194" ht="14.25" customHeight="1">
      <c r="A194" s="21"/>
      <c r="B194" s="22"/>
      <c r="C194" s="22"/>
    </row>
    <row r="195" ht="14.25" customHeight="1">
      <c r="A195" s="21"/>
      <c r="B195" s="22"/>
      <c r="C195" s="22"/>
    </row>
    <row r="196" ht="14.25" customHeight="1">
      <c r="A196" s="21"/>
      <c r="B196" s="22"/>
      <c r="C196" s="22"/>
    </row>
    <row r="197" ht="14.25" customHeight="1">
      <c r="A197" s="21"/>
      <c r="B197" s="22"/>
      <c r="C197" s="22"/>
    </row>
    <row r="198" ht="14.25" customHeight="1">
      <c r="A198" s="21"/>
      <c r="B198" s="22"/>
      <c r="C198" s="22"/>
    </row>
    <row r="199" ht="14.25" customHeight="1">
      <c r="A199" s="21"/>
      <c r="B199" s="22"/>
      <c r="C199" s="22"/>
    </row>
    <row r="200" ht="14.25" customHeight="1">
      <c r="A200" s="21"/>
      <c r="B200" s="22"/>
      <c r="C200" s="22"/>
    </row>
    <row r="201" ht="14.25" customHeight="1">
      <c r="A201" s="21"/>
      <c r="B201" s="22"/>
      <c r="C201" s="22"/>
    </row>
    <row r="202" ht="14.25" customHeight="1">
      <c r="A202" s="21"/>
      <c r="B202" s="22"/>
      <c r="C202" s="22"/>
    </row>
    <row r="203" ht="14.25" customHeight="1">
      <c r="A203" s="21"/>
      <c r="B203" s="22"/>
      <c r="C203" s="22"/>
    </row>
    <row r="204" ht="14.25" customHeight="1">
      <c r="A204" s="21"/>
      <c r="B204" s="22"/>
      <c r="C204" s="22"/>
    </row>
    <row r="205" ht="14.25" customHeight="1">
      <c r="A205" s="21"/>
      <c r="B205" s="22"/>
      <c r="C205" s="22"/>
    </row>
    <row r="206" ht="14.25" customHeight="1">
      <c r="A206" s="21"/>
      <c r="B206" s="22"/>
      <c r="C206" s="22"/>
    </row>
    <row r="207" ht="14.25" customHeight="1">
      <c r="A207" s="21"/>
      <c r="B207" s="22"/>
      <c r="C207" s="22"/>
    </row>
    <row r="208" ht="14.25" customHeight="1">
      <c r="A208" s="21"/>
      <c r="B208" s="22"/>
      <c r="C208" s="22"/>
    </row>
    <row r="209" ht="14.25" customHeight="1">
      <c r="A209" s="21"/>
      <c r="B209" s="22"/>
      <c r="C209" s="22"/>
    </row>
    <row r="210" ht="14.25" customHeight="1">
      <c r="A210" s="21"/>
      <c r="B210" s="22"/>
      <c r="C210" s="22"/>
    </row>
    <row r="211" ht="14.25" customHeight="1">
      <c r="A211" s="21"/>
      <c r="B211" s="22"/>
      <c r="C211" s="22"/>
    </row>
    <row r="212" ht="14.25" customHeight="1">
      <c r="A212" s="21"/>
      <c r="B212" s="22"/>
      <c r="C212" s="22"/>
    </row>
    <row r="213" ht="14.25" customHeight="1">
      <c r="A213" s="21"/>
      <c r="B213" s="22"/>
      <c r="C213" s="22"/>
    </row>
    <row r="214" ht="14.25" customHeight="1">
      <c r="A214" s="21"/>
      <c r="B214" s="22"/>
      <c r="C214" s="22"/>
    </row>
    <row r="215" ht="14.25" customHeight="1">
      <c r="A215" s="21"/>
      <c r="B215" s="22"/>
      <c r="C215" s="22"/>
    </row>
    <row r="216" ht="14.25" customHeight="1">
      <c r="A216" s="21"/>
      <c r="B216" s="22"/>
      <c r="C216" s="22"/>
    </row>
    <row r="217" ht="14.25" customHeight="1">
      <c r="A217" s="21"/>
      <c r="B217" s="22"/>
      <c r="C217" s="22"/>
    </row>
    <row r="218" ht="14.25" customHeight="1">
      <c r="A218" s="21"/>
      <c r="B218" s="22"/>
      <c r="C218" s="22"/>
    </row>
    <row r="219" ht="14.25" customHeight="1">
      <c r="A219" s="21"/>
      <c r="B219" s="22"/>
      <c r="C219" s="22"/>
    </row>
    <row r="220" ht="14.25" customHeight="1">
      <c r="A220" s="21"/>
      <c r="B220" s="22"/>
      <c r="C220" s="22"/>
    </row>
    <row r="221" ht="14.25" customHeight="1">
      <c r="A221" s="21"/>
      <c r="B221" s="22"/>
      <c r="C221" s="22"/>
    </row>
    <row r="222" ht="14.25" customHeight="1">
      <c r="A222" s="21"/>
      <c r="B222" s="22"/>
      <c r="C222" s="22"/>
    </row>
    <row r="223" ht="14.25" customHeight="1">
      <c r="A223" s="21"/>
      <c r="B223" s="22"/>
      <c r="C223" s="22"/>
    </row>
    <row r="224" ht="14.25" customHeight="1">
      <c r="A224" s="21"/>
      <c r="B224" s="22"/>
      <c r="C224" s="22"/>
    </row>
    <row r="225" ht="14.25" customHeight="1">
      <c r="A225" s="21"/>
      <c r="B225" s="22"/>
      <c r="C225" s="22"/>
    </row>
    <row r="226" ht="14.25" customHeight="1">
      <c r="A226" s="21"/>
      <c r="B226" s="22"/>
      <c r="C226" s="22"/>
    </row>
    <row r="227" ht="14.25" customHeight="1">
      <c r="A227" s="21"/>
      <c r="B227" s="22"/>
      <c r="C227" s="22"/>
    </row>
    <row r="228" ht="14.25" customHeight="1">
      <c r="A228" s="21"/>
      <c r="B228" s="22"/>
      <c r="C228" s="22"/>
    </row>
    <row r="229" ht="14.25" customHeight="1">
      <c r="A229" s="21"/>
      <c r="B229" s="22"/>
      <c r="C229" s="22"/>
    </row>
    <row r="230" ht="14.25" customHeight="1">
      <c r="A230" s="21"/>
      <c r="B230" s="22"/>
      <c r="C230" s="22"/>
    </row>
    <row r="231" ht="14.25" customHeight="1">
      <c r="A231" s="21"/>
      <c r="B231" s="22"/>
      <c r="C231" s="22"/>
    </row>
    <row r="232" ht="14.25" customHeight="1">
      <c r="A232" s="21"/>
      <c r="B232" s="22"/>
      <c r="C232" s="22"/>
    </row>
    <row r="233" ht="14.25" customHeight="1">
      <c r="A233" s="21"/>
      <c r="B233" s="22"/>
      <c r="C233" s="22"/>
    </row>
    <row r="234" ht="14.25" customHeight="1">
      <c r="A234" s="21"/>
      <c r="B234" s="22"/>
      <c r="C234" s="22"/>
    </row>
    <row r="235" ht="14.25" customHeight="1">
      <c r="A235" s="21"/>
      <c r="B235" s="22"/>
      <c r="C235" s="22"/>
    </row>
    <row r="236" ht="14.25" customHeight="1">
      <c r="A236" s="21"/>
      <c r="B236" s="22"/>
      <c r="C236" s="22"/>
    </row>
    <row r="237" ht="14.25" customHeight="1">
      <c r="A237" s="21"/>
      <c r="B237" s="22"/>
      <c r="C237" s="22"/>
    </row>
    <row r="238" ht="14.25" customHeight="1">
      <c r="A238" s="21"/>
      <c r="B238" s="22"/>
      <c r="C238" s="22"/>
    </row>
    <row r="239" ht="14.25" customHeight="1">
      <c r="A239" s="21"/>
      <c r="B239" s="22"/>
      <c r="C239" s="22"/>
    </row>
    <row r="240" ht="14.25" customHeight="1">
      <c r="A240" s="21"/>
      <c r="B240" s="22"/>
      <c r="C240" s="22"/>
    </row>
    <row r="241" ht="14.25" customHeight="1">
      <c r="A241" s="21"/>
      <c r="B241" s="22"/>
      <c r="C241" s="22"/>
    </row>
    <row r="242" ht="14.25" customHeight="1">
      <c r="A242" s="21"/>
      <c r="B242" s="22"/>
      <c r="C242" s="22"/>
    </row>
    <row r="243" ht="14.25" customHeight="1">
      <c r="A243" s="21"/>
      <c r="B243" s="22"/>
      <c r="C243" s="22"/>
    </row>
    <row r="244" ht="14.25" customHeight="1">
      <c r="A244" s="21"/>
      <c r="B244" s="22"/>
      <c r="C244" s="22"/>
    </row>
    <row r="245" ht="14.25" customHeight="1">
      <c r="A245" s="21"/>
      <c r="B245" s="22"/>
      <c r="C245" s="22"/>
    </row>
    <row r="246" ht="14.25" customHeight="1">
      <c r="A246" s="21"/>
      <c r="B246" s="22"/>
      <c r="C246" s="22"/>
    </row>
    <row r="247" ht="14.25" customHeight="1">
      <c r="A247" s="21"/>
      <c r="B247" s="22"/>
      <c r="C247" s="22"/>
    </row>
    <row r="248" ht="14.25" customHeight="1">
      <c r="A248" s="21"/>
      <c r="B248" s="22"/>
      <c r="C248" s="22"/>
    </row>
    <row r="249" ht="14.25" customHeight="1">
      <c r="A249" s="21"/>
      <c r="B249" s="22"/>
      <c r="C249" s="22"/>
    </row>
    <row r="250" ht="14.25" customHeight="1">
      <c r="A250" s="21"/>
      <c r="B250" s="22"/>
      <c r="C250" s="22"/>
    </row>
    <row r="251" ht="14.25" customHeight="1">
      <c r="A251" s="21"/>
      <c r="B251" s="22"/>
      <c r="C251" s="22"/>
    </row>
    <row r="252" ht="14.25" customHeight="1">
      <c r="A252" s="21"/>
      <c r="B252" s="22"/>
      <c r="C252" s="22"/>
    </row>
    <row r="253" ht="14.25" customHeight="1">
      <c r="A253" s="21"/>
      <c r="B253" s="22"/>
      <c r="C253" s="22"/>
    </row>
    <row r="254" ht="14.25" customHeight="1">
      <c r="A254" s="21"/>
      <c r="B254" s="22"/>
      <c r="C254" s="22"/>
    </row>
    <row r="255" ht="14.25" customHeight="1">
      <c r="A255" s="21"/>
      <c r="B255" s="22"/>
      <c r="C255" s="22"/>
    </row>
    <row r="256" ht="14.25" customHeight="1">
      <c r="A256" s="21"/>
      <c r="B256" s="22"/>
      <c r="C256" s="22"/>
    </row>
    <row r="257" ht="14.25" customHeight="1">
      <c r="A257" s="21"/>
      <c r="B257" s="22"/>
      <c r="C257" s="22"/>
    </row>
    <row r="258" ht="14.25" customHeight="1">
      <c r="A258" s="21"/>
      <c r="B258" s="22"/>
      <c r="C258" s="22"/>
    </row>
    <row r="259" ht="14.25" customHeight="1">
      <c r="A259" s="21"/>
      <c r="B259" s="22"/>
      <c r="C259" s="22"/>
    </row>
    <row r="260" ht="14.25" customHeight="1">
      <c r="A260" s="21"/>
      <c r="B260" s="22"/>
      <c r="C260" s="22"/>
    </row>
    <row r="261" ht="14.25" customHeight="1">
      <c r="A261" s="21"/>
      <c r="B261" s="22"/>
      <c r="C261" s="22"/>
    </row>
    <row r="262" ht="14.25" customHeight="1">
      <c r="A262" s="21"/>
      <c r="B262" s="22"/>
      <c r="C262" s="22"/>
    </row>
    <row r="263" ht="14.25" customHeight="1">
      <c r="A263" s="21"/>
      <c r="B263" s="22"/>
      <c r="C263" s="22"/>
    </row>
    <row r="264" ht="14.25" customHeight="1">
      <c r="A264" s="21"/>
      <c r="B264" s="22"/>
      <c r="C264" s="22"/>
    </row>
    <row r="265" ht="14.25" customHeight="1">
      <c r="A265" s="21"/>
      <c r="B265" s="22"/>
      <c r="C265" s="22"/>
    </row>
    <row r="266" ht="14.25" customHeight="1">
      <c r="A266" s="21"/>
      <c r="B266" s="22"/>
      <c r="C266" s="22"/>
    </row>
    <row r="267" ht="14.25" customHeight="1">
      <c r="A267" s="21"/>
      <c r="B267" s="22"/>
      <c r="C267" s="22"/>
    </row>
    <row r="268" ht="14.25" customHeight="1">
      <c r="A268" s="21"/>
      <c r="B268" s="22"/>
      <c r="C268" s="22"/>
    </row>
    <row r="269" ht="14.25" customHeight="1">
      <c r="A269" s="21"/>
      <c r="B269" s="22"/>
      <c r="C269" s="22"/>
    </row>
    <row r="270" ht="14.25" customHeight="1">
      <c r="A270" s="21"/>
      <c r="B270" s="22"/>
      <c r="C270" s="22"/>
    </row>
    <row r="271" ht="14.25" customHeight="1">
      <c r="A271" s="21"/>
      <c r="B271" s="22"/>
      <c r="C271" s="22"/>
    </row>
    <row r="272" ht="14.25" customHeight="1">
      <c r="A272" s="21"/>
      <c r="B272" s="22"/>
      <c r="C272" s="22"/>
    </row>
    <row r="273" ht="14.25" customHeight="1">
      <c r="A273" s="21"/>
      <c r="B273" s="22"/>
      <c r="C273" s="22"/>
    </row>
    <row r="274" ht="14.25" customHeight="1">
      <c r="A274" s="21"/>
      <c r="B274" s="22"/>
      <c r="C274" s="22"/>
    </row>
    <row r="275" ht="14.25" customHeight="1">
      <c r="A275" s="21"/>
      <c r="B275" s="22"/>
      <c r="C275" s="22"/>
    </row>
    <row r="276" ht="14.25" customHeight="1">
      <c r="A276" s="21"/>
      <c r="B276" s="22"/>
      <c r="C276" s="22"/>
    </row>
    <row r="277" ht="14.25" customHeight="1">
      <c r="A277" s="21"/>
      <c r="B277" s="22"/>
      <c r="C277" s="22"/>
    </row>
    <row r="278" ht="14.25" customHeight="1">
      <c r="A278" s="21"/>
      <c r="B278" s="22"/>
      <c r="C278" s="22"/>
    </row>
    <row r="279" ht="14.25" customHeight="1">
      <c r="A279" s="21"/>
      <c r="B279" s="22"/>
      <c r="C279" s="22"/>
    </row>
    <row r="280" ht="14.25" customHeight="1">
      <c r="A280" s="21"/>
      <c r="B280" s="22"/>
      <c r="C280" s="22"/>
    </row>
    <row r="281" ht="14.25" customHeight="1">
      <c r="A281" s="21"/>
      <c r="B281" s="22"/>
      <c r="C281" s="22"/>
    </row>
    <row r="282" ht="14.25" customHeight="1">
      <c r="A282" s="21"/>
      <c r="B282" s="22"/>
      <c r="C282" s="22"/>
    </row>
    <row r="283" ht="14.25" customHeight="1">
      <c r="A283" s="21"/>
      <c r="B283" s="22"/>
      <c r="C283" s="22"/>
    </row>
    <row r="284" ht="14.25" customHeight="1">
      <c r="A284" s="21"/>
      <c r="B284" s="22"/>
      <c r="C284" s="22"/>
    </row>
    <row r="285" ht="14.25" customHeight="1">
      <c r="A285" s="21"/>
      <c r="B285" s="22"/>
      <c r="C285" s="22"/>
    </row>
    <row r="286" ht="14.25" customHeight="1">
      <c r="A286" s="21"/>
      <c r="B286" s="22"/>
      <c r="C286" s="22"/>
    </row>
    <row r="287" ht="14.25" customHeight="1">
      <c r="A287" s="21"/>
      <c r="B287" s="22"/>
      <c r="C287" s="22"/>
    </row>
    <row r="288" ht="14.25" customHeight="1">
      <c r="A288" s="21"/>
      <c r="B288" s="22"/>
      <c r="C288" s="22"/>
    </row>
    <row r="289" ht="14.25" customHeight="1">
      <c r="A289" s="21"/>
      <c r="B289" s="22"/>
      <c r="C289" s="22"/>
    </row>
    <row r="290" ht="14.25" customHeight="1">
      <c r="A290" s="21"/>
      <c r="B290" s="22"/>
      <c r="C290" s="22"/>
    </row>
    <row r="291" ht="14.25" customHeight="1">
      <c r="A291" s="21"/>
      <c r="B291" s="22"/>
      <c r="C291" s="22"/>
    </row>
    <row r="292" ht="14.25" customHeight="1">
      <c r="A292" s="21"/>
      <c r="B292" s="22"/>
      <c r="C292" s="22"/>
    </row>
    <row r="293" ht="14.25" customHeight="1">
      <c r="A293" s="21"/>
      <c r="B293" s="22"/>
      <c r="C293" s="22"/>
    </row>
    <row r="294" ht="14.25" customHeight="1">
      <c r="A294" s="21"/>
      <c r="B294" s="22"/>
      <c r="C294" s="22"/>
    </row>
    <row r="295" ht="14.25" customHeight="1">
      <c r="A295" s="21"/>
      <c r="B295" s="22"/>
      <c r="C295" s="22"/>
    </row>
    <row r="296" ht="14.25" customHeight="1">
      <c r="A296" s="21"/>
      <c r="B296" s="22"/>
      <c r="C296" s="22"/>
    </row>
    <row r="297" ht="14.25" customHeight="1">
      <c r="A297" s="21"/>
      <c r="B297" s="22"/>
      <c r="C297" s="22"/>
    </row>
    <row r="298" ht="14.25" customHeight="1">
      <c r="A298" s="21"/>
      <c r="B298" s="22"/>
      <c r="C298" s="22"/>
    </row>
    <row r="299" ht="14.25" customHeight="1">
      <c r="A299" s="21"/>
      <c r="B299" s="22"/>
      <c r="C299" s="22"/>
    </row>
    <row r="300" ht="14.25" customHeight="1">
      <c r="A300" s="21"/>
      <c r="B300" s="22"/>
      <c r="C300" s="22"/>
    </row>
    <row r="301" ht="14.25" customHeight="1">
      <c r="A301" s="21"/>
      <c r="B301" s="22"/>
      <c r="C301" s="22"/>
    </row>
    <row r="302" ht="14.25" customHeight="1">
      <c r="A302" s="21"/>
      <c r="B302" s="22"/>
      <c r="C302" s="22"/>
    </row>
    <row r="303" ht="14.25" customHeight="1">
      <c r="A303" s="21"/>
      <c r="B303" s="22"/>
      <c r="C303" s="22"/>
    </row>
    <row r="304" ht="14.25" customHeight="1">
      <c r="A304" s="21"/>
      <c r="B304" s="22"/>
      <c r="C304" s="22"/>
    </row>
    <row r="305" ht="14.25" customHeight="1">
      <c r="A305" s="21"/>
      <c r="B305" s="22"/>
      <c r="C305" s="22"/>
    </row>
    <row r="306" ht="14.25" customHeight="1">
      <c r="A306" s="21"/>
      <c r="B306" s="22"/>
      <c r="C306" s="22"/>
    </row>
    <row r="307" ht="14.25" customHeight="1">
      <c r="A307" s="21"/>
      <c r="B307" s="22"/>
      <c r="C307" s="22"/>
    </row>
    <row r="308" ht="14.25" customHeight="1">
      <c r="A308" s="21"/>
      <c r="B308" s="22"/>
      <c r="C308" s="22"/>
    </row>
    <row r="309" ht="14.25" customHeight="1">
      <c r="A309" s="21"/>
      <c r="B309" s="22"/>
      <c r="C309" s="22"/>
    </row>
    <row r="310" ht="14.25" customHeight="1">
      <c r="A310" s="21"/>
      <c r="B310" s="22"/>
      <c r="C310" s="22"/>
    </row>
    <row r="311" ht="14.25" customHeight="1">
      <c r="A311" s="21"/>
      <c r="B311" s="22"/>
      <c r="C311" s="22"/>
    </row>
    <row r="312" ht="14.25" customHeight="1">
      <c r="A312" s="21"/>
      <c r="B312" s="22"/>
      <c r="C312" s="22"/>
    </row>
    <row r="313" ht="14.25" customHeight="1">
      <c r="A313" s="21"/>
      <c r="B313" s="22"/>
      <c r="C313" s="22"/>
    </row>
    <row r="314" ht="14.25" customHeight="1">
      <c r="A314" s="21"/>
      <c r="B314" s="22"/>
      <c r="C314" s="22"/>
    </row>
    <row r="315" ht="14.25" customHeight="1">
      <c r="A315" s="21"/>
      <c r="B315" s="22"/>
      <c r="C315" s="22"/>
    </row>
    <row r="316" ht="14.25" customHeight="1">
      <c r="A316" s="21"/>
      <c r="B316" s="22"/>
      <c r="C316" s="22"/>
    </row>
    <row r="317" ht="14.25" customHeight="1">
      <c r="A317" s="21"/>
      <c r="B317" s="22"/>
      <c r="C317" s="22"/>
    </row>
    <row r="318" ht="14.25" customHeight="1">
      <c r="A318" s="21"/>
      <c r="B318" s="22"/>
      <c r="C318" s="22"/>
    </row>
    <row r="319" ht="14.25" customHeight="1">
      <c r="A319" s="21"/>
      <c r="B319" s="22"/>
      <c r="C319" s="22"/>
    </row>
    <row r="320" ht="14.25" customHeight="1">
      <c r="A320" s="21"/>
      <c r="B320" s="22"/>
      <c r="C320" s="22"/>
    </row>
    <row r="321" ht="14.25" customHeight="1">
      <c r="A321" s="21"/>
      <c r="B321" s="22"/>
      <c r="C321" s="22"/>
    </row>
    <row r="322" ht="14.25" customHeight="1">
      <c r="A322" s="21"/>
      <c r="B322" s="22"/>
      <c r="C322" s="22"/>
    </row>
    <row r="323" ht="14.25" customHeight="1">
      <c r="A323" s="21"/>
      <c r="B323" s="22"/>
      <c r="C323" s="22"/>
    </row>
    <row r="324" ht="14.25" customHeight="1">
      <c r="A324" s="21"/>
      <c r="B324" s="22"/>
      <c r="C324" s="22"/>
    </row>
    <row r="325" ht="14.25" customHeight="1">
      <c r="A325" s="21"/>
      <c r="B325" s="22"/>
      <c r="C325" s="22"/>
    </row>
    <row r="326" ht="14.25" customHeight="1">
      <c r="A326" s="21"/>
      <c r="B326" s="22"/>
      <c r="C326" s="22"/>
    </row>
    <row r="327" ht="14.25" customHeight="1">
      <c r="A327" s="21"/>
      <c r="B327" s="22"/>
      <c r="C327" s="22"/>
    </row>
    <row r="328" ht="14.25" customHeight="1">
      <c r="A328" s="21"/>
      <c r="B328" s="22"/>
      <c r="C328" s="22"/>
    </row>
    <row r="329" ht="14.25" customHeight="1">
      <c r="A329" s="21"/>
      <c r="B329" s="22"/>
      <c r="C329" s="22"/>
    </row>
    <row r="330" ht="14.25" customHeight="1">
      <c r="A330" s="21"/>
      <c r="B330" s="22"/>
      <c r="C330" s="22"/>
    </row>
    <row r="331" ht="14.25" customHeight="1">
      <c r="A331" s="21"/>
      <c r="B331" s="22"/>
      <c r="C331" s="22"/>
    </row>
    <row r="332" ht="14.25" customHeight="1">
      <c r="A332" s="21"/>
      <c r="B332" s="22"/>
      <c r="C332" s="22"/>
    </row>
    <row r="333" ht="14.25" customHeight="1">
      <c r="A333" s="21"/>
      <c r="B333" s="22"/>
      <c r="C333" s="22"/>
    </row>
    <row r="334" ht="14.25" customHeight="1">
      <c r="A334" s="21"/>
      <c r="B334" s="22"/>
      <c r="C334" s="22"/>
    </row>
    <row r="335" ht="14.25" customHeight="1">
      <c r="A335" s="21"/>
      <c r="B335" s="22"/>
      <c r="C335" s="22"/>
    </row>
    <row r="336" ht="14.25" customHeight="1">
      <c r="A336" s="21"/>
      <c r="B336" s="22"/>
      <c r="C336" s="22"/>
    </row>
    <row r="337" ht="14.25" customHeight="1">
      <c r="A337" s="21"/>
      <c r="B337" s="22"/>
      <c r="C337" s="22"/>
    </row>
    <row r="338" ht="14.25" customHeight="1">
      <c r="A338" s="21"/>
      <c r="B338" s="22"/>
      <c r="C338" s="22"/>
    </row>
    <row r="339" ht="14.25" customHeight="1">
      <c r="A339" s="21"/>
      <c r="B339" s="22"/>
      <c r="C339" s="22"/>
    </row>
    <row r="340" ht="14.25" customHeight="1">
      <c r="A340" s="21"/>
      <c r="B340" s="22"/>
      <c r="C340" s="22"/>
    </row>
    <row r="341" ht="14.25" customHeight="1">
      <c r="A341" s="21"/>
      <c r="B341" s="22"/>
      <c r="C341" s="22"/>
    </row>
    <row r="342" ht="14.25" customHeight="1">
      <c r="A342" s="21"/>
      <c r="B342" s="22"/>
      <c r="C342" s="22"/>
    </row>
    <row r="343" ht="14.25" customHeight="1">
      <c r="A343" s="21"/>
      <c r="B343" s="22"/>
      <c r="C343" s="22"/>
    </row>
    <row r="344" ht="14.25" customHeight="1">
      <c r="A344" s="21"/>
      <c r="B344" s="22"/>
      <c r="C344" s="22"/>
    </row>
    <row r="345" ht="14.25" customHeight="1">
      <c r="A345" s="21"/>
      <c r="B345" s="22"/>
      <c r="C345" s="22"/>
    </row>
    <row r="346" ht="14.25" customHeight="1">
      <c r="A346" s="21"/>
      <c r="B346" s="22"/>
      <c r="C346" s="22"/>
    </row>
    <row r="347" ht="14.25" customHeight="1">
      <c r="A347" s="21"/>
      <c r="B347" s="22"/>
      <c r="C347" s="22"/>
    </row>
    <row r="348" ht="14.25" customHeight="1">
      <c r="A348" s="21"/>
      <c r="B348" s="22"/>
      <c r="C348" s="22"/>
    </row>
    <row r="349" ht="14.25" customHeight="1">
      <c r="A349" s="21"/>
      <c r="B349" s="22"/>
      <c r="C349" s="22"/>
    </row>
    <row r="350" ht="14.25" customHeight="1">
      <c r="A350" s="21"/>
      <c r="B350" s="22"/>
      <c r="C350" s="22"/>
    </row>
    <row r="351" ht="14.25" customHeight="1">
      <c r="A351" s="21"/>
      <c r="B351" s="22"/>
      <c r="C351" s="22"/>
    </row>
    <row r="352" ht="14.25" customHeight="1">
      <c r="A352" s="21"/>
      <c r="B352" s="22"/>
      <c r="C352" s="22"/>
    </row>
    <row r="353" ht="14.25" customHeight="1">
      <c r="A353" s="21"/>
      <c r="B353" s="22"/>
      <c r="C353" s="22"/>
    </row>
    <row r="354" ht="14.25" customHeight="1">
      <c r="A354" s="21"/>
      <c r="B354" s="22"/>
      <c r="C354" s="22"/>
    </row>
    <row r="355" ht="14.25" customHeight="1">
      <c r="A355" s="21"/>
      <c r="B355" s="22"/>
      <c r="C355" s="22"/>
    </row>
    <row r="356" ht="14.25" customHeight="1">
      <c r="A356" s="21"/>
      <c r="B356" s="22"/>
      <c r="C356" s="22"/>
    </row>
    <row r="357" ht="14.25" customHeight="1">
      <c r="A357" s="21"/>
      <c r="B357" s="22"/>
      <c r="C357" s="22"/>
    </row>
    <row r="358" ht="14.25" customHeight="1">
      <c r="A358" s="21"/>
      <c r="B358" s="22"/>
      <c r="C358" s="22"/>
    </row>
    <row r="359" ht="14.25" customHeight="1">
      <c r="A359" s="21"/>
      <c r="B359" s="22"/>
      <c r="C359" s="22"/>
    </row>
    <row r="360" ht="14.25" customHeight="1">
      <c r="A360" s="21"/>
      <c r="B360" s="22"/>
      <c r="C360" s="22"/>
    </row>
    <row r="361" ht="14.25" customHeight="1">
      <c r="A361" s="21"/>
      <c r="B361" s="22"/>
      <c r="C361" s="22"/>
    </row>
    <row r="362" ht="14.25" customHeight="1">
      <c r="A362" s="21"/>
      <c r="B362" s="22"/>
      <c r="C362" s="22"/>
    </row>
    <row r="363" ht="14.25" customHeight="1">
      <c r="A363" s="21"/>
      <c r="B363" s="22"/>
      <c r="C363" s="22"/>
    </row>
    <row r="364" ht="14.25" customHeight="1">
      <c r="A364" s="21"/>
      <c r="B364" s="22"/>
      <c r="C364" s="22"/>
    </row>
    <row r="365" ht="14.25" customHeight="1">
      <c r="A365" s="21"/>
      <c r="B365" s="22"/>
      <c r="C365" s="22"/>
    </row>
    <row r="366" ht="14.25" customHeight="1">
      <c r="A366" s="21"/>
      <c r="B366" s="22"/>
      <c r="C366" s="22"/>
    </row>
    <row r="367" ht="14.25" customHeight="1">
      <c r="A367" s="21"/>
      <c r="B367" s="22"/>
      <c r="C367" s="22"/>
    </row>
    <row r="368" ht="14.25" customHeight="1">
      <c r="A368" s="21"/>
      <c r="B368" s="22"/>
      <c r="C368" s="22"/>
    </row>
    <row r="369" ht="14.25" customHeight="1">
      <c r="A369" s="21"/>
      <c r="B369" s="22"/>
      <c r="C369" s="22"/>
    </row>
    <row r="370" ht="14.25" customHeight="1">
      <c r="A370" s="21"/>
      <c r="B370" s="22"/>
      <c r="C370" s="22"/>
    </row>
    <row r="371" ht="14.25" customHeight="1">
      <c r="A371" s="21"/>
      <c r="B371" s="22"/>
      <c r="C371" s="22"/>
    </row>
    <row r="372" ht="14.25" customHeight="1">
      <c r="A372" s="21"/>
      <c r="B372" s="22"/>
      <c r="C372" s="22"/>
    </row>
    <row r="373" ht="14.25" customHeight="1">
      <c r="A373" s="21"/>
      <c r="B373" s="22"/>
      <c r="C373" s="22"/>
    </row>
    <row r="374" ht="14.25" customHeight="1">
      <c r="A374" s="21"/>
      <c r="B374" s="22"/>
      <c r="C374" s="22"/>
    </row>
    <row r="375" ht="14.25" customHeight="1">
      <c r="A375" s="21"/>
      <c r="B375" s="22"/>
      <c r="C375" s="22"/>
    </row>
    <row r="376" ht="14.25" customHeight="1">
      <c r="A376" s="21"/>
      <c r="B376" s="22"/>
      <c r="C376" s="22"/>
    </row>
    <row r="377" ht="14.25" customHeight="1">
      <c r="A377" s="21"/>
      <c r="B377" s="22"/>
      <c r="C377" s="22"/>
    </row>
    <row r="378" ht="14.25" customHeight="1">
      <c r="A378" s="21"/>
      <c r="B378" s="22"/>
      <c r="C378" s="22"/>
    </row>
    <row r="379" ht="14.25" customHeight="1">
      <c r="A379" s="21"/>
      <c r="B379" s="22"/>
      <c r="C379" s="22"/>
    </row>
    <row r="380" ht="14.25" customHeight="1">
      <c r="A380" s="21"/>
      <c r="B380" s="22"/>
      <c r="C380" s="22"/>
    </row>
    <row r="381" ht="14.25" customHeight="1">
      <c r="A381" s="21"/>
      <c r="B381" s="22"/>
      <c r="C381" s="22"/>
    </row>
    <row r="382" ht="14.25" customHeight="1">
      <c r="A382" s="21"/>
      <c r="B382" s="22"/>
      <c r="C382" s="22"/>
    </row>
    <row r="383" ht="14.25" customHeight="1">
      <c r="A383" s="21"/>
      <c r="B383" s="22"/>
      <c r="C383" s="22"/>
    </row>
    <row r="384" ht="14.25" customHeight="1">
      <c r="A384" s="21"/>
      <c r="B384" s="22"/>
      <c r="C384" s="22"/>
    </row>
    <row r="385" ht="14.25" customHeight="1">
      <c r="A385" s="21"/>
      <c r="B385" s="22"/>
      <c r="C385" s="22"/>
    </row>
    <row r="386" ht="14.25" customHeight="1">
      <c r="A386" s="21"/>
      <c r="B386" s="22"/>
      <c r="C386" s="22"/>
    </row>
    <row r="387" ht="14.25" customHeight="1">
      <c r="A387" s="21"/>
      <c r="B387" s="22"/>
      <c r="C387" s="22"/>
    </row>
    <row r="388" ht="14.25" customHeight="1">
      <c r="A388" s="21"/>
      <c r="B388" s="22"/>
      <c r="C388" s="22"/>
    </row>
    <row r="389" ht="14.25" customHeight="1">
      <c r="A389" s="21"/>
      <c r="B389" s="22"/>
      <c r="C389" s="22"/>
    </row>
    <row r="390" ht="14.25" customHeight="1">
      <c r="A390" s="21"/>
      <c r="B390" s="22"/>
      <c r="C390" s="22"/>
    </row>
    <row r="391" ht="14.25" customHeight="1">
      <c r="A391" s="21"/>
      <c r="B391" s="22"/>
      <c r="C391" s="22"/>
    </row>
    <row r="392" ht="14.25" customHeight="1">
      <c r="A392" s="21"/>
      <c r="B392" s="22"/>
      <c r="C392" s="22"/>
    </row>
    <row r="393" ht="14.25" customHeight="1">
      <c r="A393" s="21"/>
      <c r="B393" s="22"/>
      <c r="C393" s="22"/>
    </row>
    <row r="394" ht="14.25" customHeight="1">
      <c r="A394" s="21"/>
      <c r="B394" s="22"/>
      <c r="C394" s="22"/>
    </row>
    <row r="395" ht="14.25" customHeight="1">
      <c r="A395" s="21"/>
      <c r="B395" s="22"/>
      <c r="C395" s="22"/>
    </row>
    <row r="396" ht="14.25" customHeight="1">
      <c r="A396" s="21"/>
      <c r="B396" s="22"/>
      <c r="C396" s="22"/>
    </row>
    <row r="397" ht="14.25" customHeight="1">
      <c r="A397" s="21"/>
      <c r="B397" s="22"/>
      <c r="C397" s="22"/>
    </row>
    <row r="398" ht="14.25" customHeight="1">
      <c r="A398" s="21"/>
      <c r="B398" s="22"/>
      <c r="C398" s="22"/>
    </row>
    <row r="399" ht="14.25" customHeight="1">
      <c r="A399" s="21"/>
      <c r="B399" s="22"/>
      <c r="C399" s="22"/>
    </row>
    <row r="400" ht="14.25" customHeight="1">
      <c r="A400" s="21"/>
      <c r="B400" s="22"/>
      <c r="C400" s="22"/>
    </row>
    <row r="401" ht="14.25" customHeight="1">
      <c r="A401" s="21"/>
      <c r="B401" s="22"/>
      <c r="C401" s="22"/>
    </row>
    <row r="402" ht="14.25" customHeight="1">
      <c r="A402" s="21"/>
      <c r="B402" s="22"/>
      <c r="C402" s="22"/>
    </row>
    <row r="403" ht="14.25" customHeight="1">
      <c r="A403" s="21"/>
      <c r="B403" s="22"/>
      <c r="C403" s="22"/>
    </row>
    <row r="404" ht="14.25" customHeight="1">
      <c r="A404" s="21"/>
      <c r="B404" s="22"/>
      <c r="C404" s="22"/>
    </row>
    <row r="405" ht="14.25" customHeight="1">
      <c r="A405" s="21"/>
      <c r="B405" s="22"/>
      <c r="C405" s="22"/>
    </row>
    <row r="406" ht="14.25" customHeight="1">
      <c r="A406" s="21"/>
      <c r="B406" s="22"/>
      <c r="C406" s="22"/>
    </row>
    <row r="407" ht="14.25" customHeight="1">
      <c r="A407" s="21"/>
      <c r="B407" s="22"/>
      <c r="C407" s="22"/>
    </row>
    <row r="408" ht="14.25" customHeight="1">
      <c r="A408" s="21"/>
      <c r="B408" s="22"/>
      <c r="C408" s="22"/>
    </row>
    <row r="409" ht="14.25" customHeight="1">
      <c r="A409" s="21"/>
      <c r="B409" s="22"/>
      <c r="C409" s="22"/>
    </row>
    <row r="410" ht="14.25" customHeight="1">
      <c r="A410" s="21"/>
      <c r="B410" s="22"/>
      <c r="C410" s="22"/>
    </row>
    <row r="411" ht="14.25" customHeight="1">
      <c r="A411" s="21"/>
      <c r="B411" s="22"/>
      <c r="C411" s="22"/>
    </row>
    <row r="412" ht="14.25" customHeight="1">
      <c r="A412" s="21"/>
      <c r="B412" s="22"/>
      <c r="C412" s="22"/>
    </row>
    <row r="413" ht="14.25" customHeight="1">
      <c r="A413" s="21"/>
      <c r="B413" s="22"/>
      <c r="C413" s="22"/>
    </row>
    <row r="414" ht="14.25" customHeight="1">
      <c r="A414" s="21"/>
      <c r="B414" s="22"/>
      <c r="C414" s="22"/>
    </row>
    <row r="415" ht="14.25" customHeight="1">
      <c r="A415" s="21"/>
      <c r="B415" s="22"/>
      <c r="C415" s="22"/>
    </row>
    <row r="416" ht="14.25" customHeight="1">
      <c r="A416" s="21"/>
      <c r="B416" s="22"/>
      <c r="C416" s="22"/>
    </row>
    <row r="417" ht="14.25" customHeight="1">
      <c r="A417" s="21"/>
      <c r="B417" s="22"/>
      <c r="C417" s="22"/>
    </row>
    <row r="418" ht="14.25" customHeight="1">
      <c r="A418" s="21"/>
      <c r="B418" s="22"/>
      <c r="C418" s="22"/>
    </row>
    <row r="419" ht="14.25" customHeight="1">
      <c r="A419" s="21"/>
      <c r="B419" s="22"/>
      <c r="C419" s="22"/>
    </row>
    <row r="420" ht="14.25" customHeight="1">
      <c r="A420" s="21"/>
      <c r="B420" s="22"/>
      <c r="C420" s="22"/>
    </row>
    <row r="421" ht="14.25" customHeight="1">
      <c r="A421" s="21"/>
      <c r="B421" s="22"/>
      <c r="C421" s="22"/>
    </row>
    <row r="422" ht="14.25" customHeight="1">
      <c r="A422" s="21"/>
      <c r="B422" s="22"/>
      <c r="C422" s="22"/>
    </row>
    <row r="423" ht="14.25" customHeight="1">
      <c r="A423" s="21"/>
      <c r="B423" s="22"/>
      <c r="C423" s="22"/>
    </row>
    <row r="424" ht="14.25" customHeight="1">
      <c r="A424" s="21"/>
      <c r="B424" s="22"/>
      <c r="C424" s="22"/>
    </row>
    <row r="425" ht="14.25" customHeight="1">
      <c r="A425" s="21"/>
      <c r="B425" s="22"/>
      <c r="C425" s="22"/>
    </row>
    <row r="426" ht="14.25" customHeight="1">
      <c r="A426" s="21"/>
      <c r="B426" s="22"/>
      <c r="C426" s="22"/>
    </row>
    <row r="427" ht="14.25" customHeight="1">
      <c r="A427" s="21"/>
      <c r="B427" s="22"/>
      <c r="C427" s="22"/>
    </row>
    <row r="428" ht="14.25" customHeight="1">
      <c r="A428" s="21"/>
      <c r="B428" s="22"/>
      <c r="C428" s="22"/>
    </row>
    <row r="429" ht="14.25" customHeight="1">
      <c r="A429" s="21"/>
      <c r="B429" s="22"/>
      <c r="C429" s="22"/>
    </row>
    <row r="430" ht="14.25" customHeight="1">
      <c r="A430" s="21"/>
      <c r="B430" s="22"/>
      <c r="C430" s="22"/>
    </row>
    <row r="431" ht="14.25" customHeight="1">
      <c r="A431" s="21"/>
      <c r="B431" s="22"/>
      <c r="C431" s="22"/>
    </row>
    <row r="432" ht="14.25" customHeight="1">
      <c r="A432" s="21"/>
      <c r="B432" s="22"/>
      <c r="C432" s="22"/>
    </row>
    <row r="433" ht="14.25" customHeight="1">
      <c r="A433" s="21"/>
      <c r="B433" s="22"/>
      <c r="C433" s="22"/>
    </row>
    <row r="434" ht="14.25" customHeight="1">
      <c r="A434" s="21"/>
      <c r="B434" s="22"/>
      <c r="C434" s="22"/>
    </row>
    <row r="435" ht="14.25" customHeight="1">
      <c r="A435" s="21"/>
      <c r="B435" s="22"/>
      <c r="C435" s="22"/>
    </row>
    <row r="436" ht="14.25" customHeight="1">
      <c r="A436" s="21"/>
      <c r="B436" s="22"/>
      <c r="C436" s="22"/>
    </row>
    <row r="437" ht="14.25" customHeight="1">
      <c r="A437" s="21"/>
      <c r="B437" s="22"/>
      <c r="C437" s="22"/>
    </row>
    <row r="438" ht="14.25" customHeight="1">
      <c r="A438" s="21"/>
      <c r="B438" s="22"/>
      <c r="C438" s="22"/>
    </row>
    <row r="439" ht="14.25" customHeight="1">
      <c r="A439" s="21"/>
      <c r="B439" s="22"/>
      <c r="C439" s="22"/>
    </row>
    <row r="440" ht="14.25" customHeight="1">
      <c r="A440" s="21"/>
      <c r="B440" s="22"/>
      <c r="C440" s="22"/>
    </row>
    <row r="441" ht="14.25" customHeight="1">
      <c r="A441" s="21"/>
      <c r="B441" s="22"/>
      <c r="C441" s="22"/>
    </row>
    <row r="442" ht="14.25" customHeight="1">
      <c r="A442" s="21"/>
      <c r="B442" s="22"/>
      <c r="C442" s="22"/>
    </row>
    <row r="443" ht="14.25" customHeight="1">
      <c r="A443" s="21"/>
      <c r="B443" s="22"/>
      <c r="C443" s="22"/>
    </row>
    <row r="444" ht="14.25" customHeight="1">
      <c r="A444" s="21"/>
      <c r="B444" s="22"/>
      <c r="C444" s="22"/>
    </row>
    <row r="445" ht="14.25" customHeight="1">
      <c r="A445" s="21"/>
      <c r="B445" s="22"/>
      <c r="C445" s="22"/>
    </row>
    <row r="446" ht="14.25" customHeight="1">
      <c r="A446" s="21"/>
      <c r="B446" s="22"/>
      <c r="C446" s="22"/>
    </row>
    <row r="447" ht="14.25" customHeight="1">
      <c r="A447" s="21"/>
      <c r="B447" s="22"/>
      <c r="C447" s="22"/>
    </row>
    <row r="448" ht="14.25" customHeight="1">
      <c r="A448" s="21"/>
      <c r="B448" s="22"/>
      <c r="C448" s="22"/>
    </row>
    <row r="449" ht="14.25" customHeight="1">
      <c r="A449" s="21"/>
      <c r="B449" s="22"/>
      <c r="C449" s="22"/>
    </row>
    <row r="450" ht="14.25" customHeight="1">
      <c r="A450" s="21"/>
      <c r="B450" s="22"/>
      <c r="C450" s="22"/>
    </row>
    <row r="451" ht="14.25" customHeight="1">
      <c r="A451" s="21"/>
      <c r="B451" s="22"/>
      <c r="C451" s="22"/>
    </row>
    <row r="452" ht="14.25" customHeight="1">
      <c r="A452" s="21"/>
      <c r="B452" s="22"/>
      <c r="C452" s="22"/>
    </row>
    <row r="453" ht="14.25" customHeight="1">
      <c r="A453" s="21"/>
      <c r="B453" s="22"/>
      <c r="C453" s="22"/>
    </row>
    <row r="454" ht="14.25" customHeight="1">
      <c r="A454" s="21"/>
      <c r="B454" s="22"/>
      <c r="C454" s="22"/>
    </row>
    <row r="455" ht="14.25" customHeight="1">
      <c r="A455" s="21"/>
      <c r="B455" s="22"/>
      <c r="C455" s="22"/>
    </row>
    <row r="456" ht="14.25" customHeight="1">
      <c r="A456" s="21"/>
      <c r="B456" s="22"/>
      <c r="C456" s="22"/>
    </row>
    <row r="457" ht="14.25" customHeight="1">
      <c r="A457" s="21"/>
      <c r="B457" s="22"/>
      <c r="C457" s="22"/>
    </row>
    <row r="458" ht="14.25" customHeight="1">
      <c r="A458" s="21"/>
      <c r="B458" s="22"/>
      <c r="C458" s="22"/>
    </row>
    <row r="459" ht="14.25" customHeight="1">
      <c r="A459" s="21"/>
      <c r="B459" s="22"/>
      <c r="C459" s="22"/>
    </row>
    <row r="460" ht="14.25" customHeight="1">
      <c r="A460" s="21"/>
      <c r="B460" s="22"/>
      <c r="C460" s="22"/>
    </row>
    <row r="461" ht="14.25" customHeight="1">
      <c r="A461" s="21"/>
      <c r="B461" s="22"/>
      <c r="C461" s="22"/>
    </row>
    <row r="462" ht="14.25" customHeight="1">
      <c r="A462" s="21"/>
      <c r="B462" s="22"/>
      <c r="C462" s="22"/>
    </row>
    <row r="463" ht="14.25" customHeight="1">
      <c r="A463" s="21"/>
      <c r="B463" s="22"/>
      <c r="C463" s="22"/>
    </row>
    <row r="464" ht="14.25" customHeight="1">
      <c r="A464" s="21"/>
      <c r="B464" s="22"/>
      <c r="C464" s="22"/>
    </row>
    <row r="465" ht="14.25" customHeight="1">
      <c r="A465" s="21"/>
      <c r="B465" s="22"/>
      <c r="C465" s="22"/>
    </row>
    <row r="466" ht="14.25" customHeight="1">
      <c r="A466" s="21"/>
      <c r="B466" s="22"/>
      <c r="C466" s="22"/>
    </row>
    <row r="467" ht="14.25" customHeight="1">
      <c r="A467" s="21"/>
      <c r="B467" s="22"/>
      <c r="C467" s="22"/>
    </row>
    <row r="468" ht="14.25" customHeight="1">
      <c r="A468" s="21"/>
      <c r="B468" s="22"/>
      <c r="C468" s="22"/>
    </row>
    <row r="469" ht="14.25" customHeight="1">
      <c r="A469" s="21"/>
      <c r="B469" s="22"/>
      <c r="C469" s="22"/>
    </row>
    <row r="470" ht="14.25" customHeight="1">
      <c r="A470" s="21"/>
      <c r="B470" s="22"/>
      <c r="C470" s="22"/>
    </row>
    <row r="471" ht="14.25" customHeight="1">
      <c r="A471" s="21"/>
      <c r="B471" s="22"/>
      <c r="C471" s="22"/>
    </row>
    <row r="472" ht="14.25" customHeight="1">
      <c r="A472" s="21"/>
      <c r="B472" s="22"/>
      <c r="C472" s="22"/>
    </row>
    <row r="473" ht="14.25" customHeight="1">
      <c r="A473" s="21"/>
      <c r="B473" s="22"/>
      <c r="C473" s="22"/>
    </row>
    <row r="474" ht="14.25" customHeight="1">
      <c r="A474" s="21"/>
      <c r="B474" s="22"/>
      <c r="C474" s="22"/>
    </row>
    <row r="475" ht="14.25" customHeight="1">
      <c r="A475" s="21"/>
      <c r="B475" s="22"/>
      <c r="C475" s="22"/>
    </row>
    <row r="476" ht="14.25" customHeight="1">
      <c r="A476" s="21"/>
      <c r="B476" s="22"/>
      <c r="C476" s="22"/>
    </row>
    <row r="477" ht="14.25" customHeight="1">
      <c r="A477" s="21"/>
      <c r="B477" s="22"/>
      <c r="C477" s="22"/>
    </row>
    <row r="478" ht="14.25" customHeight="1">
      <c r="A478" s="21"/>
      <c r="B478" s="22"/>
      <c r="C478" s="22"/>
    </row>
    <row r="479" ht="14.25" customHeight="1">
      <c r="A479" s="21"/>
      <c r="B479" s="22"/>
      <c r="C479" s="22"/>
    </row>
    <row r="480" ht="14.25" customHeight="1">
      <c r="A480" s="21"/>
      <c r="B480" s="22"/>
      <c r="C480" s="22"/>
    </row>
    <row r="481" ht="14.25" customHeight="1">
      <c r="A481" s="21"/>
      <c r="B481" s="22"/>
      <c r="C481" s="22"/>
    </row>
    <row r="482" ht="14.25" customHeight="1">
      <c r="A482" s="21"/>
      <c r="B482" s="22"/>
      <c r="C482" s="22"/>
    </row>
    <row r="483" ht="14.25" customHeight="1">
      <c r="A483" s="21"/>
      <c r="B483" s="22"/>
      <c r="C483" s="22"/>
    </row>
    <row r="484" ht="14.25" customHeight="1">
      <c r="A484" s="21"/>
      <c r="B484" s="22"/>
      <c r="C484" s="22"/>
    </row>
    <row r="485" ht="14.25" customHeight="1">
      <c r="A485" s="21"/>
      <c r="B485" s="22"/>
      <c r="C485" s="22"/>
    </row>
    <row r="486" ht="14.25" customHeight="1">
      <c r="A486" s="21"/>
      <c r="B486" s="22"/>
      <c r="C486" s="22"/>
    </row>
    <row r="487" ht="14.25" customHeight="1">
      <c r="A487" s="21"/>
      <c r="B487" s="22"/>
      <c r="C487" s="22"/>
    </row>
    <row r="488" ht="14.25" customHeight="1">
      <c r="A488" s="21"/>
      <c r="B488" s="22"/>
      <c r="C488" s="22"/>
    </row>
    <row r="489" ht="14.25" customHeight="1">
      <c r="A489" s="21"/>
      <c r="B489" s="22"/>
      <c r="C489" s="22"/>
    </row>
    <row r="490" ht="14.25" customHeight="1">
      <c r="A490" s="21"/>
      <c r="B490" s="22"/>
      <c r="C490" s="22"/>
    </row>
    <row r="491" ht="14.25" customHeight="1">
      <c r="A491" s="21"/>
      <c r="B491" s="22"/>
      <c r="C491" s="22"/>
    </row>
    <row r="492" ht="14.25" customHeight="1">
      <c r="A492" s="21"/>
      <c r="B492" s="22"/>
      <c r="C492" s="22"/>
    </row>
    <row r="493" ht="14.25" customHeight="1">
      <c r="A493" s="21"/>
      <c r="B493" s="22"/>
      <c r="C493" s="22"/>
    </row>
    <row r="494" ht="14.25" customHeight="1">
      <c r="A494" s="21"/>
      <c r="B494" s="22"/>
      <c r="C494" s="22"/>
    </row>
    <row r="495" ht="14.25" customHeight="1">
      <c r="A495" s="21"/>
      <c r="B495" s="22"/>
      <c r="C495" s="22"/>
    </row>
    <row r="496" ht="14.25" customHeight="1">
      <c r="A496" s="21"/>
      <c r="B496" s="22"/>
      <c r="C496" s="22"/>
    </row>
    <row r="497" ht="14.25" customHeight="1">
      <c r="A497" s="21"/>
      <c r="B497" s="22"/>
      <c r="C497" s="22"/>
    </row>
    <row r="498" ht="14.25" customHeight="1">
      <c r="A498" s="21"/>
      <c r="B498" s="22"/>
      <c r="C498" s="22"/>
    </row>
    <row r="499" ht="14.25" customHeight="1">
      <c r="A499" s="21"/>
      <c r="B499" s="22"/>
      <c r="C499" s="22"/>
    </row>
    <row r="500" ht="14.25" customHeight="1">
      <c r="A500" s="21"/>
      <c r="B500" s="22"/>
      <c r="C500" s="22"/>
    </row>
    <row r="501" ht="14.25" customHeight="1">
      <c r="A501" s="21"/>
      <c r="B501" s="22"/>
      <c r="C501" s="22"/>
    </row>
    <row r="502" ht="14.25" customHeight="1">
      <c r="A502" s="21"/>
      <c r="B502" s="22"/>
      <c r="C502" s="22"/>
    </row>
    <row r="503" ht="14.25" customHeight="1">
      <c r="A503" s="21"/>
      <c r="B503" s="22"/>
      <c r="C503" s="22"/>
    </row>
    <row r="504" ht="14.25" customHeight="1">
      <c r="A504" s="21"/>
      <c r="B504" s="22"/>
      <c r="C504" s="22"/>
    </row>
    <row r="505" ht="14.25" customHeight="1">
      <c r="A505" s="21"/>
      <c r="B505" s="22"/>
      <c r="C505" s="22"/>
    </row>
    <row r="506" ht="14.25" customHeight="1">
      <c r="A506" s="21"/>
      <c r="B506" s="22"/>
      <c r="C506" s="22"/>
    </row>
    <row r="507" ht="14.25" customHeight="1">
      <c r="A507" s="21"/>
      <c r="B507" s="22"/>
      <c r="C507" s="22"/>
    </row>
    <row r="508" ht="14.25" customHeight="1">
      <c r="A508" s="21"/>
      <c r="B508" s="22"/>
      <c r="C508" s="22"/>
    </row>
    <row r="509" ht="14.25" customHeight="1">
      <c r="A509" s="21"/>
      <c r="B509" s="22"/>
      <c r="C509" s="22"/>
    </row>
    <row r="510" ht="14.25" customHeight="1">
      <c r="A510" s="21"/>
      <c r="B510" s="22"/>
      <c r="C510" s="22"/>
    </row>
    <row r="511" ht="14.25" customHeight="1">
      <c r="A511" s="21"/>
      <c r="B511" s="22"/>
      <c r="C511" s="22"/>
    </row>
    <row r="512" ht="14.25" customHeight="1">
      <c r="A512" s="21"/>
      <c r="B512" s="22"/>
      <c r="C512" s="22"/>
    </row>
    <row r="513" ht="14.25" customHeight="1">
      <c r="A513" s="21"/>
      <c r="B513" s="22"/>
      <c r="C513" s="22"/>
    </row>
    <row r="514" ht="14.25" customHeight="1">
      <c r="A514" s="21"/>
      <c r="B514" s="22"/>
      <c r="C514" s="22"/>
    </row>
    <row r="515" ht="14.25" customHeight="1">
      <c r="A515" s="21"/>
      <c r="B515" s="22"/>
      <c r="C515" s="22"/>
    </row>
    <row r="516" ht="14.25" customHeight="1">
      <c r="A516" s="21"/>
      <c r="B516" s="22"/>
      <c r="C516" s="22"/>
    </row>
    <row r="517" ht="14.25" customHeight="1">
      <c r="A517" s="21"/>
      <c r="B517" s="22"/>
      <c r="C517" s="22"/>
    </row>
    <row r="518" ht="14.25" customHeight="1">
      <c r="A518" s="21"/>
      <c r="B518" s="22"/>
      <c r="C518" s="22"/>
    </row>
    <row r="519" ht="14.25" customHeight="1">
      <c r="A519" s="21"/>
      <c r="B519" s="22"/>
      <c r="C519" s="22"/>
    </row>
    <row r="520" ht="14.25" customHeight="1">
      <c r="A520" s="21"/>
      <c r="B520" s="22"/>
      <c r="C520" s="22"/>
    </row>
    <row r="521" ht="14.25" customHeight="1">
      <c r="A521" s="21"/>
      <c r="B521" s="22"/>
      <c r="C521" s="22"/>
    </row>
    <row r="522" ht="14.25" customHeight="1">
      <c r="A522" s="21"/>
      <c r="B522" s="22"/>
      <c r="C522" s="22"/>
    </row>
    <row r="523" ht="14.25" customHeight="1">
      <c r="A523" s="21"/>
      <c r="B523" s="22"/>
      <c r="C523" s="22"/>
    </row>
    <row r="524" ht="14.25" customHeight="1">
      <c r="A524" s="21"/>
      <c r="B524" s="22"/>
      <c r="C524" s="22"/>
    </row>
    <row r="525" ht="14.25" customHeight="1">
      <c r="A525" s="21"/>
      <c r="B525" s="22"/>
      <c r="C525" s="22"/>
    </row>
    <row r="526" ht="14.25" customHeight="1">
      <c r="A526" s="21"/>
      <c r="B526" s="22"/>
      <c r="C526" s="22"/>
    </row>
    <row r="527" ht="14.25" customHeight="1">
      <c r="A527" s="21"/>
      <c r="B527" s="22"/>
      <c r="C527" s="22"/>
    </row>
    <row r="528" ht="14.25" customHeight="1">
      <c r="A528" s="21"/>
      <c r="B528" s="22"/>
      <c r="C528" s="22"/>
    </row>
    <row r="529" ht="14.25" customHeight="1">
      <c r="A529" s="21"/>
      <c r="B529" s="22"/>
      <c r="C529" s="22"/>
    </row>
    <row r="530" ht="14.25" customHeight="1">
      <c r="A530" s="21"/>
      <c r="B530" s="22"/>
      <c r="C530" s="22"/>
    </row>
    <row r="531" ht="14.25" customHeight="1">
      <c r="A531" s="21"/>
      <c r="B531" s="22"/>
      <c r="C531" s="22"/>
    </row>
    <row r="532" ht="14.25" customHeight="1">
      <c r="A532" s="21"/>
      <c r="B532" s="22"/>
      <c r="C532" s="22"/>
    </row>
    <row r="533" ht="14.25" customHeight="1">
      <c r="A533" s="21"/>
      <c r="B533" s="22"/>
      <c r="C533" s="22"/>
    </row>
    <row r="534" ht="14.25" customHeight="1">
      <c r="A534" s="21"/>
      <c r="B534" s="22"/>
      <c r="C534" s="22"/>
    </row>
    <row r="535" ht="14.25" customHeight="1">
      <c r="A535" s="21"/>
      <c r="B535" s="22"/>
      <c r="C535" s="22"/>
    </row>
    <row r="536" ht="14.25" customHeight="1">
      <c r="A536" s="21"/>
      <c r="B536" s="22"/>
      <c r="C536" s="22"/>
    </row>
    <row r="537" ht="14.25" customHeight="1">
      <c r="A537" s="21"/>
      <c r="B537" s="22"/>
      <c r="C537" s="22"/>
    </row>
    <row r="538" ht="14.25" customHeight="1">
      <c r="A538" s="21"/>
      <c r="B538" s="22"/>
      <c r="C538" s="22"/>
    </row>
    <row r="539" ht="14.25" customHeight="1">
      <c r="A539" s="21"/>
      <c r="B539" s="22"/>
      <c r="C539" s="22"/>
    </row>
    <row r="540" ht="14.25" customHeight="1">
      <c r="A540" s="21"/>
      <c r="B540" s="22"/>
      <c r="C540" s="22"/>
    </row>
    <row r="541" ht="14.25" customHeight="1">
      <c r="A541" s="21"/>
      <c r="B541" s="22"/>
      <c r="C541" s="22"/>
    </row>
    <row r="542" ht="14.25" customHeight="1">
      <c r="A542" s="21"/>
      <c r="B542" s="22"/>
      <c r="C542" s="22"/>
    </row>
    <row r="543" ht="14.25" customHeight="1">
      <c r="A543" s="21"/>
      <c r="B543" s="22"/>
      <c r="C543" s="22"/>
    </row>
    <row r="544" ht="14.25" customHeight="1">
      <c r="A544" s="21"/>
      <c r="B544" s="22"/>
      <c r="C544" s="22"/>
    </row>
    <row r="545" ht="14.25" customHeight="1">
      <c r="A545" s="21"/>
      <c r="B545" s="22"/>
      <c r="C545" s="22"/>
    </row>
    <row r="546" ht="14.25" customHeight="1">
      <c r="A546" s="21"/>
      <c r="B546" s="22"/>
      <c r="C546" s="22"/>
    </row>
    <row r="547" ht="14.25" customHeight="1">
      <c r="A547" s="21"/>
      <c r="B547" s="22"/>
      <c r="C547" s="22"/>
    </row>
    <row r="548" ht="14.25" customHeight="1">
      <c r="A548" s="21"/>
      <c r="B548" s="22"/>
      <c r="C548" s="22"/>
    </row>
    <row r="549" ht="14.25" customHeight="1">
      <c r="A549" s="21"/>
      <c r="B549" s="22"/>
      <c r="C549" s="22"/>
    </row>
    <row r="550" ht="14.25" customHeight="1">
      <c r="A550" s="21"/>
      <c r="B550" s="22"/>
      <c r="C550" s="22"/>
    </row>
    <row r="551" ht="14.25" customHeight="1">
      <c r="A551" s="21"/>
      <c r="B551" s="22"/>
      <c r="C551" s="22"/>
    </row>
    <row r="552" ht="14.25" customHeight="1">
      <c r="A552" s="21"/>
      <c r="B552" s="22"/>
      <c r="C552" s="22"/>
    </row>
    <row r="553" ht="14.25" customHeight="1">
      <c r="A553" s="21"/>
      <c r="B553" s="22"/>
      <c r="C553" s="22"/>
    </row>
    <row r="554" ht="14.25" customHeight="1">
      <c r="A554" s="21"/>
      <c r="B554" s="22"/>
      <c r="C554" s="22"/>
    </row>
    <row r="555" ht="14.25" customHeight="1">
      <c r="A555" s="21"/>
      <c r="B555" s="22"/>
      <c r="C555" s="22"/>
    </row>
    <row r="556" ht="14.25" customHeight="1">
      <c r="A556" s="21"/>
      <c r="B556" s="22"/>
      <c r="C556" s="22"/>
    </row>
    <row r="557" ht="14.25" customHeight="1">
      <c r="A557" s="21"/>
      <c r="B557" s="22"/>
      <c r="C557" s="22"/>
    </row>
    <row r="558" ht="14.25" customHeight="1">
      <c r="A558" s="21"/>
      <c r="B558" s="22"/>
      <c r="C558" s="22"/>
    </row>
    <row r="559" ht="14.25" customHeight="1">
      <c r="A559" s="21"/>
      <c r="B559" s="22"/>
      <c r="C559" s="22"/>
    </row>
    <row r="560" ht="14.25" customHeight="1">
      <c r="A560" s="21"/>
      <c r="B560" s="22"/>
      <c r="C560" s="22"/>
    </row>
    <row r="561" ht="14.25" customHeight="1">
      <c r="A561" s="21"/>
      <c r="B561" s="22"/>
      <c r="C561" s="22"/>
    </row>
    <row r="562" ht="14.25" customHeight="1">
      <c r="A562" s="21"/>
      <c r="B562" s="22"/>
      <c r="C562" s="22"/>
    </row>
    <row r="563" ht="14.25" customHeight="1">
      <c r="A563" s="21"/>
      <c r="B563" s="22"/>
      <c r="C563" s="22"/>
    </row>
    <row r="564" ht="14.25" customHeight="1">
      <c r="A564" s="21"/>
      <c r="B564" s="22"/>
      <c r="C564" s="22"/>
    </row>
    <row r="565" ht="14.25" customHeight="1">
      <c r="A565" s="21"/>
      <c r="B565" s="22"/>
      <c r="C565" s="22"/>
    </row>
    <row r="566" ht="14.25" customHeight="1">
      <c r="A566" s="21"/>
      <c r="B566" s="22"/>
      <c r="C566" s="22"/>
    </row>
    <row r="567" ht="14.25" customHeight="1">
      <c r="A567" s="21"/>
      <c r="B567" s="22"/>
      <c r="C567" s="22"/>
    </row>
    <row r="568" ht="14.25" customHeight="1">
      <c r="A568" s="21"/>
      <c r="B568" s="22"/>
      <c r="C568" s="22"/>
    </row>
    <row r="569" ht="14.25" customHeight="1">
      <c r="A569" s="21"/>
      <c r="B569" s="22"/>
      <c r="C569" s="22"/>
    </row>
    <row r="570" ht="14.25" customHeight="1">
      <c r="A570" s="21"/>
      <c r="B570" s="22"/>
      <c r="C570" s="22"/>
    </row>
    <row r="571" ht="14.25" customHeight="1">
      <c r="A571" s="21"/>
      <c r="B571" s="22"/>
      <c r="C571" s="22"/>
    </row>
    <row r="572" ht="14.25" customHeight="1">
      <c r="A572" s="21"/>
      <c r="B572" s="22"/>
      <c r="C572" s="22"/>
    </row>
    <row r="573" ht="14.25" customHeight="1">
      <c r="A573" s="21"/>
      <c r="B573" s="22"/>
      <c r="C573" s="22"/>
    </row>
    <row r="574" ht="14.25" customHeight="1">
      <c r="A574" s="21"/>
      <c r="B574" s="22"/>
      <c r="C574" s="22"/>
    </row>
    <row r="575" ht="14.25" customHeight="1">
      <c r="A575" s="21"/>
      <c r="B575" s="22"/>
      <c r="C575" s="22"/>
    </row>
    <row r="576" ht="14.25" customHeight="1">
      <c r="A576" s="21"/>
      <c r="B576" s="22"/>
      <c r="C576" s="22"/>
    </row>
    <row r="577" ht="14.25" customHeight="1">
      <c r="A577" s="21"/>
      <c r="B577" s="22"/>
      <c r="C577" s="22"/>
    </row>
    <row r="578" ht="14.25" customHeight="1">
      <c r="A578" s="21"/>
      <c r="B578" s="22"/>
      <c r="C578" s="22"/>
    </row>
    <row r="579" ht="14.25" customHeight="1">
      <c r="A579" s="21"/>
      <c r="B579" s="22"/>
      <c r="C579" s="22"/>
    </row>
    <row r="580" ht="14.25" customHeight="1">
      <c r="A580" s="21"/>
      <c r="B580" s="22"/>
      <c r="C580" s="22"/>
    </row>
    <row r="581" ht="14.25" customHeight="1">
      <c r="A581" s="21"/>
      <c r="B581" s="22"/>
      <c r="C581" s="22"/>
    </row>
    <row r="582" ht="14.25" customHeight="1">
      <c r="A582" s="21"/>
      <c r="B582" s="22"/>
      <c r="C582" s="22"/>
    </row>
    <row r="583" ht="14.25" customHeight="1">
      <c r="A583" s="21"/>
      <c r="B583" s="22"/>
      <c r="C583" s="22"/>
    </row>
    <row r="584" ht="14.25" customHeight="1">
      <c r="A584" s="21"/>
      <c r="B584" s="22"/>
      <c r="C584" s="22"/>
    </row>
    <row r="585" ht="14.25" customHeight="1">
      <c r="A585" s="21"/>
      <c r="B585" s="22"/>
      <c r="C585" s="22"/>
    </row>
    <row r="586" ht="14.25" customHeight="1">
      <c r="A586" s="21"/>
      <c r="B586" s="22"/>
      <c r="C586" s="22"/>
    </row>
    <row r="587" ht="14.25" customHeight="1">
      <c r="A587" s="21"/>
      <c r="B587" s="22"/>
      <c r="C587" s="22"/>
    </row>
    <row r="588" ht="14.25" customHeight="1">
      <c r="A588" s="21"/>
      <c r="B588" s="22"/>
      <c r="C588" s="22"/>
    </row>
    <row r="589" ht="14.25" customHeight="1">
      <c r="A589" s="21"/>
      <c r="B589" s="22"/>
      <c r="C589" s="22"/>
    </row>
    <row r="590" ht="14.25" customHeight="1">
      <c r="A590" s="21"/>
      <c r="B590" s="22"/>
      <c r="C590" s="22"/>
    </row>
    <row r="591" ht="14.25" customHeight="1">
      <c r="A591" s="21"/>
      <c r="B591" s="22"/>
      <c r="C591" s="22"/>
    </row>
    <row r="592" ht="14.25" customHeight="1">
      <c r="A592" s="21"/>
      <c r="B592" s="22"/>
      <c r="C592" s="22"/>
    </row>
    <row r="593" ht="14.25" customHeight="1">
      <c r="A593" s="21"/>
      <c r="B593" s="22"/>
      <c r="C593" s="22"/>
    </row>
    <row r="594" ht="14.25" customHeight="1">
      <c r="A594" s="21"/>
      <c r="B594" s="22"/>
      <c r="C594" s="22"/>
    </row>
    <row r="595" ht="14.25" customHeight="1">
      <c r="A595" s="21"/>
      <c r="B595" s="22"/>
      <c r="C595" s="22"/>
    </row>
    <row r="596" ht="14.25" customHeight="1">
      <c r="A596" s="21"/>
      <c r="B596" s="22"/>
      <c r="C596" s="22"/>
    </row>
    <row r="597" ht="14.25" customHeight="1">
      <c r="A597" s="21"/>
      <c r="B597" s="22"/>
      <c r="C597" s="22"/>
    </row>
    <row r="598" ht="14.25" customHeight="1">
      <c r="A598" s="21"/>
      <c r="B598" s="22"/>
      <c r="C598" s="22"/>
    </row>
    <row r="599" ht="14.25" customHeight="1">
      <c r="A599" s="21"/>
      <c r="B599" s="22"/>
      <c r="C599" s="22"/>
    </row>
    <row r="600" ht="14.25" customHeight="1">
      <c r="A600" s="21"/>
      <c r="B600" s="22"/>
      <c r="C600" s="22"/>
    </row>
    <row r="601" ht="14.25" customHeight="1">
      <c r="A601" s="21"/>
      <c r="B601" s="22"/>
      <c r="C601" s="22"/>
    </row>
    <row r="602" ht="14.25" customHeight="1">
      <c r="A602" s="21"/>
      <c r="B602" s="22"/>
      <c r="C602" s="22"/>
    </row>
    <row r="603" ht="14.25" customHeight="1">
      <c r="A603" s="21"/>
      <c r="B603" s="22"/>
      <c r="C603" s="22"/>
    </row>
    <row r="604" ht="14.25" customHeight="1">
      <c r="A604" s="21"/>
      <c r="B604" s="22"/>
      <c r="C604" s="22"/>
    </row>
    <row r="605" ht="14.25" customHeight="1">
      <c r="A605" s="21"/>
      <c r="B605" s="22"/>
      <c r="C605" s="22"/>
    </row>
    <row r="606" ht="14.25" customHeight="1">
      <c r="A606" s="21"/>
      <c r="B606" s="22"/>
      <c r="C606" s="22"/>
    </row>
    <row r="607" ht="14.25" customHeight="1">
      <c r="A607" s="21"/>
      <c r="B607" s="22"/>
      <c r="C607" s="22"/>
    </row>
    <row r="608" ht="14.25" customHeight="1">
      <c r="A608" s="21"/>
      <c r="B608" s="22"/>
      <c r="C608" s="22"/>
    </row>
    <row r="609" ht="14.25" customHeight="1">
      <c r="A609" s="21"/>
      <c r="B609" s="22"/>
      <c r="C609" s="22"/>
    </row>
    <row r="610" ht="14.25" customHeight="1">
      <c r="A610" s="21"/>
      <c r="B610" s="22"/>
      <c r="C610" s="22"/>
    </row>
    <row r="611" ht="14.25" customHeight="1">
      <c r="A611" s="21"/>
      <c r="B611" s="22"/>
      <c r="C611" s="22"/>
    </row>
    <row r="612" ht="14.25" customHeight="1">
      <c r="A612" s="21"/>
      <c r="B612" s="22"/>
      <c r="C612" s="22"/>
    </row>
    <row r="613" ht="14.25" customHeight="1">
      <c r="A613" s="21"/>
      <c r="B613" s="22"/>
      <c r="C613" s="22"/>
    </row>
    <row r="614" ht="14.25" customHeight="1">
      <c r="A614" s="21"/>
      <c r="B614" s="22"/>
      <c r="C614" s="22"/>
    </row>
    <row r="615" ht="14.25" customHeight="1">
      <c r="A615" s="21"/>
      <c r="B615" s="22"/>
      <c r="C615" s="22"/>
    </row>
    <row r="616" ht="14.25" customHeight="1">
      <c r="A616" s="21"/>
      <c r="B616" s="22"/>
      <c r="C616" s="22"/>
    </row>
    <row r="617" ht="14.25" customHeight="1">
      <c r="A617" s="21"/>
      <c r="B617" s="22"/>
      <c r="C617" s="22"/>
    </row>
    <row r="618" ht="14.25" customHeight="1">
      <c r="A618" s="21"/>
      <c r="B618" s="22"/>
      <c r="C618" s="22"/>
    </row>
    <row r="619" ht="14.25" customHeight="1">
      <c r="A619" s="21"/>
      <c r="B619" s="22"/>
      <c r="C619" s="22"/>
    </row>
    <row r="620" ht="14.25" customHeight="1">
      <c r="A620" s="21"/>
      <c r="B620" s="22"/>
      <c r="C620" s="22"/>
    </row>
    <row r="621" ht="14.25" customHeight="1">
      <c r="A621" s="21"/>
      <c r="B621" s="22"/>
      <c r="C621" s="22"/>
    </row>
    <row r="622" ht="14.25" customHeight="1">
      <c r="A622" s="21"/>
      <c r="B622" s="22"/>
      <c r="C622" s="22"/>
    </row>
    <row r="623" ht="14.25" customHeight="1">
      <c r="A623" s="21"/>
      <c r="B623" s="22"/>
      <c r="C623" s="22"/>
    </row>
    <row r="624" ht="14.25" customHeight="1">
      <c r="A624" s="21"/>
      <c r="B624" s="22"/>
      <c r="C624" s="22"/>
    </row>
    <row r="625" ht="14.25" customHeight="1">
      <c r="A625" s="21"/>
      <c r="B625" s="22"/>
      <c r="C625" s="22"/>
    </row>
    <row r="626" ht="14.25" customHeight="1">
      <c r="A626" s="21"/>
      <c r="B626" s="22"/>
      <c r="C626" s="22"/>
    </row>
    <row r="627" ht="14.25" customHeight="1">
      <c r="A627" s="21"/>
      <c r="B627" s="22"/>
      <c r="C627" s="22"/>
    </row>
    <row r="628" ht="14.25" customHeight="1">
      <c r="A628" s="21"/>
      <c r="B628" s="22"/>
      <c r="C628" s="22"/>
    </row>
    <row r="629" ht="14.25" customHeight="1">
      <c r="A629" s="21"/>
      <c r="B629" s="22"/>
      <c r="C629" s="22"/>
    </row>
    <row r="630" ht="14.25" customHeight="1">
      <c r="A630" s="21"/>
      <c r="B630" s="22"/>
      <c r="C630" s="22"/>
    </row>
    <row r="631" ht="14.25" customHeight="1">
      <c r="A631" s="21"/>
      <c r="B631" s="22"/>
      <c r="C631" s="22"/>
    </row>
    <row r="632" ht="14.25" customHeight="1">
      <c r="A632" s="21"/>
      <c r="B632" s="22"/>
      <c r="C632" s="22"/>
    </row>
    <row r="633" ht="14.25" customHeight="1">
      <c r="A633" s="21"/>
      <c r="B633" s="22"/>
      <c r="C633" s="22"/>
    </row>
    <row r="634" ht="14.25" customHeight="1">
      <c r="A634" s="21"/>
      <c r="B634" s="22"/>
      <c r="C634" s="22"/>
    </row>
    <row r="635" ht="14.25" customHeight="1">
      <c r="A635" s="21"/>
      <c r="B635" s="22"/>
      <c r="C635" s="22"/>
    </row>
    <row r="636" ht="14.25" customHeight="1">
      <c r="A636" s="21"/>
      <c r="B636" s="22"/>
      <c r="C636" s="22"/>
    </row>
    <row r="637" ht="14.25" customHeight="1">
      <c r="A637" s="21"/>
      <c r="B637" s="22"/>
      <c r="C637" s="22"/>
    </row>
    <row r="638" ht="14.25" customHeight="1">
      <c r="A638" s="21"/>
      <c r="B638" s="22"/>
      <c r="C638" s="22"/>
    </row>
    <row r="639" ht="14.25" customHeight="1">
      <c r="A639" s="21"/>
      <c r="B639" s="22"/>
      <c r="C639" s="22"/>
    </row>
    <row r="640" ht="14.25" customHeight="1">
      <c r="A640" s="21"/>
      <c r="B640" s="22"/>
      <c r="C640" s="22"/>
    </row>
    <row r="641" ht="14.25" customHeight="1">
      <c r="A641" s="21"/>
      <c r="B641" s="22"/>
      <c r="C641" s="22"/>
    </row>
    <row r="642" ht="14.25" customHeight="1">
      <c r="A642" s="21"/>
      <c r="B642" s="22"/>
      <c r="C642" s="22"/>
    </row>
    <row r="643" ht="14.25" customHeight="1">
      <c r="A643" s="21"/>
      <c r="B643" s="22"/>
      <c r="C643" s="22"/>
    </row>
    <row r="644" ht="14.25" customHeight="1">
      <c r="A644" s="21"/>
      <c r="B644" s="22"/>
      <c r="C644" s="22"/>
    </row>
    <row r="645" ht="14.25" customHeight="1">
      <c r="A645" s="21"/>
      <c r="B645" s="22"/>
      <c r="C645" s="22"/>
    </row>
    <row r="646" ht="14.25" customHeight="1">
      <c r="A646" s="21"/>
      <c r="B646" s="22"/>
      <c r="C646" s="22"/>
    </row>
    <row r="647" ht="14.25" customHeight="1">
      <c r="A647" s="21"/>
      <c r="B647" s="22"/>
      <c r="C647" s="22"/>
    </row>
    <row r="648" ht="14.25" customHeight="1">
      <c r="A648" s="21"/>
      <c r="B648" s="22"/>
      <c r="C648" s="22"/>
    </row>
    <row r="649" ht="14.25" customHeight="1">
      <c r="A649" s="21"/>
      <c r="B649" s="22"/>
      <c r="C649" s="22"/>
    </row>
    <row r="650" ht="14.25" customHeight="1">
      <c r="A650" s="21"/>
      <c r="B650" s="22"/>
      <c r="C650" s="22"/>
    </row>
    <row r="651" ht="14.25" customHeight="1">
      <c r="A651" s="21"/>
      <c r="B651" s="22"/>
      <c r="C651" s="22"/>
    </row>
    <row r="652" ht="14.25" customHeight="1">
      <c r="A652" s="21"/>
      <c r="B652" s="22"/>
      <c r="C652" s="22"/>
    </row>
    <row r="653" ht="14.25" customHeight="1">
      <c r="A653" s="21"/>
      <c r="B653" s="22"/>
      <c r="C653" s="22"/>
    </row>
    <row r="654" ht="14.25" customHeight="1">
      <c r="A654" s="21"/>
      <c r="B654" s="22"/>
      <c r="C654" s="22"/>
    </row>
    <row r="655" ht="14.25" customHeight="1">
      <c r="A655" s="21"/>
      <c r="B655" s="22"/>
      <c r="C655" s="22"/>
    </row>
    <row r="656" ht="14.25" customHeight="1">
      <c r="A656" s="21"/>
      <c r="B656" s="22"/>
      <c r="C656" s="22"/>
    </row>
    <row r="657" ht="14.25" customHeight="1">
      <c r="A657" s="21"/>
      <c r="B657" s="22"/>
      <c r="C657" s="22"/>
    </row>
    <row r="658" ht="14.25" customHeight="1">
      <c r="A658" s="21"/>
      <c r="B658" s="22"/>
      <c r="C658" s="22"/>
    </row>
    <row r="659" ht="14.25" customHeight="1">
      <c r="A659" s="21"/>
      <c r="B659" s="22"/>
      <c r="C659" s="22"/>
    </row>
    <row r="660" ht="14.25" customHeight="1">
      <c r="A660" s="21"/>
      <c r="B660" s="22"/>
      <c r="C660" s="22"/>
    </row>
    <row r="661" ht="14.25" customHeight="1">
      <c r="A661" s="21"/>
      <c r="B661" s="22"/>
      <c r="C661" s="22"/>
    </row>
    <row r="662" ht="14.25" customHeight="1">
      <c r="A662" s="21"/>
      <c r="B662" s="22"/>
      <c r="C662" s="22"/>
    </row>
    <row r="663" ht="14.25" customHeight="1">
      <c r="A663" s="21"/>
      <c r="B663" s="22"/>
      <c r="C663" s="22"/>
    </row>
    <row r="664" ht="14.25" customHeight="1">
      <c r="A664" s="21"/>
      <c r="B664" s="22"/>
      <c r="C664" s="22"/>
    </row>
    <row r="665" ht="14.25" customHeight="1">
      <c r="A665" s="21"/>
      <c r="B665" s="22"/>
      <c r="C665" s="22"/>
    </row>
    <row r="666" ht="14.25" customHeight="1">
      <c r="A666" s="21"/>
      <c r="B666" s="22"/>
      <c r="C666" s="22"/>
    </row>
    <row r="667" ht="14.25" customHeight="1">
      <c r="A667" s="21"/>
      <c r="B667" s="22"/>
      <c r="C667" s="22"/>
    </row>
    <row r="668" ht="14.25" customHeight="1">
      <c r="A668" s="21"/>
      <c r="B668" s="22"/>
      <c r="C668" s="22"/>
    </row>
    <row r="669" ht="14.25" customHeight="1">
      <c r="A669" s="21"/>
      <c r="B669" s="22"/>
      <c r="C669" s="22"/>
    </row>
    <row r="670" ht="14.25" customHeight="1">
      <c r="A670" s="21"/>
      <c r="B670" s="22"/>
      <c r="C670" s="22"/>
    </row>
    <row r="671" ht="14.25" customHeight="1">
      <c r="A671" s="21"/>
      <c r="B671" s="22"/>
      <c r="C671" s="22"/>
    </row>
    <row r="672" ht="14.25" customHeight="1">
      <c r="A672" s="21"/>
      <c r="B672" s="22"/>
      <c r="C672" s="22"/>
    </row>
    <row r="673" ht="14.25" customHeight="1">
      <c r="A673" s="21"/>
      <c r="B673" s="22"/>
      <c r="C673" s="22"/>
    </row>
    <row r="674" ht="14.25" customHeight="1">
      <c r="A674" s="21"/>
      <c r="B674" s="22"/>
      <c r="C674" s="22"/>
    </row>
    <row r="675" ht="14.25" customHeight="1">
      <c r="A675" s="21"/>
      <c r="B675" s="22"/>
      <c r="C675" s="22"/>
    </row>
    <row r="676" ht="14.25" customHeight="1">
      <c r="A676" s="21"/>
      <c r="B676" s="22"/>
      <c r="C676" s="22"/>
    </row>
    <row r="677" ht="14.25" customHeight="1">
      <c r="A677" s="21"/>
      <c r="B677" s="22"/>
      <c r="C677" s="22"/>
    </row>
    <row r="678" ht="14.25" customHeight="1">
      <c r="A678" s="21"/>
      <c r="B678" s="22"/>
      <c r="C678" s="22"/>
    </row>
    <row r="679" ht="14.25" customHeight="1">
      <c r="A679" s="21"/>
      <c r="B679" s="22"/>
      <c r="C679" s="22"/>
    </row>
    <row r="680" ht="14.25" customHeight="1">
      <c r="A680" s="21"/>
      <c r="B680" s="22"/>
      <c r="C680" s="22"/>
    </row>
    <row r="681" ht="14.25" customHeight="1">
      <c r="A681" s="21"/>
      <c r="B681" s="22"/>
      <c r="C681" s="22"/>
    </row>
    <row r="682" ht="14.25" customHeight="1">
      <c r="A682" s="21"/>
      <c r="B682" s="22"/>
      <c r="C682" s="22"/>
    </row>
    <row r="683" ht="14.25" customHeight="1">
      <c r="A683" s="21"/>
      <c r="B683" s="22"/>
      <c r="C683" s="22"/>
    </row>
    <row r="684" ht="14.25" customHeight="1">
      <c r="A684" s="21"/>
      <c r="B684" s="22"/>
      <c r="C684" s="22"/>
    </row>
    <row r="685" ht="14.25" customHeight="1">
      <c r="A685" s="21"/>
      <c r="B685" s="22"/>
      <c r="C685" s="22"/>
    </row>
    <row r="686" ht="14.25" customHeight="1">
      <c r="A686" s="21"/>
      <c r="B686" s="22"/>
      <c r="C686" s="22"/>
    </row>
    <row r="687" ht="14.25" customHeight="1">
      <c r="A687" s="21"/>
      <c r="B687" s="22"/>
      <c r="C687" s="22"/>
    </row>
    <row r="688" ht="14.25" customHeight="1">
      <c r="A688" s="21"/>
      <c r="B688" s="22"/>
      <c r="C688" s="22"/>
    </row>
    <row r="689" ht="14.25" customHeight="1">
      <c r="A689" s="21"/>
      <c r="B689" s="22"/>
      <c r="C689" s="22"/>
    </row>
    <row r="690" ht="14.25" customHeight="1">
      <c r="A690" s="21"/>
      <c r="B690" s="22"/>
      <c r="C690" s="22"/>
    </row>
    <row r="691" ht="14.25" customHeight="1">
      <c r="A691" s="21"/>
      <c r="B691" s="22"/>
      <c r="C691" s="22"/>
    </row>
    <row r="692" ht="14.25" customHeight="1">
      <c r="A692" s="21"/>
      <c r="B692" s="22"/>
      <c r="C692" s="22"/>
    </row>
    <row r="693" ht="14.25" customHeight="1">
      <c r="A693" s="21"/>
      <c r="B693" s="22"/>
      <c r="C693" s="22"/>
    </row>
    <row r="694" ht="14.25" customHeight="1">
      <c r="A694" s="21"/>
      <c r="B694" s="22"/>
      <c r="C694" s="22"/>
    </row>
    <row r="695" ht="14.25" customHeight="1">
      <c r="A695" s="21"/>
      <c r="B695" s="22"/>
      <c r="C695" s="22"/>
    </row>
    <row r="696" ht="14.25" customHeight="1">
      <c r="A696" s="21"/>
      <c r="B696" s="22"/>
      <c r="C696" s="22"/>
    </row>
    <row r="697" ht="14.25" customHeight="1">
      <c r="A697" s="21"/>
      <c r="B697" s="22"/>
      <c r="C697" s="22"/>
    </row>
    <row r="698" ht="14.25" customHeight="1">
      <c r="A698" s="21"/>
      <c r="B698" s="22"/>
      <c r="C698" s="22"/>
    </row>
    <row r="699" ht="14.25" customHeight="1">
      <c r="A699" s="21"/>
      <c r="B699" s="22"/>
      <c r="C699" s="22"/>
    </row>
    <row r="700" ht="14.25" customHeight="1">
      <c r="A700" s="21"/>
      <c r="B700" s="22"/>
      <c r="C700" s="22"/>
    </row>
    <row r="701" ht="14.25" customHeight="1">
      <c r="A701" s="21"/>
      <c r="B701" s="22"/>
      <c r="C701" s="22"/>
    </row>
    <row r="702" ht="14.25" customHeight="1">
      <c r="A702" s="21"/>
      <c r="B702" s="22"/>
      <c r="C702" s="22"/>
    </row>
    <row r="703" ht="14.25" customHeight="1">
      <c r="A703" s="21"/>
      <c r="B703" s="22"/>
      <c r="C703" s="22"/>
    </row>
    <row r="704" ht="14.25" customHeight="1">
      <c r="A704" s="21"/>
      <c r="B704" s="22"/>
      <c r="C704" s="22"/>
    </row>
    <row r="705" ht="14.25" customHeight="1">
      <c r="A705" s="21"/>
      <c r="B705" s="22"/>
      <c r="C705" s="22"/>
    </row>
    <row r="706" ht="14.25" customHeight="1">
      <c r="A706" s="21"/>
      <c r="B706" s="22"/>
      <c r="C706" s="22"/>
    </row>
    <row r="707" ht="14.25" customHeight="1">
      <c r="A707" s="21"/>
      <c r="B707" s="22"/>
      <c r="C707" s="22"/>
    </row>
    <row r="708" ht="14.25" customHeight="1">
      <c r="A708" s="21"/>
      <c r="B708" s="22"/>
      <c r="C708" s="22"/>
    </row>
    <row r="709" ht="14.25" customHeight="1">
      <c r="A709" s="21"/>
      <c r="B709" s="22"/>
      <c r="C709" s="22"/>
    </row>
    <row r="710" ht="14.25" customHeight="1">
      <c r="A710" s="21"/>
      <c r="B710" s="22"/>
      <c r="C710" s="22"/>
    </row>
    <row r="711" ht="14.25" customHeight="1">
      <c r="A711" s="21"/>
      <c r="B711" s="22"/>
      <c r="C711" s="22"/>
    </row>
    <row r="712" ht="14.25" customHeight="1">
      <c r="A712" s="21"/>
      <c r="B712" s="22"/>
      <c r="C712" s="22"/>
    </row>
    <row r="713" ht="14.25" customHeight="1">
      <c r="A713" s="21"/>
      <c r="B713" s="22"/>
      <c r="C713" s="22"/>
    </row>
    <row r="714" ht="14.25" customHeight="1">
      <c r="A714" s="21"/>
      <c r="B714" s="22"/>
      <c r="C714" s="22"/>
    </row>
    <row r="715" ht="14.25" customHeight="1">
      <c r="A715" s="21"/>
      <c r="B715" s="22"/>
      <c r="C715" s="22"/>
    </row>
    <row r="716" ht="14.25" customHeight="1">
      <c r="A716" s="21"/>
      <c r="B716" s="22"/>
      <c r="C716" s="22"/>
    </row>
    <row r="717" ht="14.25" customHeight="1">
      <c r="A717" s="21"/>
      <c r="B717" s="22"/>
      <c r="C717" s="22"/>
    </row>
    <row r="718" ht="14.25" customHeight="1">
      <c r="A718" s="21"/>
      <c r="B718" s="22"/>
      <c r="C718" s="22"/>
    </row>
    <row r="719" ht="14.25" customHeight="1">
      <c r="A719" s="21"/>
      <c r="B719" s="22"/>
      <c r="C719" s="22"/>
    </row>
    <row r="720" ht="14.25" customHeight="1">
      <c r="A720" s="21"/>
      <c r="B720" s="22"/>
      <c r="C720" s="22"/>
    </row>
    <row r="721" ht="14.25" customHeight="1">
      <c r="A721" s="21"/>
      <c r="B721" s="22"/>
      <c r="C721" s="22"/>
    </row>
    <row r="722" ht="14.25" customHeight="1">
      <c r="A722" s="21"/>
      <c r="B722" s="22"/>
      <c r="C722" s="22"/>
    </row>
    <row r="723" ht="14.25" customHeight="1">
      <c r="A723" s="21"/>
      <c r="B723" s="22"/>
      <c r="C723" s="22"/>
    </row>
    <row r="724" ht="14.25" customHeight="1">
      <c r="A724" s="21"/>
      <c r="B724" s="22"/>
      <c r="C724" s="22"/>
    </row>
    <row r="725" ht="14.25" customHeight="1">
      <c r="A725" s="21"/>
      <c r="B725" s="22"/>
      <c r="C725" s="22"/>
    </row>
    <row r="726" ht="14.25" customHeight="1">
      <c r="A726" s="21"/>
      <c r="B726" s="22"/>
      <c r="C726" s="22"/>
    </row>
    <row r="727" ht="14.25" customHeight="1">
      <c r="A727" s="21"/>
      <c r="B727" s="22"/>
      <c r="C727" s="22"/>
    </row>
    <row r="728" ht="14.25" customHeight="1">
      <c r="A728" s="21"/>
      <c r="B728" s="22"/>
      <c r="C728" s="22"/>
    </row>
    <row r="729" ht="14.25" customHeight="1">
      <c r="A729" s="21"/>
      <c r="B729" s="22"/>
      <c r="C729" s="22"/>
    </row>
    <row r="730" ht="14.25" customHeight="1">
      <c r="A730" s="21"/>
      <c r="B730" s="22"/>
      <c r="C730" s="22"/>
    </row>
    <row r="731" ht="14.25" customHeight="1">
      <c r="A731" s="21"/>
      <c r="B731" s="22"/>
      <c r="C731" s="22"/>
    </row>
    <row r="732" ht="14.25" customHeight="1">
      <c r="A732" s="21"/>
      <c r="B732" s="22"/>
      <c r="C732" s="22"/>
    </row>
    <row r="733" ht="14.25" customHeight="1">
      <c r="A733" s="21"/>
      <c r="B733" s="22"/>
      <c r="C733" s="22"/>
    </row>
    <row r="734" ht="14.25" customHeight="1">
      <c r="A734" s="21"/>
      <c r="B734" s="22"/>
      <c r="C734" s="22"/>
    </row>
    <row r="735" ht="14.25" customHeight="1">
      <c r="A735" s="21"/>
      <c r="B735" s="22"/>
      <c r="C735" s="22"/>
    </row>
    <row r="736" ht="14.25" customHeight="1">
      <c r="A736" s="21"/>
      <c r="B736" s="22"/>
      <c r="C736" s="22"/>
    </row>
    <row r="737" ht="14.25" customHeight="1">
      <c r="A737" s="21"/>
      <c r="B737" s="22"/>
      <c r="C737" s="22"/>
    </row>
    <row r="738" ht="14.25" customHeight="1">
      <c r="A738" s="21"/>
      <c r="B738" s="22"/>
      <c r="C738" s="22"/>
    </row>
    <row r="739" ht="14.25" customHeight="1">
      <c r="A739" s="21"/>
      <c r="B739" s="22"/>
      <c r="C739" s="22"/>
    </row>
    <row r="740" ht="14.25" customHeight="1">
      <c r="A740" s="21"/>
      <c r="B740" s="22"/>
      <c r="C740" s="22"/>
    </row>
    <row r="741" ht="14.25" customHeight="1">
      <c r="A741" s="21"/>
      <c r="B741" s="22"/>
      <c r="C741" s="22"/>
    </row>
    <row r="742" ht="14.25" customHeight="1">
      <c r="A742" s="21"/>
      <c r="B742" s="22"/>
      <c r="C742" s="22"/>
    </row>
    <row r="743" ht="14.25" customHeight="1">
      <c r="A743" s="21"/>
      <c r="B743" s="22"/>
      <c r="C743" s="22"/>
    </row>
    <row r="744" ht="14.25" customHeight="1">
      <c r="A744" s="21"/>
      <c r="B744" s="22"/>
      <c r="C744" s="22"/>
    </row>
    <row r="745" ht="14.25" customHeight="1">
      <c r="A745" s="21"/>
      <c r="B745" s="22"/>
      <c r="C745" s="22"/>
    </row>
    <row r="746" ht="14.25" customHeight="1">
      <c r="A746" s="21"/>
      <c r="B746" s="22"/>
      <c r="C746" s="22"/>
    </row>
    <row r="747" ht="14.25" customHeight="1">
      <c r="A747" s="21"/>
      <c r="B747" s="22"/>
      <c r="C747" s="22"/>
    </row>
    <row r="748" ht="14.25" customHeight="1">
      <c r="A748" s="21"/>
      <c r="B748" s="22"/>
      <c r="C748" s="22"/>
    </row>
    <row r="749" ht="14.25" customHeight="1">
      <c r="A749" s="21"/>
      <c r="B749" s="22"/>
      <c r="C749" s="22"/>
    </row>
    <row r="750" ht="14.25" customHeight="1">
      <c r="A750" s="21"/>
      <c r="B750" s="22"/>
      <c r="C750" s="22"/>
    </row>
    <row r="751" ht="14.25" customHeight="1">
      <c r="A751" s="21"/>
      <c r="B751" s="22"/>
      <c r="C751" s="22"/>
    </row>
    <row r="752" ht="14.25" customHeight="1">
      <c r="A752" s="21"/>
      <c r="B752" s="22"/>
      <c r="C752" s="22"/>
    </row>
    <row r="753" ht="14.25" customHeight="1">
      <c r="A753" s="21"/>
      <c r="B753" s="22"/>
      <c r="C753" s="22"/>
    </row>
    <row r="754" ht="14.25" customHeight="1">
      <c r="A754" s="21"/>
      <c r="B754" s="22"/>
      <c r="C754" s="22"/>
    </row>
    <row r="755" ht="14.25" customHeight="1">
      <c r="A755" s="21"/>
      <c r="B755" s="22"/>
      <c r="C755" s="22"/>
    </row>
    <row r="756" ht="14.25" customHeight="1">
      <c r="A756" s="21"/>
      <c r="B756" s="22"/>
      <c r="C756" s="22"/>
    </row>
    <row r="757" ht="14.25" customHeight="1">
      <c r="A757" s="21"/>
      <c r="B757" s="22"/>
      <c r="C757" s="22"/>
    </row>
    <row r="758" ht="14.25" customHeight="1">
      <c r="A758" s="21"/>
      <c r="B758" s="22"/>
      <c r="C758" s="22"/>
    </row>
    <row r="759" ht="14.25" customHeight="1">
      <c r="A759" s="21"/>
      <c r="B759" s="22"/>
      <c r="C759" s="22"/>
    </row>
    <row r="760" ht="14.25" customHeight="1">
      <c r="A760" s="21"/>
      <c r="B760" s="22"/>
      <c r="C760" s="22"/>
    </row>
    <row r="761" ht="14.25" customHeight="1">
      <c r="A761" s="21"/>
      <c r="B761" s="22"/>
      <c r="C761" s="22"/>
    </row>
    <row r="762" ht="14.25" customHeight="1">
      <c r="A762" s="21"/>
      <c r="B762" s="22"/>
      <c r="C762" s="22"/>
    </row>
    <row r="763" ht="14.25" customHeight="1">
      <c r="A763" s="21"/>
      <c r="B763" s="22"/>
      <c r="C763" s="22"/>
    </row>
    <row r="764" ht="14.25" customHeight="1">
      <c r="A764" s="21"/>
      <c r="B764" s="22"/>
      <c r="C764" s="22"/>
    </row>
    <row r="765" ht="14.25" customHeight="1">
      <c r="A765" s="21"/>
      <c r="B765" s="22"/>
      <c r="C765" s="22"/>
    </row>
    <row r="766" ht="14.25" customHeight="1">
      <c r="A766" s="21"/>
      <c r="B766" s="22"/>
      <c r="C766" s="22"/>
    </row>
    <row r="767" ht="14.25" customHeight="1">
      <c r="A767" s="21"/>
      <c r="B767" s="22"/>
      <c r="C767" s="22"/>
    </row>
    <row r="768" ht="14.25" customHeight="1">
      <c r="A768" s="21"/>
      <c r="B768" s="22"/>
      <c r="C768" s="22"/>
    </row>
    <row r="769" ht="14.25" customHeight="1">
      <c r="A769" s="21"/>
      <c r="B769" s="22"/>
      <c r="C769" s="22"/>
    </row>
    <row r="770" ht="14.25" customHeight="1">
      <c r="A770" s="21"/>
      <c r="B770" s="22"/>
      <c r="C770" s="22"/>
    </row>
    <row r="771" ht="14.25" customHeight="1">
      <c r="A771" s="21"/>
      <c r="B771" s="22"/>
      <c r="C771" s="22"/>
    </row>
    <row r="772" ht="14.25" customHeight="1">
      <c r="A772" s="21"/>
      <c r="B772" s="22"/>
      <c r="C772" s="22"/>
    </row>
    <row r="773" ht="14.25" customHeight="1">
      <c r="A773" s="21"/>
      <c r="B773" s="22"/>
      <c r="C773" s="22"/>
    </row>
    <row r="774" ht="14.25" customHeight="1">
      <c r="A774" s="21"/>
      <c r="B774" s="22"/>
      <c r="C774" s="22"/>
    </row>
    <row r="775" ht="14.25" customHeight="1">
      <c r="A775" s="21"/>
      <c r="B775" s="22"/>
      <c r="C775" s="22"/>
    </row>
    <row r="776" ht="14.25" customHeight="1">
      <c r="A776" s="21"/>
      <c r="B776" s="22"/>
      <c r="C776" s="22"/>
    </row>
    <row r="777" ht="14.25" customHeight="1">
      <c r="A777" s="21"/>
      <c r="B777" s="22"/>
      <c r="C777" s="22"/>
    </row>
    <row r="778" ht="14.25" customHeight="1">
      <c r="A778" s="21"/>
      <c r="B778" s="22"/>
      <c r="C778" s="22"/>
    </row>
    <row r="779" ht="14.25" customHeight="1">
      <c r="A779" s="21"/>
      <c r="B779" s="22"/>
      <c r="C779" s="22"/>
    </row>
    <row r="780" ht="14.25" customHeight="1">
      <c r="A780" s="21"/>
      <c r="B780" s="22"/>
      <c r="C780" s="22"/>
    </row>
    <row r="781" ht="14.25" customHeight="1">
      <c r="A781" s="21"/>
      <c r="B781" s="22"/>
      <c r="C781" s="22"/>
    </row>
    <row r="782" ht="14.25" customHeight="1">
      <c r="A782" s="21"/>
      <c r="B782" s="22"/>
      <c r="C782" s="22"/>
    </row>
    <row r="783" ht="14.25" customHeight="1">
      <c r="A783" s="21"/>
      <c r="B783" s="22"/>
      <c r="C783" s="22"/>
    </row>
    <row r="784" ht="14.25" customHeight="1">
      <c r="A784" s="21"/>
      <c r="B784" s="22"/>
      <c r="C784" s="22"/>
    </row>
    <row r="785" ht="14.25" customHeight="1">
      <c r="A785" s="21"/>
      <c r="B785" s="22"/>
      <c r="C785" s="22"/>
    </row>
    <row r="786" ht="14.25" customHeight="1">
      <c r="A786" s="21"/>
      <c r="B786" s="22"/>
      <c r="C786" s="22"/>
    </row>
    <row r="787" ht="14.25" customHeight="1">
      <c r="A787" s="21"/>
      <c r="B787" s="22"/>
      <c r="C787" s="22"/>
    </row>
    <row r="788" ht="14.25" customHeight="1">
      <c r="A788" s="21"/>
      <c r="B788" s="22"/>
      <c r="C788" s="22"/>
    </row>
    <row r="789" ht="14.25" customHeight="1">
      <c r="A789" s="21"/>
      <c r="B789" s="22"/>
      <c r="C789" s="22"/>
    </row>
    <row r="790" ht="14.25" customHeight="1">
      <c r="A790" s="21"/>
      <c r="B790" s="22"/>
      <c r="C790" s="22"/>
    </row>
    <row r="791" ht="14.25" customHeight="1">
      <c r="A791" s="21"/>
      <c r="B791" s="22"/>
      <c r="C791" s="22"/>
    </row>
    <row r="792" ht="14.25" customHeight="1">
      <c r="A792" s="21"/>
      <c r="B792" s="22"/>
      <c r="C792" s="22"/>
    </row>
    <row r="793" ht="14.25" customHeight="1">
      <c r="A793" s="21"/>
      <c r="B793" s="22"/>
      <c r="C793" s="22"/>
    </row>
    <row r="794" ht="14.25" customHeight="1">
      <c r="A794" s="21"/>
      <c r="B794" s="22"/>
      <c r="C794" s="22"/>
    </row>
    <row r="795" ht="14.25" customHeight="1">
      <c r="A795" s="21"/>
      <c r="B795" s="22"/>
      <c r="C795" s="22"/>
    </row>
    <row r="796" ht="14.25" customHeight="1">
      <c r="A796" s="21"/>
      <c r="B796" s="22"/>
      <c r="C796" s="22"/>
    </row>
    <row r="797" ht="14.25" customHeight="1">
      <c r="A797" s="21"/>
      <c r="B797" s="22"/>
      <c r="C797" s="22"/>
    </row>
    <row r="798" ht="14.25" customHeight="1">
      <c r="A798" s="21"/>
      <c r="B798" s="22"/>
      <c r="C798" s="22"/>
    </row>
    <row r="799" ht="14.25" customHeight="1">
      <c r="A799" s="21"/>
      <c r="B799" s="22"/>
      <c r="C799" s="22"/>
    </row>
    <row r="800" ht="14.25" customHeight="1">
      <c r="A800" s="21"/>
      <c r="B800" s="22"/>
      <c r="C800" s="22"/>
    </row>
    <row r="801" ht="14.25" customHeight="1">
      <c r="A801" s="21"/>
      <c r="B801" s="22"/>
      <c r="C801" s="22"/>
    </row>
    <row r="802" ht="14.25" customHeight="1">
      <c r="A802" s="21"/>
      <c r="B802" s="22"/>
      <c r="C802" s="22"/>
    </row>
    <row r="803" ht="14.25" customHeight="1">
      <c r="A803" s="21"/>
      <c r="B803" s="22"/>
      <c r="C803" s="22"/>
    </row>
    <row r="804" ht="14.25" customHeight="1">
      <c r="A804" s="21"/>
      <c r="B804" s="22"/>
      <c r="C804" s="22"/>
    </row>
    <row r="805" ht="14.25" customHeight="1">
      <c r="A805" s="21"/>
      <c r="B805" s="22"/>
      <c r="C805" s="22"/>
    </row>
    <row r="806" ht="14.25" customHeight="1">
      <c r="A806" s="21"/>
      <c r="B806" s="22"/>
      <c r="C806" s="22"/>
    </row>
    <row r="807" ht="14.25" customHeight="1">
      <c r="A807" s="21"/>
      <c r="B807" s="22"/>
      <c r="C807" s="22"/>
    </row>
    <row r="808" ht="14.25" customHeight="1">
      <c r="A808" s="21"/>
      <c r="B808" s="22"/>
      <c r="C808" s="22"/>
    </row>
    <row r="809" ht="14.25" customHeight="1">
      <c r="A809" s="21"/>
      <c r="B809" s="22"/>
      <c r="C809" s="22"/>
    </row>
    <row r="810" ht="14.25" customHeight="1">
      <c r="A810" s="21"/>
      <c r="B810" s="22"/>
      <c r="C810" s="22"/>
    </row>
    <row r="811" ht="14.25" customHeight="1">
      <c r="A811" s="21"/>
      <c r="B811" s="22"/>
      <c r="C811" s="22"/>
    </row>
    <row r="812" ht="14.25" customHeight="1">
      <c r="A812" s="21"/>
      <c r="B812" s="22"/>
      <c r="C812" s="22"/>
    </row>
    <row r="813" ht="14.25" customHeight="1">
      <c r="A813" s="21"/>
      <c r="B813" s="22"/>
      <c r="C813" s="22"/>
    </row>
    <row r="814" ht="14.25" customHeight="1">
      <c r="A814" s="21"/>
      <c r="B814" s="22"/>
      <c r="C814" s="22"/>
    </row>
    <row r="815" ht="14.25" customHeight="1">
      <c r="A815" s="21"/>
      <c r="B815" s="22"/>
      <c r="C815" s="22"/>
    </row>
    <row r="816" ht="14.25" customHeight="1">
      <c r="A816" s="21"/>
      <c r="B816" s="22"/>
      <c r="C816" s="22"/>
    </row>
    <row r="817" ht="14.25" customHeight="1">
      <c r="A817" s="21"/>
      <c r="B817" s="22"/>
      <c r="C817" s="22"/>
    </row>
    <row r="818" ht="14.25" customHeight="1">
      <c r="A818" s="21"/>
      <c r="B818" s="22"/>
      <c r="C818" s="22"/>
    </row>
    <row r="819" ht="14.25" customHeight="1">
      <c r="A819" s="21"/>
      <c r="B819" s="22"/>
      <c r="C819" s="22"/>
    </row>
    <row r="820" ht="14.25" customHeight="1">
      <c r="A820" s="21"/>
      <c r="B820" s="22"/>
      <c r="C820" s="22"/>
    </row>
    <row r="821" ht="14.25" customHeight="1">
      <c r="A821" s="21"/>
      <c r="B821" s="22"/>
      <c r="C821" s="22"/>
    </row>
    <row r="822" ht="14.25" customHeight="1">
      <c r="A822" s="21"/>
      <c r="B822" s="22"/>
      <c r="C822" s="22"/>
    </row>
    <row r="823" ht="14.25" customHeight="1">
      <c r="A823" s="21"/>
      <c r="B823" s="22"/>
      <c r="C823" s="22"/>
    </row>
    <row r="824" ht="14.25" customHeight="1">
      <c r="A824" s="21"/>
      <c r="B824" s="22"/>
      <c r="C824" s="22"/>
    </row>
    <row r="825" ht="14.25" customHeight="1">
      <c r="A825" s="21"/>
      <c r="B825" s="22"/>
      <c r="C825" s="22"/>
    </row>
    <row r="826" ht="14.25" customHeight="1">
      <c r="A826" s="21"/>
      <c r="B826" s="22"/>
      <c r="C826" s="22"/>
    </row>
    <row r="827" ht="14.25" customHeight="1">
      <c r="A827" s="21"/>
      <c r="B827" s="22"/>
      <c r="C827" s="22"/>
    </row>
    <row r="828" ht="14.25" customHeight="1">
      <c r="A828" s="21"/>
      <c r="B828" s="22"/>
      <c r="C828" s="22"/>
    </row>
    <row r="829" ht="14.25" customHeight="1">
      <c r="A829" s="21"/>
      <c r="B829" s="22"/>
      <c r="C829" s="22"/>
    </row>
    <row r="830" ht="14.25" customHeight="1">
      <c r="A830" s="21"/>
      <c r="B830" s="22"/>
      <c r="C830" s="22"/>
    </row>
    <row r="831" ht="14.25" customHeight="1">
      <c r="A831" s="21"/>
      <c r="B831" s="22"/>
      <c r="C831" s="22"/>
    </row>
    <row r="832" ht="14.25" customHeight="1">
      <c r="A832" s="21"/>
      <c r="B832" s="22"/>
      <c r="C832" s="22"/>
    </row>
    <row r="833" ht="14.25" customHeight="1">
      <c r="A833" s="21"/>
      <c r="B833" s="22"/>
      <c r="C833" s="22"/>
    </row>
    <row r="834" ht="14.25" customHeight="1">
      <c r="A834" s="21"/>
      <c r="B834" s="22"/>
      <c r="C834" s="22"/>
    </row>
    <row r="835" ht="14.25" customHeight="1">
      <c r="A835" s="21"/>
      <c r="B835" s="22"/>
      <c r="C835" s="22"/>
    </row>
    <row r="836" ht="14.25" customHeight="1">
      <c r="A836" s="21"/>
      <c r="B836" s="22"/>
      <c r="C836" s="22"/>
    </row>
    <row r="837" ht="14.25" customHeight="1">
      <c r="A837" s="21"/>
      <c r="B837" s="22"/>
      <c r="C837" s="22"/>
    </row>
    <row r="838" ht="14.25" customHeight="1">
      <c r="A838" s="21"/>
      <c r="B838" s="22"/>
      <c r="C838" s="22"/>
    </row>
    <row r="839" ht="14.25" customHeight="1">
      <c r="A839" s="21"/>
      <c r="B839" s="22"/>
      <c r="C839" s="22"/>
    </row>
    <row r="840" ht="14.25" customHeight="1">
      <c r="A840" s="21"/>
      <c r="B840" s="22"/>
      <c r="C840" s="22"/>
    </row>
    <row r="841" ht="14.25" customHeight="1">
      <c r="A841" s="21"/>
      <c r="B841" s="22"/>
      <c r="C841" s="22"/>
    </row>
    <row r="842" ht="14.25" customHeight="1">
      <c r="A842" s="21"/>
      <c r="B842" s="22"/>
      <c r="C842" s="22"/>
    </row>
    <row r="843" ht="14.25" customHeight="1">
      <c r="A843" s="21"/>
      <c r="B843" s="22"/>
      <c r="C843" s="22"/>
    </row>
    <row r="844" ht="14.25" customHeight="1">
      <c r="A844" s="21"/>
      <c r="B844" s="22"/>
      <c r="C844" s="22"/>
    </row>
    <row r="845" ht="14.25" customHeight="1">
      <c r="A845" s="21"/>
      <c r="B845" s="22"/>
      <c r="C845" s="22"/>
    </row>
    <row r="846" ht="14.25" customHeight="1">
      <c r="A846" s="21"/>
      <c r="B846" s="22"/>
      <c r="C846" s="22"/>
    </row>
    <row r="847" ht="14.25" customHeight="1">
      <c r="A847" s="21"/>
      <c r="B847" s="22"/>
      <c r="C847" s="22"/>
    </row>
    <row r="848" ht="14.25" customHeight="1">
      <c r="A848" s="21"/>
      <c r="B848" s="22"/>
      <c r="C848" s="22"/>
    </row>
    <row r="849" ht="14.25" customHeight="1">
      <c r="A849" s="21"/>
      <c r="B849" s="22"/>
      <c r="C849" s="22"/>
    </row>
    <row r="850" ht="14.25" customHeight="1">
      <c r="A850" s="21"/>
      <c r="B850" s="22"/>
      <c r="C850" s="22"/>
    </row>
    <row r="851" ht="14.25" customHeight="1">
      <c r="A851" s="21"/>
      <c r="B851" s="22"/>
      <c r="C851" s="22"/>
    </row>
    <row r="852" ht="14.25" customHeight="1">
      <c r="A852" s="21"/>
      <c r="B852" s="22"/>
      <c r="C852" s="22"/>
    </row>
    <row r="853" ht="14.25" customHeight="1">
      <c r="A853" s="21"/>
      <c r="B853" s="22"/>
      <c r="C853" s="22"/>
    </row>
    <row r="854" ht="14.25" customHeight="1">
      <c r="A854" s="21"/>
      <c r="B854" s="22"/>
      <c r="C854" s="22"/>
    </row>
    <row r="855" ht="14.25" customHeight="1">
      <c r="A855" s="21"/>
      <c r="B855" s="22"/>
      <c r="C855" s="22"/>
    </row>
    <row r="856" ht="14.25" customHeight="1">
      <c r="A856" s="21"/>
      <c r="B856" s="22"/>
      <c r="C856" s="22"/>
    </row>
    <row r="857" ht="14.25" customHeight="1">
      <c r="A857" s="21"/>
      <c r="B857" s="22"/>
      <c r="C857" s="22"/>
    </row>
    <row r="858" ht="14.25" customHeight="1">
      <c r="A858" s="21"/>
      <c r="B858" s="22"/>
      <c r="C858" s="22"/>
    </row>
    <row r="859" ht="14.25" customHeight="1">
      <c r="A859" s="21"/>
      <c r="B859" s="22"/>
      <c r="C859" s="22"/>
    </row>
    <row r="860" ht="14.25" customHeight="1">
      <c r="A860" s="21"/>
      <c r="B860" s="22"/>
      <c r="C860" s="22"/>
    </row>
    <row r="861" ht="14.25" customHeight="1">
      <c r="A861" s="21"/>
      <c r="B861" s="22"/>
      <c r="C861" s="22"/>
    </row>
    <row r="862" ht="14.25" customHeight="1">
      <c r="A862" s="21"/>
      <c r="B862" s="22"/>
      <c r="C862" s="22"/>
    </row>
    <row r="863" ht="14.25" customHeight="1">
      <c r="A863" s="21"/>
      <c r="B863" s="22"/>
      <c r="C863" s="22"/>
    </row>
    <row r="864" ht="14.25" customHeight="1">
      <c r="A864" s="21"/>
      <c r="B864" s="22"/>
      <c r="C864" s="22"/>
    </row>
    <row r="865" ht="14.25" customHeight="1">
      <c r="A865" s="21"/>
      <c r="B865" s="22"/>
      <c r="C865" s="22"/>
    </row>
    <row r="866" ht="14.25" customHeight="1">
      <c r="A866" s="21"/>
      <c r="B866" s="22"/>
      <c r="C866" s="22"/>
    </row>
    <row r="867" ht="14.25" customHeight="1">
      <c r="A867" s="21"/>
      <c r="B867" s="22"/>
      <c r="C867" s="22"/>
    </row>
    <row r="868" ht="14.25" customHeight="1">
      <c r="A868" s="21"/>
      <c r="B868" s="22"/>
      <c r="C868" s="22"/>
    </row>
    <row r="869" ht="14.25" customHeight="1">
      <c r="A869" s="21"/>
      <c r="B869" s="22"/>
      <c r="C869" s="22"/>
    </row>
    <row r="870" ht="14.25" customHeight="1">
      <c r="A870" s="21"/>
      <c r="B870" s="22"/>
      <c r="C870" s="22"/>
    </row>
    <row r="871" ht="14.25" customHeight="1">
      <c r="A871" s="21"/>
      <c r="B871" s="22"/>
      <c r="C871" s="22"/>
    </row>
    <row r="872" ht="14.25" customHeight="1">
      <c r="A872" s="21"/>
      <c r="B872" s="22"/>
      <c r="C872" s="22"/>
    </row>
    <row r="873" ht="14.25" customHeight="1">
      <c r="A873" s="21"/>
      <c r="B873" s="22"/>
      <c r="C873" s="22"/>
    </row>
    <row r="874" ht="14.25" customHeight="1">
      <c r="A874" s="21"/>
      <c r="B874" s="22"/>
      <c r="C874" s="22"/>
    </row>
    <row r="875" ht="14.25" customHeight="1">
      <c r="A875" s="21"/>
      <c r="B875" s="22"/>
      <c r="C875" s="22"/>
    </row>
    <row r="876" ht="14.25" customHeight="1">
      <c r="A876" s="21"/>
      <c r="B876" s="22"/>
      <c r="C876" s="22"/>
    </row>
    <row r="877" ht="14.25" customHeight="1">
      <c r="A877" s="21"/>
      <c r="B877" s="22"/>
      <c r="C877" s="22"/>
    </row>
    <row r="878" ht="14.25" customHeight="1">
      <c r="A878" s="21"/>
      <c r="B878" s="22"/>
      <c r="C878" s="22"/>
    </row>
    <row r="879" ht="14.25" customHeight="1">
      <c r="A879" s="21"/>
      <c r="B879" s="22"/>
      <c r="C879" s="22"/>
    </row>
    <row r="880" ht="14.25" customHeight="1">
      <c r="A880" s="21"/>
      <c r="B880" s="22"/>
      <c r="C880" s="22"/>
    </row>
    <row r="881" ht="14.25" customHeight="1">
      <c r="A881" s="21"/>
      <c r="B881" s="22"/>
      <c r="C881" s="22"/>
    </row>
    <row r="882" ht="14.25" customHeight="1">
      <c r="A882" s="21"/>
      <c r="B882" s="22"/>
      <c r="C882" s="22"/>
    </row>
    <row r="883" ht="14.25" customHeight="1">
      <c r="A883" s="21"/>
      <c r="B883" s="22"/>
      <c r="C883" s="22"/>
    </row>
    <row r="884" ht="14.25" customHeight="1">
      <c r="A884" s="21"/>
      <c r="B884" s="22"/>
      <c r="C884" s="22"/>
    </row>
    <row r="885" ht="14.25" customHeight="1">
      <c r="A885" s="21"/>
      <c r="B885" s="22"/>
      <c r="C885" s="22"/>
    </row>
    <row r="886" ht="14.25" customHeight="1">
      <c r="A886" s="21"/>
      <c r="B886" s="22"/>
      <c r="C886" s="22"/>
    </row>
    <row r="887" ht="14.25" customHeight="1">
      <c r="A887" s="21"/>
      <c r="B887" s="22"/>
      <c r="C887" s="22"/>
    </row>
    <row r="888" ht="14.25" customHeight="1">
      <c r="A888" s="21"/>
      <c r="B888" s="22"/>
      <c r="C888" s="22"/>
    </row>
    <row r="889" ht="14.25" customHeight="1">
      <c r="A889" s="21"/>
      <c r="B889" s="22"/>
      <c r="C889" s="22"/>
    </row>
    <row r="890" ht="14.25" customHeight="1">
      <c r="A890" s="21"/>
      <c r="B890" s="22"/>
      <c r="C890" s="22"/>
    </row>
    <row r="891" ht="14.25" customHeight="1">
      <c r="A891" s="21"/>
      <c r="B891" s="22"/>
      <c r="C891" s="22"/>
    </row>
    <row r="892" ht="14.25" customHeight="1">
      <c r="A892" s="21"/>
      <c r="B892" s="22"/>
      <c r="C892" s="22"/>
    </row>
    <row r="893" ht="14.25" customHeight="1">
      <c r="A893" s="21"/>
      <c r="B893" s="22"/>
      <c r="C893" s="22"/>
    </row>
    <row r="894" ht="14.25" customHeight="1">
      <c r="A894" s="21"/>
      <c r="B894" s="22"/>
      <c r="C894" s="22"/>
    </row>
    <row r="895" ht="14.25" customHeight="1">
      <c r="A895" s="21"/>
      <c r="B895" s="22"/>
      <c r="C895" s="22"/>
    </row>
    <row r="896" ht="14.25" customHeight="1">
      <c r="A896" s="21"/>
      <c r="B896" s="22"/>
      <c r="C896" s="22"/>
    </row>
    <row r="897" ht="14.25" customHeight="1">
      <c r="A897" s="21"/>
      <c r="B897" s="22"/>
      <c r="C897" s="22"/>
    </row>
    <row r="898" ht="14.25" customHeight="1">
      <c r="A898" s="21"/>
      <c r="B898" s="22"/>
      <c r="C898" s="22"/>
    </row>
    <row r="899" ht="14.25" customHeight="1">
      <c r="A899" s="21"/>
      <c r="B899" s="22"/>
      <c r="C899" s="22"/>
    </row>
    <row r="900" ht="14.25" customHeight="1">
      <c r="A900" s="21"/>
      <c r="B900" s="22"/>
      <c r="C900" s="22"/>
    </row>
    <row r="901" ht="14.25" customHeight="1">
      <c r="A901" s="21"/>
      <c r="B901" s="22"/>
      <c r="C901" s="22"/>
    </row>
    <row r="902" ht="14.25" customHeight="1">
      <c r="A902" s="21"/>
      <c r="B902" s="22"/>
      <c r="C902" s="22"/>
    </row>
    <row r="903" ht="14.25" customHeight="1">
      <c r="A903" s="21"/>
      <c r="B903" s="22"/>
      <c r="C903" s="22"/>
    </row>
    <row r="904" ht="14.25" customHeight="1">
      <c r="A904" s="21"/>
      <c r="B904" s="22"/>
      <c r="C904" s="22"/>
    </row>
    <row r="905" ht="14.25" customHeight="1">
      <c r="A905" s="21"/>
      <c r="B905" s="22"/>
      <c r="C905" s="22"/>
    </row>
    <row r="906" ht="14.25" customHeight="1">
      <c r="A906" s="21"/>
      <c r="B906" s="22"/>
      <c r="C906" s="22"/>
    </row>
    <row r="907" ht="14.25" customHeight="1">
      <c r="A907" s="21"/>
      <c r="B907" s="22"/>
      <c r="C907" s="22"/>
    </row>
    <row r="908" ht="14.25" customHeight="1">
      <c r="A908" s="21"/>
      <c r="B908" s="22"/>
      <c r="C908" s="22"/>
    </row>
    <row r="909" ht="14.25" customHeight="1">
      <c r="A909" s="21"/>
      <c r="B909" s="22"/>
      <c r="C909" s="22"/>
    </row>
    <row r="910" ht="14.25" customHeight="1">
      <c r="A910" s="21"/>
      <c r="B910" s="22"/>
      <c r="C910" s="22"/>
    </row>
    <row r="911" ht="14.25" customHeight="1">
      <c r="A911" s="21"/>
      <c r="B911" s="22"/>
      <c r="C911" s="22"/>
    </row>
    <row r="912" ht="14.25" customHeight="1">
      <c r="A912" s="21"/>
      <c r="B912" s="22"/>
      <c r="C912" s="22"/>
    </row>
    <row r="913" ht="14.25" customHeight="1">
      <c r="A913" s="21"/>
      <c r="B913" s="22"/>
      <c r="C913" s="22"/>
    </row>
    <row r="914" ht="14.25" customHeight="1">
      <c r="A914" s="21"/>
      <c r="B914" s="22"/>
      <c r="C914" s="22"/>
    </row>
    <row r="915" ht="14.25" customHeight="1">
      <c r="A915" s="21"/>
      <c r="B915" s="22"/>
      <c r="C915" s="22"/>
    </row>
    <row r="916" ht="14.25" customHeight="1">
      <c r="A916" s="21"/>
      <c r="B916" s="22"/>
      <c r="C916" s="22"/>
    </row>
    <row r="917" ht="14.25" customHeight="1">
      <c r="A917" s="21"/>
      <c r="B917" s="22"/>
      <c r="C917" s="22"/>
    </row>
    <row r="918" ht="14.25" customHeight="1">
      <c r="A918" s="21"/>
      <c r="B918" s="22"/>
      <c r="C918" s="22"/>
    </row>
    <row r="919" ht="14.25" customHeight="1">
      <c r="A919" s="21"/>
      <c r="B919" s="22"/>
      <c r="C919" s="22"/>
    </row>
    <row r="920" ht="14.25" customHeight="1">
      <c r="A920" s="21"/>
      <c r="B920" s="22"/>
      <c r="C920" s="22"/>
    </row>
    <row r="921" ht="14.25" customHeight="1">
      <c r="A921" s="21"/>
      <c r="B921" s="22"/>
      <c r="C921" s="22"/>
    </row>
    <row r="922" ht="14.25" customHeight="1">
      <c r="A922" s="21"/>
      <c r="B922" s="22"/>
      <c r="C922" s="22"/>
    </row>
    <row r="923" ht="14.25" customHeight="1">
      <c r="A923" s="21"/>
      <c r="B923" s="22"/>
      <c r="C923" s="22"/>
    </row>
    <row r="924" ht="14.25" customHeight="1">
      <c r="A924" s="21"/>
      <c r="B924" s="22"/>
      <c r="C924" s="22"/>
    </row>
    <row r="925" ht="14.25" customHeight="1">
      <c r="A925" s="21"/>
      <c r="B925" s="22"/>
      <c r="C925" s="22"/>
    </row>
    <row r="926" ht="14.25" customHeight="1">
      <c r="A926" s="21"/>
      <c r="B926" s="22"/>
      <c r="C926" s="22"/>
    </row>
    <row r="927" ht="14.25" customHeight="1">
      <c r="A927" s="21"/>
      <c r="B927" s="22"/>
      <c r="C927" s="22"/>
    </row>
    <row r="928" ht="14.25" customHeight="1">
      <c r="A928" s="21"/>
      <c r="B928" s="22"/>
      <c r="C928" s="22"/>
    </row>
    <row r="929" ht="14.25" customHeight="1">
      <c r="A929" s="21"/>
      <c r="B929" s="22"/>
      <c r="C929" s="22"/>
    </row>
    <row r="930" ht="14.25" customHeight="1">
      <c r="A930" s="21"/>
      <c r="B930" s="22"/>
      <c r="C930" s="22"/>
    </row>
    <row r="931" ht="14.25" customHeight="1">
      <c r="A931" s="21"/>
      <c r="B931" s="22"/>
      <c r="C931" s="22"/>
    </row>
    <row r="932" ht="14.25" customHeight="1">
      <c r="A932" s="21"/>
      <c r="B932" s="22"/>
      <c r="C932" s="22"/>
    </row>
    <row r="933" ht="14.25" customHeight="1">
      <c r="A933" s="21"/>
      <c r="B933" s="22"/>
      <c r="C933" s="22"/>
    </row>
    <row r="934" ht="14.25" customHeight="1">
      <c r="A934" s="21"/>
      <c r="B934" s="22"/>
      <c r="C934" s="22"/>
    </row>
    <row r="935" ht="14.25" customHeight="1">
      <c r="A935" s="21"/>
      <c r="B935" s="22"/>
      <c r="C935" s="22"/>
    </row>
    <row r="936" ht="14.25" customHeight="1">
      <c r="A936" s="21"/>
      <c r="B936" s="22"/>
      <c r="C936" s="22"/>
    </row>
    <row r="937" ht="14.25" customHeight="1">
      <c r="A937" s="21"/>
      <c r="B937" s="22"/>
      <c r="C937" s="22"/>
    </row>
    <row r="938" ht="14.25" customHeight="1">
      <c r="A938" s="21"/>
      <c r="B938" s="22"/>
      <c r="C938" s="22"/>
    </row>
    <row r="939" ht="14.25" customHeight="1">
      <c r="A939" s="21"/>
      <c r="B939" s="22"/>
      <c r="C939" s="22"/>
    </row>
    <row r="940" ht="14.25" customHeight="1">
      <c r="A940" s="21"/>
      <c r="B940" s="22"/>
      <c r="C940" s="22"/>
    </row>
    <row r="941" ht="14.25" customHeight="1">
      <c r="A941" s="21"/>
      <c r="B941" s="22"/>
      <c r="C941" s="22"/>
    </row>
    <row r="942" ht="14.25" customHeight="1">
      <c r="A942" s="21"/>
      <c r="B942" s="22"/>
      <c r="C942" s="22"/>
    </row>
    <row r="943" ht="14.25" customHeight="1">
      <c r="A943" s="21"/>
      <c r="B943" s="22"/>
      <c r="C943" s="22"/>
    </row>
    <row r="944" ht="14.25" customHeight="1">
      <c r="A944" s="21"/>
      <c r="B944" s="22"/>
      <c r="C944" s="22"/>
    </row>
    <row r="945" ht="14.25" customHeight="1">
      <c r="A945" s="21"/>
      <c r="B945" s="22"/>
      <c r="C945" s="22"/>
    </row>
    <row r="946" ht="14.25" customHeight="1">
      <c r="A946" s="21"/>
      <c r="B946" s="22"/>
      <c r="C946" s="22"/>
    </row>
    <row r="947" ht="14.25" customHeight="1">
      <c r="A947" s="21"/>
      <c r="B947" s="22"/>
      <c r="C947" s="22"/>
    </row>
    <row r="948" ht="14.25" customHeight="1">
      <c r="A948" s="21"/>
      <c r="B948" s="22"/>
      <c r="C948" s="22"/>
    </row>
    <row r="949" ht="14.25" customHeight="1">
      <c r="A949" s="21"/>
      <c r="B949" s="22"/>
      <c r="C949" s="22"/>
    </row>
    <row r="950" ht="14.25" customHeight="1">
      <c r="A950" s="21"/>
      <c r="B950" s="22"/>
      <c r="C950" s="22"/>
    </row>
    <row r="951" ht="14.25" customHeight="1">
      <c r="A951" s="21"/>
      <c r="B951" s="22"/>
      <c r="C951" s="22"/>
    </row>
    <row r="952" ht="14.25" customHeight="1">
      <c r="A952" s="21"/>
      <c r="B952" s="22"/>
      <c r="C952" s="22"/>
    </row>
    <row r="953" ht="14.25" customHeight="1">
      <c r="A953" s="21"/>
      <c r="B953" s="22"/>
      <c r="C953" s="22"/>
    </row>
    <row r="954" ht="14.25" customHeight="1">
      <c r="A954" s="21"/>
      <c r="B954" s="22"/>
      <c r="C954" s="22"/>
    </row>
    <row r="955" ht="14.25" customHeight="1">
      <c r="A955" s="21"/>
      <c r="B955" s="22"/>
      <c r="C955" s="22"/>
    </row>
    <row r="956" ht="14.25" customHeight="1">
      <c r="A956" s="21"/>
      <c r="B956" s="22"/>
      <c r="C956" s="22"/>
    </row>
    <row r="957" ht="14.25" customHeight="1">
      <c r="A957" s="21"/>
      <c r="B957" s="22"/>
      <c r="C957" s="22"/>
    </row>
    <row r="958" ht="14.25" customHeight="1">
      <c r="A958" s="21"/>
      <c r="B958" s="22"/>
      <c r="C958" s="22"/>
    </row>
    <row r="959" ht="14.25" customHeight="1">
      <c r="A959" s="21"/>
      <c r="B959" s="22"/>
      <c r="C959" s="22"/>
    </row>
    <row r="960" ht="14.25" customHeight="1">
      <c r="A960" s="21"/>
      <c r="B960" s="22"/>
      <c r="C960" s="22"/>
    </row>
    <row r="961" ht="14.25" customHeight="1">
      <c r="A961" s="21"/>
      <c r="B961" s="22"/>
      <c r="C961" s="22"/>
    </row>
    <row r="962" ht="14.25" customHeight="1">
      <c r="A962" s="21"/>
      <c r="B962" s="22"/>
      <c r="C962" s="22"/>
    </row>
    <row r="963" ht="14.25" customHeight="1">
      <c r="A963" s="21"/>
      <c r="B963" s="22"/>
      <c r="C963" s="22"/>
    </row>
    <row r="964" ht="14.25" customHeight="1">
      <c r="A964" s="21"/>
      <c r="B964" s="22"/>
      <c r="C964" s="22"/>
    </row>
    <row r="965" ht="14.25" customHeight="1">
      <c r="A965" s="21"/>
      <c r="B965" s="22"/>
      <c r="C965" s="22"/>
    </row>
    <row r="966" ht="14.25" customHeight="1">
      <c r="A966" s="21"/>
      <c r="B966" s="22"/>
      <c r="C966" s="22"/>
    </row>
    <row r="967" ht="14.25" customHeight="1">
      <c r="A967" s="21"/>
      <c r="B967" s="22"/>
      <c r="C967" s="22"/>
    </row>
    <row r="968" ht="14.25" customHeight="1">
      <c r="A968" s="21"/>
      <c r="B968" s="22"/>
      <c r="C968" s="22"/>
    </row>
    <row r="969" ht="14.25" customHeight="1">
      <c r="A969" s="21"/>
      <c r="B969" s="22"/>
      <c r="C969" s="22"/>
    </row>
    <row r="970" ht="14.25" customHeight="1">
      <c r="A970" s="21"/>
      <c r="B970" s="22"/>
      <c r="C970" s="22"/>
    </row>
    <row r="971" ht="14.25" customHeight="1">
      <c r="A971" s="21"/>
      <c r="B971" s="22"/>
      <c r="C971" s="22"/>
    </row>
    <row r="972" ht="14.25" customHeight="1">
      <c r="A972" s="21"/>
      <c r="B972" s="22"/>
      <c r="C972" s="22"/>
    </row>
    <row r="973" ht="14.25" customHeight="1">
      <c r="A973" s="21"/>
      <c r="B973" s="22"/>
      <c r="C973" s="22"/>
    </row>
    <row r="974" ht="14.25" customHeight="1">
      <c r="A974" s="21"/>
      <c r="B974" s="22"/>
      <c r="C974" s="22"/>
    </row>
    <row r="975" ht="14.25" customHeight="1">
      <c r="A975" s="21"/>
      <c r="B975" s="22"/>
      <c r="C975" s="22"/>
    </row>
    <row r="976" ht="14.25" customHeight="1">
      <c r="A976" s="21"/>
      <c r="B976" s="22"/>
      <c r="C976" s="22"/>
    </row>
    <row r="977" ht="14.25" customHeight="1">
      <c r="A977" s="21"/>
      <c r="B977" s="22"/>
      <c r="C977" s="22"/>
    </row>
    <row r="978" ht="14.25" customHeight="1">
      <c r="A978" s="21"/>
      <c r="B978" s="22"/>
      <c r="C978" s="22"/>
    </row>
    <row r="979" ht="14.25" customHeight="1">
      <c r="A979" s="21"/>
      <c r="B979" s="22"/>
      <c r="C979" s="22"/>
    </row>
    <row r="980" ht="14.25" customHeight="1">
      <c r="A980" s="21"/>
      <c r="B980" s="22"/>
      <c r="C980" s="22"/>
    </row>
    <row r="981" ht="14.25" customHeight="1">
      <c r="A981" s="21"/>
      <c r="B981" s="22"/>
      <c r="C981" s="22"/>
    </row>
    <row r="982" ht="14.25" customHeight="1">
      <c r="A982" s="21"/>
      <c r="B982" s="22"/>
      <c r="C982" s="22"/>
    </row>
    <row r="983" ht="14.25" customHeight="1">
      <c r="A983" s="21"/>
      <c r="B983" s="22"/>
      <c r="C983" s="22"/>
    </row>
    <row r="984" ht="14.25" customHeight="1">
      <c r="A984" s="21"/>
      <c r="B984" s="22"/>
      <c r="C984" s="22"/>
    </row>
    <row r="985" ht="14.25" customHeight="1">
      <c r="A985" s="21"/>
      <c r="B985" s="22"/>
      <c r="C985" s="22"/>
    </row>
    <row r="986" ht="14.25" customHeight="1">
      <c r="A986" s="21"/>
      <c r="B986" s="22"/>
      <c r="C986" s="22"/>
    </row>
    <row r="987" ht="14.25" customHeight="1">
      <c r="A987" s="21"/>
      <c r="B987" s="22"/>
      <c r="C987" s="22"/>
    </row>
    <row r="988" ht="14.25" customHeight="1">
      <c r="A988" s="21"/>
      <c r="B988" s="22"/>
      <c r="C988" s="22"/>
    </row>
    <row r="989" ht="14.25" customHeight="1">
      <c r="A989" s="21"/>
      <c r="B989" s="22"/>
      <c r="C989" s="22"/>
    </row>
    <row r="990" ht="14.25" customHeight="1">
      <c r="A990" s="21"/>
      <c r="B990" s="22"/>
      <c r="C990" s="22"/>
    </row>
    <row r="991" ht="14.25" customHeight="1">
      <c r="A991" s="21"/>
      <c r="B991" s="22"/>
      <c r="C991" s="22"/>
    </row>
    <row r="992" ht="14.25" customHeight="1">
      <c r="A992" s="21"/>
      <c r="B992" s="22"/>
      <c r="C992" s="22"/>
    </row>
    <row r="993" ht="14.25" customHeight="1">
      <c r="A993" s="21"/>
      <c r="B993" s="22"/>
      <c r="C993" s="22"/>
    </row>
    <row r="994" ht="14.25" customHeight="1">
      <c r="A994" s="21"/>
      <c r="B994" s="22"/>
      <c r="C994" s="22"/>
    </row>
    <row r="995" ht="14.25" customHeight="1">
      <c r="A995" s="21"/>
      <c r="B995" s="22"/>
      <c r="C995" s="22"/>
    </row>
    <row r="996" ht="14.25" customHeight="1">
      <c r="A996" s="21"/>
      <c r="B996" s="22"/>
      <c r="C996" s="22"/>
    </row>
    <row r="997" ht="14.25" customHeight="1">
      <c r="A997" s="21"/>
      <c r="B997" s="22"/>
      <c r="C997" s="22"/>
    </row>
    <row r="998" ht="14.25" customHeight="1">
      <c r="A998" s="21"/>
      <c r="B998" s="22"/>
      <c r="C998" s="22"/>
    </row>
    <row r="999" ht="14.25" customHeight="1">
      <c r="A999" s="21"/>
      <c r="B999" s="22"/>
      <c r="C999" s="22"/>
    </row>
    <row r="1000" ht="14.25" customHeight="1">
      <c r="A1000" s="21"/>
      <c r="B1000" s="22"/>
      <c r="C1000" s="22"/>
    </row>
  </sheetData>
  <mergeCells count="19">
    <mergeCell ref="S1:V1"/>
    <mergeCell ref="W1:X1"/>
    <mergeCell ref="Y1:Z1"/>
    <mergeCell ref="AB1:AC1"/>
    <mergeCell ref="AD1:AE1"/>
    <mergeCell ref="B2:C2"/>
    <mergeCell ref="A3:C3"/>
    <mergeCell ref="B54:B55"/>
    <mergeCell ref="A65:C65"/>
    <mergeCell ref="A69:C73"/>
    <mergeCell ref="A77:C78"/>
    <mergeCell ref="A81:C83"/>
    <mergeCell ref="A1:A2"/>
    <mergeCell ref="B1:C1"/>
    <mergeCell ref="E1:G1"/>
    <mergeCell ref="H1:J1"/>
    <mergeCell ref="K1:L1"/>
    <mergeCell ref="M1:N1"/>
    <mergeCell ref="O1:P1"/>
  </mergeCells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5.86"/>
    <col customWidth="1" min="2" max="2" width="11.0"/>
    <col customWidth="1" min="3" max="3" width="9.14"/>
    <col customWidth="1" min="4" max="82" width="8.71"/>
  </cols>
  <sheetData>
    <row r="1" ht="14.25" customHeight="1">
      <c r="A1" s="1"/>
      <c r="B1" s="2" t="s">
        <v>0</v>
      </c>
      <c r="D1" s="3" t="s">
        <v>311</v>
      </c>
      <c r="M1" s="3" t="s">
        <v>312</v>
      </c>
      <c r="P1" s="3" t="s">
        <v>313</v>
      </c>
      <c r="X1" s="3" t="s">
        <v>314</v>
      </c>
      <c r="AD1" s="3" t="s">
        <v>315</v>
      </c>
      <c r="AK1" s="3" t="s">
        <v>316</v>
      </c>
      <c r="AQ1" s="3" t="s">
        <v>317</v>
      </c>
      <c r="AU1" s="3" t="s">
        <v>318</v>
      </c>
      <c r="AW1" s="3" t="s">
        <v>319</v>
      </c>
      <c r="BC1" s="3" t="s">
        <v>320</v>
      </c>
      <c r="BG1" s="3" t="s">
        <v>321</v>
      </c>
      <c r="BJ1" s="3" t="s">
        <v>322</v>
      </c>
      <c r="BO1" s="3" t="s">
        <v>323</v>
      </c>
      <c r="CA1" s="3" t="s">
        <v>324</v>
      </c>
      <c r="CC1" s="3" t="s">
        <v>325</v>
      </c>
    </row>
    <row r="2" ht="14.25" customHeight="1">
      <c r="A2" s="4"/>
      <c r="B2" s="5" t="s">
        <v>44</v>
      </c>
      <c r="C2" s="4"/>
      <c r="D2" s="59" t="s">
        <v>326</v>
      </c>
      <c r="E2" s="6" t="s">
        <v>327</v>
      </c>
      <c r="F2" s="46" t="s">
        <v>328</v>
      </c>
      <c r="G2" s="6" t="s">
        <v>329</v>
      </c>
      <c r="H2" s="6" t="s">
        <v>330</v>
      </c>
      <c r="I2" s="6" t="s">
        <v>331</v>
      </c>
      <c r="J2" s="6" t="s">
        <v>332</v>
      </c>
      <c r="K2" s="6" t="s">
        <v>333</v>
      </c>
      <c r="L2" s="6" t="s">
        <v>334</v>
      </c>
      <c r="M2" s="13" t="s">
        <v>335</v>
      </c>
      <c r="N2" s="13" t="s">
        <v>336</v>
      </c>
      <c r="O2" s="11" t="s">
        <v>337</v>
      </c>
      <c r="P2" s="11" t="s">
        <v>338</v>
      </c>
      <c r="Q2" s="60" t="s">
        <v>339</v>
      </c>
      <c r="R2" s="60" t="s">
        <v>340</v>
      </c>
      <c r="S2" s="60" t="s">
        <v>341</v>
      </c>
      <c r="T2" s="60" t="s">
        <v>342</v>
      </c>
      <c r="U2" s="60" t="s">
        <v>343</v>
      </c>
      <c r="V2" s="60" t="s">
        <v>344</v>
      </c>
      <c r="W2" s="60" t="s">
        <v>345</v>
      </c>
      <c r="X2" s="6" t="s">
        <v>346</v>
      </c>
      <c r="Y2" s="11" t="s">
        <v>347</v>
      </c>
      <c r="Z2" s="11" t="s">
        <v>348</v>
      </c>
      <c r="AA2" s="11" t="s">
        <v>349</v>
      </c>
      <c r="AB2" s="60" t="s">
        <v>340</v>
      </c>
      <c r="AC2" s="60" t="s">
        <v>341</v>
      </c>
      <c r="AD2" s="6" t="s">
        <v>346</v>
      </c>
      <c r="AE2" s="6" t="s">
        <v>350</v>
      </c>
      <c r="AF2" s="60" t="s">
        <v>351</v>
      </c>
      <c r="AG2" s="11" t="s">
        <v>352</v>
      </c>
      <c r="AH2" s="60" t="s">
        <v>353</v>
      </c>
      <c r="AI2" s="11" t="s">
        <v>354</v>
      </c>
      <c r="AJ2" s="60" t="s">
        <v>355</v>
      </c>
      <c r="AK2" s="6" t="s">
        <v>55</v>
      </c>
      <c r="AL2" s="60" t="s">
        <v>269</v>
      </c>
      <c r="AM2" s="6" t="s">
        <v>356</v>
      </c>
      <c r="AN2" s="60" t="s">
        <v>357</v>
      </c>
      <c r="AO2" s="6" t="s">
        <v>358</v>
      </c>
      <c r="AP2" s="60" t="s">
        <v>359</v>
      </c>
      <c r="AQ2" s="6" t="s">
        <v>55</v>
      </c>
      <c r="AR2" s="60" t="s">
        <v>269</v>
      </c>
      <c r="AS2" s="6" t="s">
        <v>358</v>
      </c>
      <c r="AT2" s="60" t="s">
        <v>359</v>
      </c>
      <c r="AU2" s="6" t="s">
        <v>55</v>
      </c>
      <c r="AV2" s="60" t="s">
        <v>269</v>
      </c>
      <c r="AW2" s="6" t="s">
        <v>360</v>
      </c>
      <c r="AX2" s="11" t="s">
        <v>361</v>
      </c>
      <c r="AY2" s="11" t="s">
        <v>362</v>
      </c>
      <c r="AZ2" s="60" t="s">
        <v>355</v>
      </c>
      <c r="BA2" s="11" t="s">
        <v>363</v>
      </c>
      <c r="BB2" s="60" t="s">
        <v>364</v>
      </c>
      <c r="BC2" s="6" t="s">
        <v>365</v>
      </c>
      <c r="BD2" s="11" t="s">
        <v>366</v>
      </c>
      <c r="BE2" s="60" t="s">
        <v>367</v>
      </c>
      <c r="BF2" s="11" t="s">
        <v>368</v>
      </c>
      <c r="BG2" s="6" t="s">
        <v>45</v>
      </c>
      <c r="BH2" s="60" t="s">
        <v>369</v>
      </c>
      <c r="BI2" s="11" t="s">
        <v>370</v>
      </c>
      <c r="BJ2" s="13" t="s">
        <v>371</v>
      </c>
      <c r="BK2" s="60" t="s">
        <v>372</v>
      </c>
      <c r="BL2" s="6" t="s">
        <v>373</v>
      </c>
      <c r="BM2" s="11" t="s">
        <v>370</v>
      </c>
      <c r="BN2" s="13" t="s">
        <v>374</v>
      </c>
      <c r="BO2" s="6" t="s">
        <v>52</v>
      </c>
      <c r="BP2" s="60" t="s">
        <v>375</v>
      </c>
      <c r="BQ2" s="9" t="s">
        <v>60</v>
      </c>
      <c r="BR2" s="10" t="s">
        <v>376</v>
      </c>
      <c r="BS2" s="11" t="s">
        <v>346</v>
      </c>
      <c r="BT2" s="11" t="s">
        <v>377</v>
      </c>
      <c r="BU2" s="11" t="s">
        <v>378</v>
      </c>
      <c r="BV2" s="11" t="s">
        <v>379</v>
      </c>
      <c r="BW2" s="60" t="s">
        <v>380</v>
      </c>
      <c r="BX2" s="11" t="s">
        <v>381</v>
      </c>
      <c r="BY2" s="11" t="s">
        <v>382</v>
      </c>
      <c r="BZ2" s="11" t="s">
        <v>383</v>
      </c>
      <c r="CA2" s="60" t="s">
        <v>384</v>
      </c>
      <c r="CB2" s="60" t="s">
        <v>385</v>
      </c>
      <c r="CC2" s="6" t="s">
        <v>45</v>
      </c>
      <c r="CD2" s="11" t="s">
        <v>370</v>
      </c>
    </row>
    <row r="3" ht="14.25" customHeight="1">
      <c r="A3" s="15" t="s">
        <v>88</v>
      </c>
      <c r="B3" s="16"/>
      <c r="C3" s="17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 ht="14.25" customHeight="1">
      <c r="A4" s="19" t="s">
        <v>89</v>
      </c>
      <c r="B4" s="20" t="s">
        <v>90</v>
      </c>
      <c r="C4" s="20" t="s">
        <v>91</v>
      </c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</row>
    <row r="5" ht="14.25" customHeight="1">
      <c r="A5" s="21" t="s">
        <v>92</v>
      </c>
      <c r="B5" s="22" t="s">
        <v>93</v>
      </c>
      <c r="C5" s="22"/>
      <c r="D5" s="23">
        <v>11.12</v>
      </c>
      <c r="E5" s="23">
        <v>9.89</v>
      </c>
      <c r="F5" s="23">
        <v>47.75</v>
      </c>
      <c r="G5" s="23">
        <v>10.94</v>
      </c>
      <c r="H5" s="23">
        <v>12.76</v>
      </c>
      <c r="I5" s="23">
        <v>13.1</v>
      </c>
      <c r="J5" s="23">
        <v>12.17</v>
      </c>
      <c r="K5" s="23">
        <v>9.57</v>
      </c>
      <c r="L5" s="23">
        <v>10.42</v>
      </c>
      <c r="M5" s="23">
        <v>10.74</v>
      </c>
      <c r="N5" s="23">
        <v>12.42</v>
      </c>
      <c r="O5" s="23">
        <v>12.01</v>
      </c>
      <c r="P5" s="23">
        <v>7.34</v>
      </c>
      <c r="Q5" s="23">
        <v>67.15</v>
      </c>
      <c r="R5" s="23">
        <v>34.53</v>
      </c>
      <c r="S5" s="23">
        <v>24.23</v>
      </c>
      <c r="T5" s="23">
        <v>32.7</v>
      </c>
      <c r="U5" s="23">
        <v>38.58</v>
      </c>
      <c r="V5" s="23">
        <v>37.1</v>
      </c>
      <c r="W5" s="23">
        <v>37.8</v>
      </c>
      <c r="X5" s="23">
        <v>10.6</v>
      </c>
      <c r="Y5" s="23">
        <v>11.4</v>
      </c>
      <c r="Z5" s="23">
        <v>10.97</v>
      </c>
      <c r="AA5" s="23">
        <v>10.75</v>
      </c>
      <c r="AB5" s="23">
        <v>37.3</v>
      </c>
      <c r="AC5" s="23">
        <v>31.0</v>
      </c>
      <c r="AD5" s="23">
        <v>8.22</v>
      </c>
      <c r="AE5" s="23">
        <v>6.55</v>
      </c>
      <c r="AF5" s="23">
        <v>84.0</v>
      </c>
      <c r="AG5" s="23">
        <v>10.84</v>
      </c>
      <c r="AH5" s="23">
        <v>83.61</v>
      </c>
      <c r="AI5" s="23">
        <v>8.55</v>
      </c>
      <c r="AJ5" s="23">
        <v>44.0</v>
      </c>
      <c r="AK5" s="23">
        <v>12.89</v>
      </c>
      <c r="AL5" s="23">
        <v>68.61</v>
      </c>
      <c r="AM5" s="23">
        <v>13.29</v>
      </c>
      <c r="AN5" s="23">
        <v>68.53</v>
      </c>
      <c r="AO5" s="23">
        <v>11.62</v>
      </c>
      <c r="AP5" s="23">
        <v>68.44</v>
      </c>
      <c r="AQ5" s="23">
        <v>12.37</v>
      </c>
      <c r="AR5" s="23">
        <v>72.96</v>
      </c>
      <c r="AS5" s="23">
        <v>10.37</v>
      </c>
      <c r="AT5" s="23">
        <v>73.09</v>
      </c>
      <c r="AU5" s="23">
        <v>7.76</v>
      </c>
      <c r="AV5" s="23">
        <v>73.93</v>
      </c>
      <c r="AW5" s="23">
        <v>6.13</v>
      </c>
      <c r="AX5" s="23">
        <v>11.89</v>
      </c>
      <c r="AY5" s="23">
        <v>11.97</v>
      </c>
      <c r="AZ5" s="23">
        <v>41.0</v>
      </c>
      <c r="BA5" s="23">
        <v>11.91</v>
      </c>
      <c r="BB5" s="23">
        <v>73.82</v>
      </c>
      <c r="BC5" s="23">
        <v>9.75</v>
      </c>
      <c r="BD5" s="23">
        <v>8.41</v>
      </c>
      <c r="BE5" s="23">
        <v>75.63</v>
      </c>
      <c r="BF5" s="23">
        <v>11.15</v>
      </c>
      <c r="BG5" s="23">
        <v>8.67</v>
      </c>
      <c r="BH5" s="23">
        <v>71.41</v>
      </c>
      <c r="BI5" s="23">
        <v>10.74</v>
      </c>
      <c r="BJ5" s="23">
        <v>10.09</v>
      </c>
      <c r="BK5" s="23">
        <v>68.8</v>
      </c>
      <c r="BL5" s="23">
        <v>9.44</v>
      </c>
      <c r="BM5" s="23">
        <v>12.11</v>
      </c>
      <c r="BN5" s="23">
        <v>8.21</v>
      </c>
      <c r="BO5" s="23">
        <v>76.05</v>
      </c>
      <c r="BP5" s="23">
        <v>73.41</v>
      </c>
      <c r="BQ5" s="23">
        <v>77.8</v>
      </c>
      <c r="BR5" s="23">
        <v>77.03</v>
      </c>
      <c r="BS5" s="23">
        <v>10.37</v>
      </c>
      <c r="BT5" s="23">
        <v>4.71</v>
      </c>
      <c r="BU5" s="23">
        <v>3.0</v>
      </c>
      <c r="BV5" s="23">
        <v>10.0</v>
      </c>
      <c r="BW5" s="23">
        <v>68.31</v>
      </c>
      <c r="BX5" s="23">
        <v>10.26</v>
      </c>
      <c r="BY5" s="23">
        <v>11.18</v>
      </c>
      <c r="BZ5" s="23">
        <v>8.32</v>
      </c>
      <c r="CA5" s="23">
        <v>4.1</v>
      </c>
      <c r="CB5" s="23">
        <v>2.8</v>
      </c>
      <c r="CC5" s="23">
        <v>9.2</v>
      </c>
      <c r="CD5" s="23">
        <v>10.06</v>
      </c>
    </row>
    <row r="6" ht="14.25" customHeight="1">
      <c r="A6" s="21" t="s">
        <v>94</v>
      </c>
      <c r="B6" s="22" t="s">
        <v>95</v>
      </c>
      <c r="C6" s="22"/>
      <c r="D6" s="23">
        <v>360.0</v>
      </c>
      <c r="E6" s="23">
        <v>216.0</v>
      </c>
      <c r="F6" s="23">
        <v>198.0</v>
      </c>
      <c r="G6" s="23">
        <v>339.0</v>
      </c>
      <c r="H6" s="23">
        <v>329.0</v>
      </c>
      <c r="I6" s="23">
        <v>327.0</v>
      </c>
      <c r="J6" s="23">
        <v>331.0</v>
      </c>
      <c r="K6" s="23">
        <v>342.0</v>
      </c>
      <c r="L6" s="23">
        <v>340.0</v>
      </c>
      <c r="M6" s="23">
        <v>340.0</v>
      </c>
      <c r="N6" s="23">
        <v>332.0</v>
      </c>
      <c r="O6" s="23">
        <v>366.0</v>
      </c>
      <c r="P6" s="23">
        <v>348.0</v>
      </c>
      <c r="Q6" s="23">
        <v>124.0</v>
      </c>
      <c r="R6" s="23">
        <v>270.0</v>
      </c>
      <c r="S6" s="23">
        <v>313.0</v>
      </c>
      <c r="T6" s="23">
        <v>278.0</v>
      </c>
      <c r="U6" s="23">
        <v>247.0</v>
      </c>
      <c r="V6" s="23">
        <v>261.0</v>
      </c>
      <c r="W6" s="23">
        <v>248.0</v>
      </c>
      <c r="X6" s="23">
        <v>338.0</v>
      </c>
      <c r="Y6" s="23">
        <v>357.0</v>
      </c>
      <c r="Z6" s="23">
        <v>349.0</v>
      </c>
      <c r="AA6" s="23">
        <v>325.0</v>
      </c>
      <c r="AB6" s="23">
        <v>258.0</v>
      </c>
      <c r="AC6" s="23">
        <v>284.0</v>
      </c>
      <c r="AD6" s="23">
        <v>389.0</v>
      </c>
      <c r="AE6" s="23">
        <v>246.0</v>
      </c>
      <c r="AF6" s="23">
        <v>40.0</v>
      </c>
      <c r="AG6" s="23">
        <v>379.0</v>
      </c>
      <c r="AH6" s="23">
        <v>71.0</v>
      </c>
      <c r="AI6" s="23">
        <v>404.0</v>
      </c>
      <c r="AJ6" s="23">
        <v>236.0</v>
      </c>
      <c r="AK6" s="23">
        <v>360.0</v>
      </c>
      <c r="AL6" s="23">
        <v>130.0</v>
      </c>
      <c r="AM6" s="23">
        <v>358.0</v>
      </c>
      <c r="AN6" s="23">
        <v>130.0</v>
      </c>
      <c r="AO6" s="23">
        <v>365.0</v>
      </c>
      <c r="AP6" s="23">
        <v>130.0</v>
      </c>
      <c r="AQ6" s="23">
        <v>362.0</v>
      </c>
      <c r="AR6" s="23">
        <v>112.0</v>
      </c>
      <c r="AS6" s="23">
        <v>370.0</v>
      </c>
      <c r="AT6" s="23">
        <v>111.0</v>
      </c>
      <c r="AU6" s="23">
        <v>357.0</v>
      </c>
      <c r="AV6" s="23">
        <v>101.0</v>
      </c>
      <c r="AW6" s="23">
        <v>316.0</v>
      </c>
      <c r="AX6" s="23">
        <v>366.0</v>
      </c>
      <c r="AY6" s="23">
        <v>363.0</v>
      </c>
      <c r="AZ6" s="23">
        <v>243.0</v>
      </c>
      <c r="BA6" s="23">
        <v>364.0</v>
      </c>
      <c r="BB6" s="23">
        <v>109.0</v>
      </c>
      <c r="BC6" s="23">
        <v>343.0</v>
      </c>
      <c r="BD6" s="23">
        <v>346.0</v>
      </c>
      <c r="BE6" s="23">
        <v>92.0</v>
      </c>
      <c r="BF6" s="23">
        <v>335.0</v>
      </c>
      <c r="BG6" s="23">
        <v>378.0</v>
      </c>
      <c r="BH6" s="23">
        <v>119.0</v>
      </c>
      <c r="BI6" s="23">
        <v>373.0</v>
      </c>
      <c r="BJ6" s="23">
        <v>352.0</v>
      </c>
      <c r="BK6" s="23">
        <v>123.0</v>
      </c>
      <c r="BL6" s="23">
        <v>354.0</v>
      </c>
      <c r="BM6" s="23">
        <v>345.0</v>
      </c>
      <c r="BN6" s="23">
        <v>361.0</v>
      </c>
      <c r="BO6" s="23">
        <v>86.0</v>
      </c>
      <c r="BP6" s="23">
        <v>96.0</v>
      </c>
      <c r="BQ6" s="23">
        <v>79.0</v>
      </c>
      <c r="BR6" s="23">
        <v>81.0</v>
      </c>
      <c r="BS6" s="23">
        <v>365.0</v>
      </c>
      <c r="BT6" s="23">
        <v>224.0</v>
      </c>
      <c r="BU6" s="23">
        <v>399.0</v>
      </c>
      <c r="BV6" s="23">
        <v>357.0</v>
      </c>
      <c r="BW6" s="23">
        <v>126.0</v>
      </c>
      <c r="BX6" s="23">
        <v>362.0</v>
      </c>
      <c r="BY6" s="23">
        <v>370.0</v>
      </c>
      <c r="BZ6" s="23">
        <v>381.0</v>
      </c>
      <c r="CA6" s="23">
        <v>382.0</v>
      </c>
      <c r="CB6" s="23">
        <v>500.0</v>
      </c>
      <c r="CC6" s="23">
        <v>339.0</v>
      </c>
      <c r="CD6" s="23">
        <v>361.0</v>
      </c>
    </row>
    <row r="7" ht="14.25" customHeight="1">
      <c r="A7" s="21" t="s">
        <v>96</v>
      </c>
      <c r="B7" s="22" t="s">
        <v>97</v>
      </c>
      <c r="C7" s="22" t="s">
        <v>98</v>
      </c>
      <c r="D7" s="26">
        <v>23.15</v>
      </c>
      <c r="E7" s="25">
        <v>15.55</v>
      </c>
      <c r="F7" s="23">
        <v>7.49</v>
      </c>
      <c r="G7" s="25">
        <v>13.68</v>
      </c>
      <c r="H7" s="25">
        <v>15.4</v>
      </c>
      <c r="I7" s="25">
        <v>12.61</v>
      </c>
      <c r="J7" s="24">
        <v>10.35</v>
      </c>
      <c r="K7" s="24">
        <v>11.31</v>
      </c>
      <c r="L7" s="24">
        <v>10.69</v>
      </c>
      <c r="M7" s="25">
        <v>13.21</v>
      </c>
      <c r="N7" s="24">
        <v>9.61</v>
      </c>
      <c r="O7" s="24">
        <v>9.71</v>
      </c>
      <c r="P7" s="25">
        <v>14.63</v>
      </c>
      <c r="Q7" s="23">
        <v>5.33</v>
      </c>
      <c r="R7" s="24">
        <v>10.37</v>
      </c>
      <c r="S7" s="25">
        <v>12.96</v>
      </c>
      <c r="T7" s="23">
        <v>8.4</v>
      </c>
      <c r="U7" s="25">
        <v>12.95</v>
      </c>
      <c r="V7" s="24">
        <v>9.6</v>
      </c>
      <c r="W7" s="23">
        <v>8.8</v>
      </c>
      <c r="X7" s="24">
        <v>10.34</v>
      </c>
      <c r="Y7" s="24">
        <v>9.82</v>
      </c>
      <c r="Z7" s="24">
        <v>10.88</v>
      </c>
      <c r="AA7" s="25">
        <v>15.91</v>
      </c>
      <c r="AB7" s="23">
        <v>8.5</v>
      </c>
      <c r="AC7" s="24">
        <v>9.4</v>
      </c>
      <c r="AD7" s="25">
        <v>16.89</v>
      </c>
      <c r="AE7" s="25">
        <v>17.3</v>
      </c>
      <c r="AF7" s="23">
        <v>3.21</v>
      </c>
      <c r="AG7" s="25">
        <v>13.15</v>
      </c>
      <c r="AH7" s="23">
        <v>2.54</v>
      </c>
      <c r="AI7" s="25">
        <v>14.66</v>
      </c>
      <c r="AJ7" s="24">
        <v>10.4</v>
      </c>
      <c r="AK7" s="23">
        <v>6.61</v>
      </c>
      <c r="AL7" s="23">
        <v>2.38</v>
      </c>
      <c r="AM7" s="23">
        <v>6.5</v>
      </c>
      <c r="AN7" s="23">
        <v>2.36</v>
      </c>
      <c r="AO7" s="23">
        <v>7.13</v>
      </c>
      <c r="AP7" s="23">
        <v>2.69</v>
      </c>
      <c r="AQ7" s="23">
        <v>7.5</v>
      </c>
      <c r="AR7" s="23">
        <v>2.32</v>
      </c>
      <c r="AS7" s="23">
        <v>7.94</v>
      </c>
      <c r="AT7" s="23">
        <v>2.58</v>
      </c>
      <c r="AU7" s="25">
        <v>14.73</v>
      </c>
      <c r="AV7" s="23">
        <v>3.99</v>
      </c>
      <c r="AW7" s="25">
        <v>13.35</v>
      </c>
      <c r="AX7" s="23">
        <v>5.95</v>
      </c>
      <c r="AY7" s="23">
        <v>7.23</v>
      </c>
      <c r="AZ7" s="24">
        <v>8.9</v>
      </c>
      <c r="BA7" s="23">
        <v>3.44</v>
      </c>
      <c r="BB7" s="23">
        <v>0.91</v>
      </c>
      <c r="BC7" s="25">
        <v>13.25</v>
      </c>
      <c r="BD7" s="24">
        <v>11.73</v>
      </c>
      <c r="BE7" s="23">
        <v>3.38</v>
      </c>
      <c r="BF7" s="25">
        <v>12.62</v>
      </c>
      <c r="BG7" s="24">
        <v>11.02</v>
      </c>
      <c r="BH7" s="23">
        <v>3.51</v>
      </c>
      <c r="BI7" s="24">
        <v>10.75</v>
      </c>
      <c r="BJ7" s="24">
        <v>9.91</v>
      </c>
      <c r="BK7" s="23">
        <v>2.26</v>
      </c>
      <c r="BL7" s="25">
        <v>12.48</v>
      </c>
      <c r="BM7" s="24">
        <v>10.5</v>
      </c>
      <c r="BN7" s="24">
        <v>10.28</v>
      </c>
      <c r="BO7" s="23">
        <v>3.27</v>
      </c>
      <c r="BP7" s="23">
        <v>3.41</v>
      </c>
      <c r="BQ7" s="23">
        <v>2.46</v>
      </c>
      <c r="BR7" s="23">
        <v>2.55</v>
      </c>
      <c r="BS7" s="24">
        <v>9.42</v>
      </c>
      <c r="BT7" s="23">
        <v>8.36</v>
      </c>
      <c r="BU7" s="23">
        <v>7.7</v>
      </c>
      <c r="BV7" s="23">
        <v>7.46</v>
      </c>
      <c r="BW7" s="23">
        <v>2.63</v>
      </c>
      <c r="BX7" s="23">
        <v>8.12</v>
      </c>
      <c r="BY7" s="23">
        <v>7.11</v>
      </c>
      <c r="BZ7" s="23">
        <v>0.26</v>
      </c>
      <c r="CA7" s="23">
        <v>12.0</v>
      </c>
      <c r="CB7" s="23">
        <v>9.0</v>
      </c>
      <c r="CC7" s="25">
        <v>11.3</v>
      </c>
      <c r="CD7" s="23">
        <v>7.87</v>
      </c>
    </row>
    <row r="8" ht="14.25" customHeight="1">
      <c r="A8" s="21" t="s">
        <v>99</v>
      </c>
      <c r="B8" s="22" t="s">
        <v>100</v>
      </c>
      <c r="C8" s="22"/>
      <c r="D8" s="25">
        <v>9.72</v>
      </c>
      <c r="E8" s="24">
        <v>4.25</v>
      </c>
      <c r="F8" s="23">
        <v>1.27</v>
      </c>
      <c r="G8" s="23">
        <v>2.47</v>
      </c>
      <c r="H8" s="23">
        <v>1.92</v>
      </c>
      <c r="I8" s="23">
        <v>1.54</v>
      </c>
      <c r="J8" s="23">
        <v>1.56</v>
      </c>
      <c r="K8" s="23">
        <v>1.71</v>
      </c>
      <c r="L8" s="23">
        <v>1.99</v>
      </c>
      <c r="M8" s="23">
        <v>2.5</v>
      </c>
      <c r="N8" s="23">
        <v>1.95</v>
      </c>
      <c r="O8" s="23">
        <v>1.48</v>
      </c>
      <c r="P8" s="23">
        <v>1.4</v>
      </c>
      <c r="Q8" s="23">
        <v>0.54</v>
      </c>
      <c r="R8" s="23">
        <v>3.44</v>
      </c>
      <c r="S8" s="24">
        <v>4.27</v>
      </c>
      <c r="T8" s="24">
        <v>5.4</v>
      </c>
      <c r="U8" s="23">
        <v>3.35</v>
      </c>
      <c r="V8" s="23">
        <v>2.9</v>
      </c>
      <c r="W8" s="23">
        <v>3.4</v>
      </c>
      <c r="X8" s="23">
        <v>1.63</v>
      </c>
      <c r="Y8" s="23">
        <v>1.33</v>
      </c>
      <c r="Z8" s="23">
        <v>1.52</v>
      </c>
      <c r="AA8" s="23">
        <v>2.22</v>
      </c>
      <c r="AB8" s="23">
        <v>3.3</v>
      </c>
      <c r="AC8" s="23">
        <v>3.6</v>
      </c>
      <c r="AD8" s="25">
        <v>6.9</v>
      </c>
      <c r="AE8" s="25">
        <v>7.03</v>
      </c>
      <c r="AF8" s="23">
        <v>0.86</v>
      </c>
      <c r="AG8" s="25">
        <v>6.52</v>
      </c>
      <c r="AH8" s="23">
        <v>1.52</v>
      </c>
      <c r="AI8" s="25">
        <v>9.12</v>
      </c>
      <c r="AJ8" s="24">
        <v>4.4</v>
      </c>
      <c r="AK8" s="23">
        <v>0.58</v>
      </c>
      <c r="AL8" s="23">
        <v>0.21</v>
      </c>
      <c r="AM8" s="23">
        <v>0.52</v>
      </c>
      <c r="AN8" s="23">
        <v>0.19</v>
      </c>
      <c r="AO8" s="23">
        <v>0.66</v>
      </c>
      <c r="AP8" s="23">
        <v>0.28</v>
      </c>
      <c r="AQ8" s="23">
        <v>2.68</v>
      </c>
      <c r="AR8" s="23">
        <v>0.83</v>
      </c>
      <c r="AS8" s="23">
        <v>2.92</v>
      </c>
      <c r="AT8" s="23">
        <v>0.9</v>
      </c>
      <c r="AU8" s="23">
        <v>1.08</v>
      </c>
      <c r="AV8" s="23">
        <v>0.34</v>
      </c>
      <c r="AW8" s="26">
        <v>20.85</v>
      </c>
      <c r="AX8" s="23">
        <v>1.42</v>
      </c>
      <c r="AY8" s="23">
        <v>2.78</v>
      </c>
      <c r="AZ8" s="24">
        <v>4.6</v>
      </c>
      <c r="BA8" s="23">
        <v>0.56</v>
      </c>
      <c r="BB8" s="23">
        <v>0.2</v>
      </c>
      <c r="BC8" s="23">
        <v>3.4</v>
      </c>
      <c r="BD8" s="23">
        <v>2.71</v>
      </c>
      <c r="BE8" s="23">
        <v>0.62</v>
      </c>
      <c r="BF8" s="23">
        <v>3.1</v>
      </c>
      <c r="BG8" s="24">
        <v>4.22</v>
      </c>
      <c r="BH8" s="23">
        <v>1.0</v>
      </c>
      <c r="BI8" s="24">
        <v>4.25</v>
      </c>
      <c r="BJ8" s="23">
        <v>1.16</v>
      </c>
      <c r="BK8" s="23">
        <v>0.44</v>
      </c>
      <c r="BL8" s="23">
        <v>2.3</v>
      </c>
      <c r="BM8" s="23">
        <v>1.6</v>
      </c>
      <c r="BN8" s="23">
        <v>1.84</v>
      </c>
      <c r="BO8" s="23">
        <v>1.35</v>
      </c>
      <c r="BP8" s="23">
        <v>1.5</v>
      </c>
      <c r="BQ8" s="23">
        <v>1.11</v>
      </c>
      <c r="BR8" s="23">
        <v>0.67</v>
      </c>
      <c r="BS8" s="24">
        <v>4.74</v>
      </c>
      <c r="BT8" s="23">
        <v>0.92</v>
      </c>
      <c r="BU8" s="23">
        <v>0.3</v>
      </c>
      <c r="BV8" s="23">
        <v>2.08</v>
      </c>
      <c r="BW8" s="23">
        <v>0.73</v>
      </c>
      <c r="BX8" s="23">
        <v>3.59</v>
      </c>
      <c r="BY8" s="23">
        <v>1.75</v>
      </c>
      <c r="BZ8" s="23">
        <v>0.05</v>
      </c>
      <c r="CA8" s="24">
        <v>4.2</v>
      </c>
      <c r="CB8" s="26">
        <v>28.1</v>
      </c>
      <c r="CC8" s="23">
        <v>3.3</v>
      </c>
      <c r="CD8" s="23">
        <v>3.29</v>
      </c>
    </row>
    <row r="9" ht="14.25" customHeight="1">
      <c r="A9" s="21" t="s">
        <v>101</v>
      </c>
      <c r="B9" s="22" t="s">
        <v>102</v>
      </c>
      <c r="C9" s="22"/>
      <c r="D9" s="23">
        <v>51.8</v>
      </c>
      <c r="E9" s="23">
        <v>64.51</v>
      </c>
      <c r="F9" s="23">
        <v>42.53</v>
      </c>
      <c r="G9" s="23">
        <v>71.13</v>
      </c>
      <c r="H9" s="23">
        <v>68.03</v>
      </c>
      <c r="I9" s="23">
        <v>71.18</v>
      </c>
      <c r="J9" s="23">
        <v>74.24</v>
      </c>
      <c r="K9" s="23">
        <v>75.9</v>
      </c>
      <c r="L9" s="23">
        <v>75.36</v>
      </c>
      <c r="M9" s="23">
        <v>71.97</v>
      </c>
      <c r="N9" s="23">
        <v>74.48</v>
      </c>
      <c r="O9" s="23">
        <v>76.22</v>
      </c>
      <c r="P9" s="23">
        <v>75.03</v>
      </c>
      <c r="Q9" s="23">
        <v>26.54</v>
      </c>
      <c r="R9" s="23">
        <v>49.46</v>
      </c>
      <c r="S9" s="23">
        <v>55.77</v>
      </c>
      <c r="T9" s="23">
        <v>51.4</v>
      </c>
      <c r="U9" s="23">
        <v>41.29</v>
      </c>
      <c r="V9" s="23">
        <v>48.3</v>
      </c>
      <c r="W9" s="23">
        <v>47.8</v>
      </c>
      <c r="X9" s="23">
        <v>75.86</v>
      </c>
      <c r="Y9" s="23">
        <v>76.68</v>
      </c>
      <c r="Z9" s="23">
        <v>75.43</v>
      </c>
      <c r="AA9" s="23">
        <v>68.63</v>
      </c>
      <c r="AB9" s="23">
        <v>48.3</v>
      </c>
      <c r="AC9" s="23">
        <v>53.1</v>
      </c>
      <c r="AD9" s="23">
        <v>66.27</v>
      </c>
      <c r="AE9" s="23">
        <v>66.22</v>
      </c>
      <c r="AF9" s="23">
        <v>11.44</v>
      </c>
      <c r="AG9" s="23">
        <v>67.7</v>
      </c>
      <c r="AH9" s="23">
        <v>12.0</v>
      </c>
      <c r="AI9" s="23">
        <v>65.7</v>
      </c>
      <c r="AJ9" s="23">
        <v>39.8</v>
      </c>
      <c r="AK9" s="23">
        <v>79.34</v>
      </c>
      <c r="AL9" s="23">
        <v>28.59</v>
      </c>
      <c r="AM9" s="23">
        <v>79.15</v>
      </c>
      <c r="AN9" s="23">
        <v>28.73</v>
      </c>
      <c r="AO9" s="23">
        <v>79.95</v>
      </c>
      <c r="AP9" s="23">
        <v>28.17</v>
      </c>
      <c r="AQ9" s="23">
        <v>76.17</v>
      </c>
      <c r="AR9" s="23">
        <v>23.51</v>
      </c>
      <c r="AS9" s="23">
        <v>77.24</v>
      </c>
      <c r="AT9" s="23">
        <v>22.96</v>
      </c>
      <c r="AU9" s="23">
        <v>74.9</v>
      </c>
      <c r="AV9" s="23">
        <v>21.34</v>
      </c>
      <c r="AW9" s="23">
        <v>49.69</v>
      </c>
      <c r="AX9" s="23">
        <v>80.13</v>
      </c>
      <c r="AY9" s="23">
        <v>76.48</v>
      </c>
      <c r="AZ9" s="23">
        <v>43.5</v>
      </c>
      <c r="BA9" s="23">
        <v>83.24</v>
      </c>
      <c r="BB9" s="23">
        <v>24.9</v>
      </c>
      <c r="BC9" s="23">
        <v>71.5</v>
      </c>
      <c r="BD9" s="23">
        <v>74.95</v>
      </c>
      <c r="BE9" s="23">
        <v>19.94</v>
      </c>
      <c r="BF9" s="23">
        <v>70.59</v>
      </c>
      <c r="BG9" s="23">
        <v>72.85</v>
      </c>
      <c r="BH9" s="23">
        <v>23.67</v>
      </c>
      <c r="BI9" s="23">
        <v>73.05</v>
      </c>
      <c r="BJ9" s="23">
        <v>77.72</v>
      </c>
      <c r="BK9" s="23">
        <v>28.22</v>
      </c>
      <c r="BL9" s="23">
        <v>73.48</v>
      </c>
      <c r="BM9" s="23">
        <v>74.52</v>
      </c>
      <c r="BN9" s="23">
        <v>78.3</v>
      </c>
      <c r="BO9" s="23">
        <v>18.7</v>
      </c>
      <c r="BP9" s="23">
        <v>20.98</v>
      </c>
      <c r="BQ9" s="23">
        <v>17.77</v>
      </c>
      <c r="BR9" s="23">
        <v>19.3</v>
      </c>
      <c r="BS9" s="23">
        <v>74.26</v>
      </c>
      <c r="BT9" s="23">
        <v>85.64</v>
      </c>
      <c r="BU9" s="23">
        <v>88.8</v>
      </c>
      <c r="BV9" s="23">
        <v>79.26</v>
      </c>
      <c r="BW9" s="23">
        <v>27.91</v>
      </c>
      <c r="BX9" s="23">
        <v>76.89</v>
      </c>
      <c r="BY9" s="23">
        <v>79.45</v>
      </c>
      <c r="BZ9" s="23">
        <v>91.27</v>
      </c>
      <c r="CA9" s="23">
        <v>77.9</v>
      </c>
      <c r="CB9" s="23">
        <v>57.2</v>
      </c>
      <c r="CC9" s="23">
        <v>74.63</v>
      </c>
      <c r="CD9" s="23">
        <v>77.47</v>
      </c>
    </row>
    <row r="10" ht="14.25" customHeight="1">
      <c r="A10" s="21" t="s">
        <v>103</v>
      </c>
      <c r="B10" s="22" t="s">
        <v>104</v>
      </c>
      <c r="C10" s="22"/>
      <c r="D10" s="24">
        <v>13.2</v>
      </c>
      <c r="E10" s="26">
        <v>42.8</v>
      </c>
      <c r="F10" s="23">
        <v>1.1</v>
      </c>
      <c r="H10" s="24">
        <v>12.2</v>
      </c>
      <c r="I10" s="24">
        <v>12.2</v>
      </c>
      <c r="J10" s="24">
        <v>12.5</v>
      </c>
      <c r="K10" s="24">
        <v>12.2</v>
      </c>
      <c r="L10" s="24">
        <v>12.7</v>
      </c>
      <c r="M10" s="24">
        <v>10.7</v>
      </c>
      <c r="N10" s="24">
        <v>13.1</v>
      </c>
      <c r="O10" s="23">
        <v>2.4</v>
      </c>
      <c r="P10" s="23">
        <v>8.3</v>
      </c>
      <c r="Q10" s="23">
        <v>2.8</v>
      </c>
      <c r="R10" s="23">
        <v>4.2</v>
      </c>
      <c r="S10" s="23">
        <v>4.7</v>
      </c>
      <c r="T10" s="23">
        <v>6.0</v>
      </c>
      <c r="U10" s="23">
        <v>6.8</v>
      </c>
      <c r="V10" s="23">
        <v>2.1</v>
      </c>
      <c r="W10" s="23">
        <v>4.0</v>
      </c>
      <c r="X10" s="25">
        <v>15.1</v>
      </c>
      <c r="Y10" s="23">
        <v>8.0</v>
      </c>
      <c r="Z10" s="24">
        <v>11.8</v>
      </c>
      <c r="AA10" s="25">
        <v>23.8</v>
      </c>
      <c r="AB10" s="23">
        <v>5.8</v>
      </c>
      <c r="AC10" s="23">
        <v>6.4</v>
      </c>
      <c r="AD10" s="24">
        <v>10.6</v>
      </c>
      <c r="AE10" s="25">
        <v>15.4</v>
      </c>
      <c r="AF10" s="23">
        <v>2.6</v>
      </c>
      <c r="AG10" s="24">
        <v>10.1</v>
      </c>
      <c r="AH10" s="23">
        <v>1.7</v>
      </c>
      <c r="AI10" s="23">
        <v>6.5</v>
      </c>
      <c r="AJ10" s="23">
        <v>4.5</v>
      </c>
      <c r="AM10" s="23">
        <v>2.8</v>
      </c>
      <c r="AO10" s="23">
        <v>1.3</v>
      </c>
      <c r="AP10" s="23">
        <v>0.4</v>
      </c>
      <c r="AQ10" s="23">
        <v>3.4</v>
      </c>
      <c r="AR10" s="23">
        <v>1.8</v>
      </c>
      <c r="AS10" s="23">
        <v>3.5</v>
      </c>
      <c r="AT10" s="23">
        <v>1.8</v>
      </c>
      <c r="AU10" s="23">
        <v>6.2</v>
      </c>
      <c r="AV10" s="23">
        <v>1.8</v>
      </c>
      <c r="AW10" s="25">
        <v>21.0</v>
      </c>
      <c r="AX10" s="23">
        <v>2.4</v>
      </c>
      <c r="AY10" s="23">
        <v>4.6</v>
      </c>
      <c r="AZ10" s="23">
        <v>4.9</v>
      </c>
      <c r="BA10" s="23">
        <v>1.6</v>
      </c>
      <c r="BB10" s="23">
        <v>1.0</v>
      </c>
      <c r="BC10" s="24">
        <v>10.0</v>
      </c>
      <c r="BD10" s="24">
        <v>10.3</v>
      </c>
      <c r="BE10" s="23">
        <v>2.7</v>
      </c>
      <c r="BF10" s="23">
        <v>10.0</v>
      </c>
      <c r="BG10" s="23">
        <v>8.5</v>
      </c>
      <c r="BH10" s="23">
        <v>1.3</v>
      </c>
      <c r="BI10" s="23">
        <v>3.5</v>
      </c>
      <c r="BJ10" s="25">
        <v>15.6</v>
      </c>
      <c r="BK10" s="23">
        <v>3.8</v>
      </c>
      <c r="BL10" s="25">
        <v>17.3</v>
      </c>
      <c r="BM10" s="24">
        <v>10.1</v>
      </c>
      <c r="BN10" s="23">
        <v>7.1</v>
      </c>
      <c r="BO10" s="23">
        <v>2.0</v>
      </c>
      <c r="BP10" s="23">
        <v>2.4</v>
      </c>
      <c r="BQ10" s="23">
        <v>1.9</v>
      </c>
      <c r="BR10" s="23">
        <v>2.4</v>
      </c>
      <c r="BS10" s="23">
        <v>7.3</v>
      </c>
      <c r="BT10" s="26">
        <v>79.0</v>
      </c>
      <c r="BU10" s="23">
        <v>1.1</v>
      </c>
      <c r="BV10" s="23">
        <v>11.0</v>
      </c>
      <c r="BW10" s="23">
        <v>4.8</v>
      </c>
      <c r="BX10" s="23">
        <v>7.3</v>
      </c>
      <c r="BY10" s="23">
        <v>3.9</v>
      </c>
      <c r="BZ10" s="23">
        <v>0.9</v>
      </c>
      <c r="CA10" s="24">
        <v>15.1</v>
      </c>
      <c r="CB10" s="23">
        <v>10.0</v>
      </c>
      <c r="CC10" s="23">
        <v>6.3</v>
      </c>
      <c r="CD10" s="23">
        <v>6.6</v>
      </c>
    </row>
    <row r="11" ht="14.25" customHeight="1">
      <c r="A11" s="21" t="s">
        <v>105</v>
      </c>
      <c r="B11" s="22"/>
      <c r="C11" s="22"/>
      <c r="E11" s="23">
        <v>0.41</v>
      </c>
      <c r="H11" s="23">
        <v>0.41</v>
      </c>
      <c r="I11" s="23">
        <v>0.41</v>
      </c>
      <c r="J11" s="23">
        <v>0.41</v>
      </c>
      <c r="K11" s="23">
        <v>0.41</v>
      </c>
      <c r="L11" s="23">
        <v>0.41</v>
      </c>
      <c r="M11" s="23">
        <v>0.41</v>
      </c>
      <c r="N11" s="23">
        <v>1.02</v>
      </c>
      <c r="O11" s="23">
        <v>0.49</v>
      </c>
      <c r="Q11" s="23">
        <v>0.8</v>
      </c>
      <c r="R11" s="23">
        <v>6.08</v>
      </c>
      <c r="S11" s="23">
        <v>6.42</v>
      </c>
      <c r="T11" s="23">
        <v>3.84</v>
      </c>
      <c r="U11" s="23">
        <v>5.57</v>
      </c>
      <c r="V11" s="23">
        <v>3.73</v>
      </c>
      <c r="W11" s="23">
        <v>9.68</v>
      </c>
      <c r="X11" s="23">
        <v>0.98</v>
      </c>
      <c r="Y11" s="23">
        <v>0.93</v>
      </c>
      <c r="Z11" s="23">
        <v>1.1</v>
      </c>
      <c r="AA11" s="23">
        <v>2.31</v>
      </c>
      <c r="AB11" s="23">
        <v>3.85</v>
      </c>
      <c r="AC11" s="23">
        <v>4.23</v>
      </c>
      <c r="AE11" s="23">
        <v>1.45</v>
      </c>
      <c r="AG11" s="23">
        <v>0.99</v>
      </c>
      <c r="AH11" s="23">
        <v>0.27</v>
      </c>
      <c r="AI11" s="23">
        <v>0.8</v>
      </c>
      <c r="AJ11" s="23">
        <v>7.7</v>
      </c>
      <c r="AO11" s="23">
        <v>0.12</v>
      </c>
      <c r="AP11" s="23">
        <v>0.05</v>
      </c>
      <c r="AS11" s="23">
        <v>0.85</v>
      </c>
      <c r="AT11" s="23">
        <v>0.35</v>
      </c>
      <c r="AU11" s="23">
        <v>2.5</v>
      </c>
      <c r="AV11" s="23">
        <v>0.73</v>
      </c>
      <c r="AW11" s="23">
        <v>0.9</v>
      </c>
      <c r="AX11" s="23">
        <v>0.12</v>
      </c>
      <c r="AY11" s="23">
        <v>0.85</v>
      </c>
      <c r="AZ11" s="23">
        <v>4.67</v>
      </c>
      <c r="BE11" s="23">
        <v>0.9</v>
      </c>
      <c r="BF11" s="23">
        <v>2.6</v>
      </c>
      <c r="BH11" s="23">
        <v>0.13</v>
      </c>
      <c r="BI11" s="23">
        <v>1.66</v>
      </c>
      <c r="BJ11" s="23">
        <v>0.8</v>
      </c>
      <c r="BK11" s="23">
        <v>0.28</v>
      </c>
      <c r="BL11" s="23">
        <v>0.8</v>
      </c>
      <c r="BM11" s="23">
        <v>0.8</v>
      </c>
      <c r="BN11" s="23">
        <v>0.8</v>
      </c>
      <c r="BO11" s="23">
        <v>6.26</v>
      </c>
      <c r="BP11" s="23">
        <v>4.54</v>
      </c>
      <c r="BQ11" s="23">
        <v>3.04</v>
      </c>
      <c r="BR11" s="23">
        <v>3.07</v>
      </c>
      <c r="BS11" s="23">
        <v>0.64</v>
      </c>
      <c r="BT11" s="23">
        <v>0.0</v>
      </c>
      <c r="BU11" s="23">
        <v>6.11</v>
      </c>
      <c r="BX11" s="23">
        <v>0.64</v>
      </c>
      <c r="BY11" s="23">
        <v>1.61</v>
      </c>
      <c r="BZ11" s="23">
        <v>0.0</v>
      </c>
      <c r="CD11" s="23">
        <v>1.87</v>
      </c>
    </row>
    <row r="12" ht="14.25" customHeight="1">
      <c r="A12" s="19" t="s">
        <v>106</v>
      </c>
      <c r="B12" s="27"/>
      <c r="C12" s="27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</row>
    <row r="13" ht="14.25" customHeight="1">
      <c r="A13" s="21" t="s">
        <v>107</v>
      </c>
      <c r="B13" s="22">
        <v>1000.0</v>
      </c>
      <c r="C13" s="22">
        <v>2500.0</v>
      </c>
      <c r="D13" s="23">
        <v>39.0</v>
      </c>
      <c r="E13" s="23">
        <v>73.0</v>
      </c>
      <c r="F13" s="23">
        <v>28.0</v>
      </c>
      <c r="G13" s="23">
        <v>34.0</v>
      </c>
      <c r="H13" s="23">
        <v>25.0</v>
      </c>
      <c r="I13" s="23">
        <v>29.0</v>
      </c>
      <c r="J13" s="23">
        <v>27.0</v>
      </c>
      <c r="K13" s="23">
        <v>32.0</v>
      </c>
      <c r="L13" s="23">
        <v>34.0</v>
      </c>
      <c r="M13" s="23">
        <v>34.0</v>
      </c>
      <c r="N13" s="23">
        <v>33.0</v>
      </c>
      <c r="O13" s="23">
        <v>20.0</v>
      </c>
      <c r="P13" s="23">
        <v>40.0</v>
      </c>
      <c r="Q13" s="23">
        <v>15.0</v>
      </c>
      <c r="R13" s="50">
        <v>138.0</v>
      </c>
      <c r="S13" s="50">
        <v>165.0</v>
      </c>
      <c r="T13" s="23">
        <v>33.0</v>
      </c>
      <c r="U13" s="24">
        <v>107.0</v>
      </c>
      <c r="V13" s="24">
        <v>89.0</v>
      </c>
      <c r="W13" s="24">
        <v>74.0</v>
      </c>
      <c r="X13" s="23">
        <v>24.0</v>
      </c>
      <c r="Y13" s="23">
        <v>13.0</v>
      </c>
      <c r="Z13" s="23">
        <v>24.0</v>
      </c>
      <c r="AA13" s="23">
        <v>37.0</v>
      </c>
      <c r="AB13" s="24">
        <v>73.0</v>
      </c>
      <c r="AC13" s="24">
        <v>80.0</v>
      </c>
      <c r="AD13" s="23">
        <v>54.0</v>
      </c>
      <c r="AE13" s="23">
        <v>58.0</v>
      </c>
      <c r="AF13" s="23">
        <v>10.0</v>
      </c>
      <c r="AG13" s="23">
        <v>52.0</v>
      </c>
      <c r="AH13" s="23">
        <v>9.0</v>
      </c>
      <c r="AI13" s="23">
        <v>55.0</v>
      </c>
      <c r="AJ13" s="23">
        <v>65.0</v>
      </c>
      <c r="AK13" s="23">
        <v>9.0</v>
      </c>
      <c r="AL13" s="23">
        <v>3.0</v>
      </c>
      <c r="AM13" s="23">
        <v>3.0</v>
      </c>
      <c r="AN13" s="23">
        <v>1.0</v>
      </c>
      <c r="AO13" s="23">
        <v>28.0</v>
      </c>
      <c r="AP13" s="23">
        <v>10.0</v>
      </c>
      <c r="AQ13" s="23">
        <v>33.0</v>
      </c>
      <c r="AR13" s="23">
        <v>10.0</v>
      </c>
      <c r="AS13" s="23">
        <v>23.0</v>
      </c>
      <c r="AT13" s="23">
        <v>10.0</v>
      </c>
      <c r="AU13" s="23">
        <v>21.0</v>
      </c>
      <c r="AV13" s="23">
        <v>3.0</v>
      </c>
      <c r="AW13" s="23">
        <v>57.0</v>
      </c>
      <c r="AX13" s="23">
        <v>10.0</v>
      </c>
      <c r="AY13" s="23">
        <v>11.0</v>
      </c>
      <c r="AZ13" s="24">
        <v>69.0</v>
      </c>
      <c r="BA13" s="23">
        <v>18.0</v>
      </c>
      <c r="BB13" s="23">
        <v>4.0</v>
      </c>
      <c r="BC13" s="23">
        <v>18.0</v>
      </c>
      <c r="BD13" s="23">
        <v>17.0</v>
      </c>
      <c r="BE13" s="23">
        <v>7.0</v>
      </c>
      <c r="BF13" s="23">
        <v>41.0</v>
      </c>
      <c r="BG13" s="23">
        <v>8.0</v>
      </c>
      <c r="BH13" s="23">
        <v>3.0</v>
      </c>
      <c r="BI13" s="23">
        <v>14.0</v>
      </c>
      <c r="BJ13" s="23">
        <v>29.0</v>
      </c>
      <c r="BK13" s="23">
        <v>11.0</v>
      </c>
      <c r="BL13" s="23">
        <v>33.0</v>
      </c>
      <c r="BM13" s="23">
        <v>32.0</v>
      </c>
      <c r="BN13" s="23">
        <v>37.0</v>
      </c>
      <c r="BO13" s="23">
        <v>2.0</v>
      </c>
      <c r="BP13" s="23">
        <v>3.0</v>
      </c>
      <c r="BQ13" s="23">
        <v>4.0</v>
      </c>
      <c r="BR13" s="23">
        <v>3.0</v>
      </c>
      <c r="BS13" s="23">
        <v>7.0</v>
      </c>
      <c r="BT13" s="23">
        <v>42.0</v>
      </c>
      <c r="BU13" s="23">
        <v>43.0</v>
      </c>
      <c r="BV13" s="23">
        <v>4.0</v>
      </c>
      <c r="BW13" s="23">
        <v>1.0</v>
      </c>
      <c r="BX13" s="23">
        <v>6.0</v>
      </c>
      <c r="BY13" s="23">
        <v>3.0</v>
      </c>
      <c r="BZ13" s="23">
        <v>2.0</v>
      </c>
      <c r="CA13" s="23">
        <v>10.0</v>
      </c>
      <c r="CB13" s="23">
        <v>10.0</v>
      </c>
      <c r="CC13" s="23">
        <v>28.0</v>
      </c>
      <c r="CD13" s="23">
        <v>12.0</v>
      </c>
    </row>
    <row r="14" ht="14.25" customHeight="1">
      <c r="A14" s="21" t="s">
        <v>108</v>
      </c>
      <c r="B14" s="22" t="s">
        <v>109</v>
      </c>
      <c r="C14" s="22" t="s">
        <v>110</v>
      </c>
      <c r="D14" s="25">
        <v>6.26</v>
      </c>
      <c r="E14" s="50">
        <v>10.57</v>
      </c>
      <c r="F14" s="23">
        <v>2.14</v>
      </c>
      <c r="G14" s="23">
        <v>3.52</v>
      </c>
      <c r="H14" s="23">
        <v>3.6</v>
      </c>
      <c r="I14" s="23">
        <v>3.19</v>
      </c>
      <c r="J14" s="23">
        <v>3.21</v>
      </c>
      <c r="K14" s="24">
        <v>4.56</v>
      </c>
      <c r="L14" s="24">
        <v>5.37</v>
      </c>
      <c r="M14" s="23">
        <v>3.6</v>
      </c>
      <c r="N14" s="23">
        <v>3.71</v>
      </c>
      <c r="O14" s="23">
        <v>1.26</v>
      </c>
      <c r="P14" s="23">
        <v>3.63</v>
      </c>
      <c r="Q14" s="23">
        <v>1.06</v>
      </c>
      <c r="R14" s="23">
        <v>3.52</v>
      </c>
      <c r="S14" s="24">
        <v>4.09</v>
      </c>
      <c r="T14" s="23">
        <v>3.1</v>
      </c>
      <c r="U14" s="23">
        <v>2.43</v>
      </c>
      <c r="V14" s="23">
        <v>3.45</v>
      </c>
      <c r="W14" s="23">
        <v>3.07</v>
      </c>
      <c r="X14" s="23">
        <v>2.63</v>
      </c>
      <c r="Y14" s="23">
        <v>0.91</v>
      </c>
      <c r="Z14" s="23">
        <v>2.54</v>
      </c>
      <c r="AA14" s="24">
        <v>4.97</v>
      </c>
      <c r="AB14" s="23">
        <v>2.83</v>
      </c>
      <c r="AC14" s="23">
        <v>3.1</v>
      </c>
      <c r="AD14" s="24">
        <v>4.72</v>
      </c>
      <c r="AE14" s="25">
        <v>5.41</v>
      </c>
      <c r="AF14" s="23">
        <v>0.88</v>
      </c>
      <c r="AG14" s="24">
        <v>4.25</v>
      </c>
      <c r="AH14" s="23">
        <v>0.9</v>
      </c>
      <c r="AI14" s="23">
        <v>4.0</v>
      </c>
      <c r="AJ14" s="23">
        <v>3.12</v>
      </c>
      <c r="AK14" s="23">
        <v>0.8</v>
      </c>
      <c r="AL14" s="23">
        <v>0.2</v>
      </c>
      <c r="AM14" s="24">
        <v>4.23</v>
      </c>
      <c r="AN14" s="23">
        <v>0.2</v>
      </c>
      <c r="AO14" s="23">
        <v>0.8</v>
      </c>
      <c r="AP14" s="23">
        <v>0.2</v>
      </c>
      <c r="AQ14" s="23">
        <v>1.8</v>
      </c>
      <c r="AR14" s="23">
        <v>0.53</v>
      </c>
      <c r="AS14" s="23">
        <v>1.47</v>
      </c>
      <c r="AT14" s="23">
        <v>0.42</v>
      </c>
      <c r="AU14" s="23">
        <v>1.96</v>
      </c>
      <c r="AV14" s="23">
        <v>0.6</v>
      </c>
      <c r="AW14" s="26">
        <v>18.54</v>
      </c>
      <c r="AX14" s="23">
        <v>0.35</v>
      </c>
      <c r="AY14" s="23">
        <v>1.98</v>
      </c>
      <c r="AZ14" s="23">
        <v>3.61</v>
      </c>
      <c r="BA14" s="23">
        <v>0.7</v>
      </c>
      <c r="BB14" s="23">
        <v>0.14</v>
      </c>
      <c r="BC14" s="23">
        <v>2.2</v>
      </c>
      <c r="BD14" s="23">
        <v>2.47</v>
      </c>
      <c r="BE14" s="23">
        <v>0.8</v>
      </c>
      <c r="BF14" s="24">
        <v>4.06</v>
      </c>
      <c r="BG14" s="23">
        <v>3.01</v>
      </c>
      <c r="BH14" s="23">
        <v>0.63</v>
      </c>
      <c r="BI14" s="24">
        <v>3.94</v>
      </c>
      <c r="BJ14" s="23">
        <v>2.5</v>
      </c>
      <c r="BK14" s="23">
        <v>1.33</v>
      </c>
      <c r="BL14" s="23">
        <v>3.6</v>
      </c>
      <c r="BM14" s="23">
        <v>2.68</v>
      </c>
      <c r="BN14" s="24">
        <v>4.71</v>
      </c>
      <c r="BO14" s="23">
        <v>0.52</v>
      </c>
      <c r="BP14" s="23">
        <v>0.45</v>
      </c>
      <c r="BQ14" s="23">
        <v>0.55</v>
      </c>
      <c r="BR14" s="23">
        <v>0.47</v>
      </c>
      <c r="BS14" s="23">
        <v>2.71</v>
      </c>
      <c r="BT14" s="23">
        <v>2.79</v>
      </c>
      <c r="BU14" s="23">
        <v>2.22</v>
      </c>
      <c r="BV14" s="23">
        <v>0.93</v>
      </c>
      <c r="BW14" s="23">
        <v>0.25</v>
      </c>
      <c r="BX14" s="23">
        <v>3.45</v>
      </c>
      <c r="BY14" s="23">
        <v>1.1</v>
      </c>
      <c r="BZ14" s="23">
        <v>0.47</v>
      </c>
      <c r="CA14" s="23">
        <v>2.66</v>
      </c>
      <c r="CB14" s="23">
        <v>2.78</v>
      </c>
      <c r="CC14" s="24">
        <v>4.4</v>
      </c>
      <c r="CD14" s="23">
        <v>2.99</v>
      </c>
    </row>
    <row r="15" ht="14.25" customHeight="1">
      <c r="A15" s="21" t="s">
        <v>111</v>
      </c>
      <c r="B15" s="22" t="s">
        <v>112</v>
      </c>
      <c r="C15" s="22">
        <v>350.0</v>
      </c>
      <c r="D15" s="26">
        <v>239.0</v>
      </c>
      <c r="E15" s="51">
        <v>611.0</v>
      </c>
      <c r="F15" s="23">
        <v>82.0</v>
      </c>
      <c r="G15" s="25">
        <v>144.0</v>
      </c>
      <c r="H15" s="24">
        <v>124.0</v>
      </c>
      <c r="I15" s="24">
        <v>126.0</v>
      </c>
      <c r="J15" s="24">
        <v>126.0</v>
      </c>
      <c r="K15" s="23">
        <v>93.0</v>
      </c>
      <c r="L15" s="23">
        <v>90.0</v>
      </c>
      <c r="M15" s="25">
        <v>137.0</v>
      </c>
      <c r="N15" s="24">
        <v>117.0</v>
      </c>
      <c r="O15" s="23">
        <v>25.0</v>
      </c>
      <c r="P15" s="25">
        <v>143.0</v>
      </c>
      <c r="Q15" s="23">
        <v>30.0</v>
      </c>
      <c r="R15" s="23">
        <v>46.0</v>
      </c>
      <c r="S15" s="23">
        <v>59.0</v>
      </c>
      <c r="T15" s="23">
        <v>81.0</v>
      </c>
      <c r="U15" s="23">
        <v>82.0</v>
      </c>
      <c r="V15" s="23">
        <v>28.0</v>
      </c>
      <c r="W15" s="23">
        <v>81.0</v>
      </c>
      <c r="X15" s="24">
        <v>110.0</v>
      </c>
      <c r="Y15" s="23">
        <v>32.0</v>
      </c>
      <c r="Z15" s="23">
        <v>63.0</v>
      </c>
      <c r="AA15" s="25">
        <v>160.0</v>
      </c>
      <c r="AB15" s="23">
        <v>40.0</v>
      </c>
      <c r="AC15" s="23">
        <v>43.0</v>
      </c>
      <c r="AD15" s="25">
        <v>177.0</v>
      </c>
      <c r="AE15" s="50">
        <v>235.0</v>
      </c>
      <c r="AF15" s="23">
        <v>40.0</v>
      </c>
      <c r="AG15" s="24">
        <v>138.0</v>
      </c>
      <c r="AH15" s="23">
        <v>27.0</v>
      </c>
      <c r="AI15" s="25">
        <v>144.0</v>
      </c>
      <c r="AJ15" s="23">
        <v>35.0</v>
      </c>
      <c r="AK15" s="23">
        <v>35.0</v>
      </c>
      <c r="AL15" s="23">
        <v>13.0</v>
      </c>
      <c r="AM15" s="23">
        <v>23.0</v>
      </c>
      <c r="AN15" s="23">
        <v>8.0</v>
      </c>
      <c r="AO15" s="23">
        <v>25.0</v>
      </c>
      <c r="AP15" s="23">
        <v>12.0</v>
      </c>
      <c r="AQ15" s="25">
        <v>143.0</v>
      </c>
      <c r="AR15" s="23">
        <v>44.0</v>
      </c>
      <c r="AS15" s="25">
        <v>143.0</v>
      </c>
      <c r="AT15" s="23">
        <v>43.0</v>
      </c>
      <c r="AU15" s="25">
        <v>177.0</v>
      </c>
      <c r="AV15" s="23">
        <v>32.0</v>
      </c>
      <c r="AW15" s="51">
        <v>781.0</v>
      </c>
      <c r="AX15" s="23">
        <v>35.0</v>
      </c>
      <c r="AY15" s="24">
        <v>112.0</v>
      </c>
      <c r="AZ15" s="23">
        <v>80.0</v>
      </c>
      <c r="BA15" s="23">
        <v>12.0</v>
      </c>
      <c r="BB15" s="23">
        <v>3.0</v>
      </c>
      <c r="BC15" s="50">
        <v>231.0</v>
      </c>
      <c r="BD15" s="50">
        <v>221.0</v>
      </c>
      <c r="BE15" s="23">
        <v>51.0</v>
      </c>
      <c r="BF15" s="50">
        <v>251.0</v>
      </c>
      <c r="BG15" s="24">
        <v>114.0</v>
      </c>
      <c r="BH15" s="23">
        <v>44.0</v>
      </c>
      <c r="BI15" s="24">
        <v>119.0</v>
      </c>
      <c r="BJ15" s="23">
        <v>79.0</v>
      </c>
      <c r="BK15" s="23">
        <v>22.0</v>
      </c>
      <c r="BL15" s="24">
        <v>133.0</v>
      </c>
      <c r="BM15" s="23">
        <v>96.0</v>
      </c>
      <c r="BN15" s="23">
        <v>97.0</v>
      </c>
      <c r="BO15" s="23">
        <v>37.0</v>
      </c>
      <c r="BP15" s="23">
        <v>26.0</v>
      </c>
      <c r="BQ15" s="23">
        <v>13.0</v>
      </c>
      <c r="BR15" s="23">
        <v>28.0</v>
      </c>
      <c r="BS15" s="24">
        <v>127.0</v>
      </c>
      <c r="BT15" s="23">
        <v>64.0</v>
      </c>
      <c r="BU15" s="23">
        <v>13.0</v>
      </c>
      <c r="BV15" s="24">
        <v>119.0</v>
      </c>
      <c r="BW15" s="23">
        <v>36.0</v>
      </c>
      <c r="BX15" s="24">
        <v>127.0</v>
      </c>
      <c r="BY15" s="23">
        <v>32.0</v>
      </c>
      <c r="BZ15" s="23">
        <v>3.0</v>
      </c>
      <c r="CA15" s="24">
        <v>131.0</v>
      </c>
      <c r="CB15" s="24">
        <v>108.0</v>
      </c>
      <c r="CD15" s="24">
        <v>120.0</v>
      </c>
    </row>
    <row r="16" ht="14.25" customHeight="1">
      <c r="A16" s="21" t="s">
        <v>113</v>
      </c>
      <c r="B16" s="22" t="s">
        <v>114</v>
      </c>
      <c r="C16" s="22">
        <v>4000.0</v>
      </c>
      <c r="D16" s="26">
        <v>842.0</v>
      </c>
      <c r="E16" s="26">
        <v>1013.0</v>
      </c>
      <c r="F16" s="24">
        <v>200.0</v>
      </c>
      <c r="G16" s="25">
        <v>508.0</v>
      </c>
      <c r="H16" s="24">
        <v>332.0</v>
      </c>
      <c r="I16" s="24">
        <v>288.0</v>
      </c>
      <c r="J16" s="25">
        <v>493.0</v>
      </c>
      <c r="K16" s="25">
        <v>355.0</v>
      </c>
      <c r="L16" s="25">
        <v>402.0</v>
      </c>
      <c r="M16" s="25">
        <v>357.0</v>
      </c>
      <c r="N16" s="24">
        <v>323.0</v>
      </c>
      <c r="O16" s="24">
        <v>107.0</v>
      </c>
      <c r="P16" s="24">
        <v>258.0</v>
      </c>
      <c r="Q16" s="23">
        <v>89.0</v>
      </c>
      <c r="R16" s="24">
        <v>153.0</v>
      </c>
      <c r="S16" s="24">
        <v>188.0</v>
      </c>
      <c r="T16" s="24">
        <v>187.0</v>
      </c>
      <c r="U16" s="24">
        <v>202.0</v>
      </c>
      <c r="V16" s="24">
        <v>121.0</v>
      </c>
      <c r="W16" s="24">
        <v>185.0</v>
      </c>
      <c r="X16" s="24">
        <v>332.0</v>
      </c>
      <c r="Y16" s="24">
        <v>130.0</v>
      </c>
      <c r="Z16" s="24">
        <v>225.0</v>
      </c>
      <c r="AA16" s="25">
        <v>499.0</v>
      </c>
      <c r="AB16" s="24">
        <v>125.0</v>
      </c>
      <c r="AC16" s="24">
        <v>138.0</v>
      </c>
      <c r="AD16" s="25">
        <v>523.0</v>
      </c>
      <c r="AE16" s="26">
        <v>734.0</v>
      </c>
      <c r="AF16" s="24">
        <v>119.0</v>
      </c>
      <c r="AG16" s="25">
        <v>410.0</v>
      </c>
      <c r="AH16" s="23">
        <v>77.0</v>
      </c>
      <c r="AI16" s="25">
        <v>452.0</v>
      </c>
      <c r="AJ16" s="24">
        <v>141.0</v>
      </c>
      <c r="AK16" s="24">
        <v>108.0</v>
      </c>
      <c r="AL16" s="23">
        <v>37.0</v>
      </c>
      <c r="AM16" s="23">
        <v>95.0</v>
      </c>
      <c r="AN16" s="23">
        <v>33.0</v>
      </c>
      <c r="AO16" s="24">
        <v>115.0</v>
      </c>
      <c r="AP16" s="23">
        <v>43.0</v>
      </c>
      <c r="AQ16" s="24">
        <v>264.0</v>
      </c>
      <c r="AR16" s="23">
        <v>77.0</v>
      </c>
      <c r="AS16" s="25">
        <v>333.0</v>
      </c>
      <c r="AT16" s="23">
        <v>83.0</v>
      </c>
      <c r="AU16" s="25">
        <v>433.0</v>
      </c>
      <c r="AV16" s="23">
        <v>82.0</v>
      </c>
      <c r="AW16" s="26">
        <v>1677.0</v>
      </c>
      <c r="AX16" s="23">
        <v>98.0</v>
      </c>
      <c r="AY16" s="25">
        <v>337.0</v>
      </c>
      <c r="AZ16" s="24">
        <v>178.0</v>
      </c>
      <c r="BA16" s="24">
        <v>153.0</v>
      </c>
      <c r="BB16" s="23">
        <v>20.0</v>
      </c>
      <c r="BC16" s="25">
        <v>347.0</v>
      </c>
      <c r="BD16" s="24">
        <v>319.0</v>
      </c>
      <c r="BE16" s="23">
        <v>70.0</v>
      </c>
      <c r="BF16" s="25">
        <v>337.0</v>
      </c>
      <c r="BG16" s="24">
        <v>285.0</v>
      </c>
      <c r="BH16" s="24">
        <v>100.0</v>
      </c>
      <c r="BI16" s="24">
        <v>285.0</v>
      </c>
      <c r="BJ16" s="24">
        <v>221.0</v>
      </c>
      <c r="BK16" s="23">
        <v>54.0</v>
      </c>
      <c r="BL16" s="24">
        <v>264.0</v>
      </c>
      <c r="BM16" s="24">
        <v>296.0</v>
      </c>
      <c r="BN16" s="24">
        <v>303.0</v>
      </c>
      <c r="BO16" s="23">
        <v>89.0</v>
      </c>
      <c r="BP16" s="23">
        <v>77.0</v>
      </c>
      <c r="BQ16" s="23">
        <v>47.0</v>
      </c>
      <c r="BR16" s="23">
        <v>79.0</v>
      </c>
      <c r="BS16" s="24">
        <v>210.0</v>
      </c>
      <c r="BT16" s="23">
        <v>72.0</v>
      </c>
      <c r="BU16" s="23">
        <v>49.0</v>
      </c>
      <c r="BV16" s="24">
        <v>253.0</v>
      </c>
      <c r="BW16" s="23">
        <v>76.0</v>
      </c>
      <c r="BX16" s="24">
        <v>241.0</v>
      </c>
      <c r="BY16" s="24">
        <v>99.0</v>
      </c>
      <c r="BZ16" s="23">
        <v>13.0</v>
      </c>
      <c r="CA16" s="24">
        <v>300.0</v>
      </c>
      <c r="CB16" s="24">
        <v>250.0</v>
      </c>
      <c r="CC16" s="24">
        <v>287.0</v>
      </c>
      <c r="CD16" s="24">
        <v>288.0</v>
      </c>
    </row>
    <row r="17" ht="14.25" customHeight="1">
      <c r="A17" s="21" t="s">
        <v>115</v>
      </c>
      <c r="B17" s="22" t="s">
        <v>116</v>
      </c>
      <c r="C17" s="22" t="s">
        <v>100</v>
      </c>
      <c r="D17" s="24">
        <v>892.0</v>
      </c>
      <c r="E17" s="50">
        <v>1182.0</v>
      </c>
      <c r="F17" s="23">
        <v>169.0</v>
      </c>
      <c r="G17" s="23">
        <v>431.0</v>
      </c>
      <c r="H17" s="23">
        <v>340.0</v>
      </c>
      <c r="I17" s="23">
        <v>363.0</v>
      </c>
      <c r="J17" s="23">
        <v>397.0</v>
      </c>
      <c r="K17" s="23">
        <v>432.0</v>
      </c>
      <c r="L17" s="23">
        <v>435.0</v>
      </c>
      <c r="M17" s="23">
        <v>363.0</v>
      </c>
      <c r="N17" s="23">
        <v>394.0</v>
      </c>
      <c r="O17" s="23">
        <v>149.0</v>
      </c>
      <c r="P17" s="23">
        <v>215.0</v>
      </c>
      <c r="Q17" s="23">
        <v>44.0</v>
      </c>
      <c r="R17" s="23">
        <v>182.0</v>
      </c>
      <c r="S17" s="23">
        <v>223.0</v>
      </c>
      <c r="T17" s="23">
        <v>314.0</v>
      </c>
      <c r="U17" s="23">
        <v>248.0</v>
      </c>
      <c r="V17" s="23">
        <v>254.0</v>
      </c>
      <c r="W17" s="23">
        <v>227.0</v>
      </c>
      <c r="X17" s="23">
        <v>510.0</v>
      </c>
      <c r="Y17" s="23">
        <v>224.0</v>
      </c>
      <c r="Z17" s="23">
        <v>374.0</v>
      </c>
      <c r="AA17" s="23">
        <v>717.0</v>
      </c>
      <c r="AB17" s="23">
        <v>166.0</v>
      </c>
      <c r="AC17" s="23">
        <v>183.0</v>
      </c>
      <c r="AD17" s="23">
        <v>429.0</v>
      </c>
      <c r="AE17" s="23">
        <v>566.0</v>
      </c>
      <c r="AF17" s="23">
        <v>92.0</v>
      </c>
      <c r="AG17" s="23">
        <v>362.0</v>
      </c>
      <c r="AH17" s="23">
        <v>70.0</v>
      </c>
      <c r="AI17" s="23">
        <v>371.0</v>
      </c>
      <c r="AJ17" s="23">
        <v>147.0</v>
      </c>
      <c r="AK17" s="23">
        <v>86.0</v>
      </c>
      <c r="AL17" s="23">
        <v>29.0</v>
      </c>
      <c r="AM17" s="23">
        <v>76.0</v>
      </c>
      <c r="AN17" s="23">
        <v>26.0</v>
      </c>
      <c r="AO17" s="23">
        <v>115.0</v>
      </c>
      <c r="AP17" s="23">
        <v>35.0</v>
      </c>
      <c r="AQ17" s="23">
        <v>268.0</v>
      </c>
      <c r="AR17" s="23">
        <v>79.0</v>
      </c>
      <c r="AS17" s="23">
        <v>223.0</v>
      </c>
      <c r="AT17" s="23">
        <v>43.0</v>
      </c>
      <c r="AU17" s="23">
        <v>427.0</v>
      </c>
      <c r="AV17" s="23">
        <v>101.0</v>
      </c>
      <c r="AW17" s="50">
        <v>1485.0</v>
      </c>
      <c r="AX17" s="23">
        <v>76.0</v>
      </c>
      <c r="AY17" s="23">
        <v>289.0</v>
      </c>
      <c r="AZ17" s="23">
        <v>215.0</v>
      </c>
      <c r="BA17" s="23">
        <v>30.0</v>
      </c>
      <c r="BB17" s="23">
        <v>4.0</v>
      </c>
      <c r="BC17" s="23">
        <v>460.0</v>
      </c>
      <c r="BD17" s="23">
        <v>320.0</v>
      </c>
      <c r="BE17" s="23">
        <v>88.0</v>
      </c>
      <c r="BF17" s="23">
        <v>577.0</v>
      </c>
      <c r="BG17" s="23">
        <v>195.0</v>
      </c>
      <c r="BH17" s="23">
        <v>62.0</v>
      </c>
      <c r="BI17" s="23">
        <v>224.0</v>
      </c>
      <c r="BJ17" s="23">
        <v>280.0</v>
      </c>
      <c r="BK17" s="23">
        <v>93.0</v>
      </c>
      <c r="BL17" s="23">
        <v>452.0</v>
      </c>
      <c r="BM17" s="23">
        <v>309.0</v>
      </c>
      <c r="BN17" s="23">
        <v>224.0</v>
      </c>
      <c r="BO17" s="23">
        <v>270.0</v>
      </c>
      <c r="BP17" s="23">
        <v>218.0</v>
      </c>
      <c r="BQ17" s="23">
        <v>138.0</v>
      </c>
      <c r="BR17" s="23">
        <v>233.0</v>
      </c>
      <c r="BS17" s="23">
        <v>287.0</v>
      </c>
      <c r="BT17" s="23">
        <v>44.0</v>
      </c>
      <c r="BU17" s="23">
        <v>73.0</v>
      </c>
      <c r="BV17" s="23">
        <v>294.0</v>
      </c>
      <c r="BW17" s="23">
        <v>31.0</v>
      </c>
      <c r="BX17" s="23">
        <v>287.0</v>
      </c>
      <c r="BY17" s="23">
        <v>142.0</v>
      </c>
      <c r="BZ17" s="23">
        <v>3.0</v>
      </c>
      <c r="CA17" s="23">
        <v>301.0</v>
      </c>
      <c r="CB17" s="23">
        <v>225.0</v>
      </c>
      <c r="CC17" s="23">
        <v>350.0</v>
      </c>
      <c r="CD17" s="23">
        <v>311.0</v>
      </c>
    </row>
    <row r="18" ht="14.25" customHeight="1">
      <c r="A18" s="21" t="s">
        <v>117</v>
      </c>
      <c r="B18" s="22" t="s">
        <v>118</v>
      </c>
      <c r="C18" s="22">
        <v>2300.0</v>
      </c>
      <c r="D18" s="23">
        <v>12.0</v>
      </c>
      <c r="E18" s="23">
        <v>2.0</v>
      </c>
      <c r="F18" s="23">
        <v>16.0</v>
      </c>
      <c r="G18" s="23">
        <v>2.0</v>
      </c>
      <c r="H18" s="23">
        <v>2.0</v>
      </c>
      <c r="I18" s="23">
        <v>2.0</v>
      </c>
      <c r="J18" s="23">
        <v>2.0</v>
      </c>
      <c r="K18" s="23">
        <v>2.0</v>
      </c>
      <c r="L18" s="23">
        <v>2.0</v>
      </c>
      <c r="M18" s="23">
        <v>2.0</v>
      </c>
      <c r="N18" s="23">
        <v>3.0</v>
      </c>
      <c r="O18" s="23">
        <v>2.0</v>
      </c>
      <c r="P18" s="23">
        <v>8.0</v>
      </c>
      <c r="Q18" s="23">
        <v>3.0</v>
      </c>
      <c r="R18" s="34">
        <v>519.0</v>
      </c>
      <c r="S18" s="34">
        <v>611.0</v>
      </c>
      <c r="T18" s="34">
        <v>346.0</v>
      </c>
      <c r="U18" s="34">
        <v>472.0</v>
      </c>
      <c r="V18" s="34">
        <v>553.0</v>
      </c>
      <c r="W18" s="34">
        <v>486.0</v>
      </c>
      <c r="X18" s="23">
        <v>2.0</v>
      </c>
      <c r="Y18" s="23">
        <v>2.0</v>
      </c>
      <c r="Z18" s="23">
        <v>2.0</v>
      </c>
      <c r="AA18" s="23">
        <v>2.0</v>
      </c>
      <c r="AB18" s="34">
        <v>660.0</v>
      </c>
      <c r="AC18" s="34">
        <v>725.0</v>
      </c>
      <c r="AD18" s="23">
        <v>2.0</v>
      </c>
      <c r="AE18" s="23">
        <v>4.0</v>
      </c>
      <c r="AF18" s="23">
        <v>1.0</v>
      </c>
      <c r="AG18" s="23">
        <v>6.0</v>
      </c>
      <c r="AH18" s="23">
        <v>4.0</v>
      </c>
      <c r="AI18" s="23">
        <v>19.0</v>
      </c>
      <c r="AJ18" s="34">
        <v>407.0</v>
      </c>
      <c r="AK18" s="23">
        <v>1.0</v>
      </c>
      <c r="AL18" s="23">
        <v>0.0</v>
      </c>
      <c r="AM18" s="23">
        <v>1.0</v>
      </c>
      <c r="AN18" s="23">
        <v>0.0</v>
      </c>
      <c r="AO18" s="23">
        <v>5.0</v>
      </c>
      <c r="AP18" s="23">
        <v>1.0</v>
      </c>
      <c r="AQ18" s="23">
        <v>4.0</v>
      </c>
      <c r="AR18" s="23">
        <v>1.0</v>
      </c>
      <c r="AS18" s="23">
        <v>7.0</v>
      </c>
      <c r="AT18" s="23">
        <v>5.0</v>
      </c>
      <c r="AU18" s="23">
        <v>7.0</v>
      </c>
      <c r="AV18" s="23">
        <v>3.0</v>
      </c>
      <c r="AW18" s="23">
        <v>5.0</v>
      </c>
      <c r="AX18" s="23">
        <v>0.0</v>
      </c>
      <c r="AY18" s="23">
        <v>8.0</v>
      </c>
      <c r="AZ18" s="34">
        <v>303.0</v>
      </c>
      <c r="BA18" s="25">
        <v>182.0</v>
      </c>
      <c r="BB18" s="23">
        <v>19.0</v>
      </c>
      <c r="BC18" s="23">
        <v>1.0</v>
      </c>
      <c r="BD18" s="23">
        <v>11.0</v>
      </c>
      <c r="BE18" s="23">
        <v>4.0</v>
      </c>
      <c r="BF18" s="23">
        <v>11.0</v>
      </c>
      <c r="BG18" s="23">
        <v>5.0</v>
      </c>
      <c r="BH18" s="23">
        <v>2.0</v>
      </c>
      <c r="BI18" s="23">
        <v>4.0</v>
      </c>
      <c r="BJ18" s="23">
        <v>9.0</v>
      </c>
      <c r="BK18" s="23">
        <v>3.0</v>
      </c>
      <c r="BL18" s="23">
        <v>12.0</v>
      </c>
      <c r="BM18" s="23">
        <v>4.0</v>
      </c>
      <c r="BN18" s="23">
        <v>11.0</v>
      </c>
      <c r="BO18" s="23">
        <v>15.0</v>
      </c>
      <c r="BP18" s="23">
        <v>1.0</v>
      </c>
      <c r="BQ18" s="34">
        <v>186.0</v>
      </c>
      <c r="BR18" s="23">
        <v>1.0</v>
      </c>
      <c r="BS18" s="23">
        <v>35.0</v>
      </c>
      <c r="BT18" s="23">
        <v>7.0</v>
      </c>
      <c r="BU18" s="23">
        <v>10.0</v>
      </c>
      <c r="BV18" s="23">
        <v>3.0</v>
      </c>
      <c r="BW18" s="23">
        <v>0.0</v>
      </c>
      <c r="BX18" s="23">
        <v>35.0</v>
      </c>
      <c r="BY18" s="23">
        <v>7.0</v>
      </c>
      <c r="BZ18" s="23">
        <v>9.0</v>
      </c>
      <c r="CA18" s="23">
        <v>4.0</v>
      </c>
      <c r="CB18" s="34">
        <v>884.0</v>
      </c>
      <c r="CC18" s="23">
        <v>6.0</v>
      </c>
      <c r="CD18" s="23">
        <v>4.0</v>
      </c>
    </row>
    <row r="19" ht="14.25" customHeight="1">
      <c r="A19" s="21" t="s">
        <v>119</v>
      </c>
      <c r="B19" s="22" t="s">
        <v>120</v>
      </c>
      <c r="C19" s="22">
        <v>40.0</v>
      </c>
      <c r="D19" s="26">
        <v>12.29</v>
      </c>
      <c r="E19" s="25">
        <v>7.27</v>
      </c>
      <c r="F19" s="23">
        <v>1.65</v>
      </c>
      <c r="G19" s="24">
        <v>4.16</v>
      </c>
      <c r="H19" s="23">
        <v>2.78</v>
      </c>
      <c r="I19" s="23">
        <v>2.65</v>
      </c>
      <c r="J19" s="23">
        <v>2.63</v>
      </c>
      <c r="K19" s="23">
        <v>3.33</v>
      </c>
      <c r="L19" s="23">
        <v>3.46</v>
      </c>
      <c r="M19" s="23">
        <v>2.6</v>
      </c>
      <c r="N19" s="23">
        <v>2.96</v>
      </c>
      <c r="O19" s="23">
        <v>1.02</v>
      </c>
      <c r="P19" s="23">
        <v>2.37</v>
      </c>
      <c r="Q19" s="23">
        <v>0.81</v>
      </c>
      <c r="R19" s="23">
        <v>1.18</v>
      </c>
      <c r="S19" s="23">
        <v>1.47</v>
      </c>
      <c r="T19" s="23">
        <v>1.5</v>
      </c>
      <c r="U19" s="23">
        <v>1.8</v>
      </c>
      <c r="V19" s="23">
        <v>0.98</v>
      </c>
      <c r="W19" s="23">
        <v>1.35</v>
      </c>
      <c r="X19" s="23">
        <v>2.65</v>
      </c>
      <c r="Y19" s="23">
        <v>1.33</v>
      </c>
      <c r="Z19" s="23">
        <v>2.17</v>
      </c>
      <c r="AA19" s="24">
        <v>5.04</v>
      </c>
      <c r="AB19" s="23">
        <v>1.14</v>
      </c>
      <c r="AC19" s="23">
        <v>1.25</v>
      </c>
      <c r="AD19" s="24">
        <v>3.97</v>
      </c>
      <c r="AE19" s="23">
        <v>3.11</v>
      </c>
      <c r="AF19" s="23">
        <v>0.53</v>
      </c>
      <c r="AG19" s="23">
        <v>3.64</v>
      </c>
      <c r="AH19" s="23">
        <v>1.0</v>
      </c>
      <c r="AI19" s="23">
        <v>3.2</v>
      </c>
      <c r="AJ19" s="23">
        <v>0.89</v>
      </c>
      <c r="AK19" s="23">
        <v>1.16</v>
      </c>
      <c r="AL19" s="23">
        <v>0.42</v>
      </c>
      <c r="AM19" s="23">
        <v>1.1</v>
      </c>
      <c r="AN19" s="23">
        <v>0.4</v>
      </c>
      <c r="AO19" s="23">
        <v>1.09</v>
      </c>
      <c r="AP19" s="23">
        <v>0.49</v>
      </c>
      <c r="AQ19" s="23">
        <v>2.02</v>
      </c>
      <c r="AR19" s="23">
        <v>0.62</v>
      </c>
      <c r="AS19" s="23">
        <v>2.02</v>
      </c>
      <c r="AT19" s="23">
        <v>0.63</v>
      </c>
      <c r="AU19" s="24">
        <v>5.96</v>
      </c>
      <c r="AV19" s="23">
        <v>1.34</v>
      </c>
      <c r="AW19" s="24">
        <v>6.04</v>
      </c>
      <c r="AX19" s="23">
        <v>0.8</v>
      </c>
      <c r="AY19" s="23">
        <v>2.45</v>
      </c>
      <c r="AZ19" s="23">
        <v>1.31</v>
      </c>
      <c r="BA19" s="23">
        <v>0.74</v>
      </c>
      <c r="BB19" s="23">
        <v>0.25</v>
      </c>
      <c r="BC19" s="23">
        <v>2.4</v>
      </c>
      <c r="BD19" s="23">
        <v>2.42</v>
      </c>
      <c r="BE19" s="23">
        <v>0.61</v>
      </c>
      <c r="BF19" s="23">
        <v>3.12</v>
      </c>
      <c r="BG19" s="23">
        <v>1.68</v>
      </c>
      <c r="BH19" s="23">
        <v>0.91</v>
      </c>
      <c r="BI19" s="23">
        <v>2.63</v>
      </c>
      <c r="BJ19" s="23">
        <v>2.13</v>
      </c>
      <c r="BK19" s="23">
        <v>0.82</v>
      </c>
      <c r="BL19" s="23">
        <v>2.77</v>
      </c>
      <c r="BM19" s="23">
        <v>2.0</v>
      </c>
      <c r="BN19" s="23">
        <v>2.06</v>
      </c>
      <c r="BO19" s="23">
        <v>0.46</v>
      </c>
      <c r="BP19" s="23">
        <v>0.62</v>
      </c>
      <c r="BQ19" s="23">
        <v>0.34</v>
      </c>
      <c r="BR19" s="23">
        <v>0.63</v>
      </c>
      <c r="BS19" s="23">
        <v>2.21</v>
      </c>
      <c r="BT19" s="23">
        <v>1.56</v>
      </c>
      <c r="BU19" s="23">
        <v>0.27</v>
      </c>
      <c r="BV19" s="23">
        <v>1.79</v>
      </c>
      <c r="BW19" s="23">
        <v>0.63</v>
      </c>
      <c r="BX19" s="23">
        <v>1.82</v>
      </c>
      <c r="BY19" s="23">
        <v>0.66</v>
      </c>
      <c r="BZ19" s="23">
        <v>0.06</v>
      </c>
      <c r="CA19" s="23">
        <v>3.44</v>
      </c>
      <c r="CB19" s="23">
        <v>2.64</v>
      </c>
      <c r="CD19" s="23">
        <v>1.44</v>
      </c>
    </row>
    <row r="20" ht="14.25" customHeight="1">
      <c r="A20" s="21" t="s">
        <v>121</v>
      </c>
      <c r="B20" s="22" t="s">
        <v>122</v>
      </c>
      <c r="C20" s="22">
        <v>10.0</v>
      </c>
      <c r="D20" s="25">
        <v>0.796</v>
      </c>
      <c r="E20" s="26">
        <v>0.998</v>
      </c>
      <c r="F20" s="23">
        <v>0.261</v>
      </c>
      <c r="G20" s="24">
        <v>0.553</v>
      </c>
      <c r="H20" s="24">
        <v>0.41</v>
      </c>
      <c r="I20" s="24">
        <v>0.434</v>
      </c>
      <c r="J20" s="24">
        <v>0.45</v>
      </c>
      <c r="K20" s="23">
        <v>0.363</v>
      </c>
      <c r="L20" s="24">
        <v>0.426</v>
      </c>
      <c r="M20" s="24">
        <v>0.41</v>
      </c>
      <c r="N20" s="24">
        <v>0.475</v>
      </c>
      <c r="O20" s="23">
        <v>0.188</v>
      </c>
      <c r="P20" s="24">
        <v>0.454</v>
      </c>
      <c r="Q20" s="23">
        <v>0.167</v>
      </c>
      <c r="R20" s="23">
        <v>0.161</v>
      </c>
      <c r="S20" s="23">
        <v>0.198</v>
      </c>
      <c r="T20" s="23">
        <v>0.253</v>
      </c>
      <c r="U20" s="23">
        <v>0.377</v>
      </c>
      <c r="V20" s="23">
        <v>0.204</v>
      </c>
      <c r="W20" s="23">
        <v>0.221</v>
      </c>
      <c r="X20" s="23">
        <v>0.367</v>
      </c>
      <c r="Y20" s="23">
        <v>0.213</v>
      </c>
      <c r="Z20" s="23">
        <v>0.331</v>
      </c>
      <c r="AA20" s="23">
        <v>0.56</v>
      </c>
      <c r="AB20" s="23">
        <v>0.186</v>
      </c>
      <c r="AC20" s="23">
        <v>0.204</v>
      </c>
      <c r="AD20" s="25">
        <v>0.626</v>
      </c>
      <c r="AE20" s="24">
        <v>0.403</v>
      </c>
      <c r="AF20" s="23">
        <v>0.066</v>
      </c>
      <c r="AG20" s="24">
        <v>0.391</v>
      </c>
      <c r="AH20" s="23">
        <v>0.074</v>
      </c>
      <c r="AI20" s="24">
        <v>0.437</v>
      </c>
      <c r="AJ20" s="23">
        <v>0.135</v>
      </c>
      <c r="AK20" s="23">
        <v>0.11</v>
      </c>
      <c r="AL20" s="23">
        <v>0.038</v>
      </c>
      <c r="AM20" s="23">
        <v>0.21</v>
      </c>
      <c r="AN20" s="23">
        <v>0.072</v>
      </c>
      <c r="AO20" s="23">
        <v>0.22</v>
      </c>
      <c r="AP20" s="23">
        <v>0.069</v>
      </c>
      <c r="AQ20" s="23">
        <v>0.277</v>
      </c>
      <c r="AR20" s="23">
        <v>0.081</v>
      </c>
      <c r="AS20" s="23">
        <v>0.277</v>
      </c>
      <c r="AT20" s="23">
        <v>0.1</v>
      </c>
      <c r="AU20" s="24">
        <v>0.524</v>
      </c>
      <c r="AV20" s="23">
        <v>0.121</v>
      </c>
      <c r="AW20" s="25">
        <v>0.728</v>
      </c>
      <c r="AX20" s="23">
        <v>0.13</v>
      </c>
      <c r="AY20" s="23">
        <v>0.23</v>
      </c>
      <c r="AZ20" s="23">
        <v>0.184</v>
      </c>
      <c r="BA20" s="23">
        <v>0.078</v>
      </c>
      <c r="BB20" s="23">
        <v>0.038</v>
      </c>
      <c r="BC20" s="26">
        <v>1.1</v>
      </c>
      <c r="BD20" s="25">
        <v>0.624</v>
      </c>
      <c r="BE20" s="23">
        <v>0.146</v>
      </c>
      <c r="BF20" s="24">
        <v>0.515</v>
      </c>
      <c r="BG20" s="24">
        <v>0.75</v>
      </c>
      <c r="BH20" s="23">
        <v>0.161</v>
      </c>
      <c r="BI20" s="24">
        <v>0.535</v>
      </c>
      <c r="BJ20" s="24">
        <v>0.42</v>
      </c>
      <c r="BK20" s="23">
        <v>0.105</v>
      </c>
      <c r="BL20" s="24">
        <v>0.498</v>
      </c>
      <c r="BM20" s="23">
        <v>0.343</v>
      </c>
      <c r="BN20" s="23">
        <v>0.27</v>
      </c>
      <c r="BO20" s="23">
        <v>0.054</v>
      </c>
      <c r="BP20" s="23">
        <v>0.049</v>
      </c>
      <c r="BQ20" s="23">
        <v>0.045</v>
      </c>
      <c r="BR20" s="23">
        <v>0.048</v>
      </c>
      <c r="BS20" s="23">
        <v>0.314</v>
      </c>
      <c r="BT20" s="23">
        <v>0.248</v>
      </c>
      <c r="BU20" s="23">
        <v>0.088</v>
      </c>
      <c r="BV20" s="23">
        <v>0.202</v>
      </c>
      <c r="BW20" s="23">
        <v>0.064</v>
      </c>
      <c r="BX20" s="23">
        <v>0.193</v>
      </c>
      <c r="BY20" s="23">
        <v>0.076</v>
      </c>
      <c r="BZ20" s="23">
        <v>0.05</v>
      </c>
      <c r="CA20" s="24">
        <v>0.42</v>
      </c>
      <c r="CB20" s="23">
        <v>0.221</v>
      </c>
      <c r="CD20" s="23">
        <v>0.222</v>
      </c>
    </row>
    <row r="21" ht="14.25" customHeight="1">
      <c r="A21" s="21" t="s">
        <v>123</v>
      </c>
      <c r="B21" s="22" t="s">
        <v>124</v>
      </c>
      <c r="C21" s="22">
        <v>11.0</v>
      </c>
      <c r="D21" s="51">
        <v>13.301</v>
      </c>
      <c r="E21" s="51">
        <v>11.5</v>
      </c>
      <c r="F21" s="25">
        <v>1.858</v>
      </c>
      <c r="G21" s="26">
        <v>3.012</v>
      </c>
      <c r="H21" s="26">
        <v>4.055</v>
      </c>
      <c r="I21" s="26">
        <v>3.985</v>
      </c>
      <c r="J21" s="26">
        <v>4.391</v>
      </c>
      <c r="K21" s="26">
        <v>3.821</v>
      </c>
      <c r="L21" s="26">
        <v>3.406</v>
      </c>
      <c r="M21" s="26">
        <v>4.067</v>
      </c>
      <c r="N21" s="26">
        <v>3.399</v>
      </c>
      <c r="O21" s="23">
        <v>0.818</v>
      </c>
      <c r="P21" s="26">
        <v>3.055</v>
      </c>
      <c r="Q21" s="24">
        <v>1.379</v>
      </c>
      <c r="R21" s="24">
        <v>1.192</v>
      </c>
      <c r="S21" s="24">
        <v>1.377</v>
      </c>
      <c r="T21" s="25">
        <v>1.881</v>
      </c>
      <c r="U21" s="50">
        <v>2.135</v>
      </c>
      <c r="V21" s="23">
        <v>0.845</v>
      </c>
      <c r="W21" s="25">
        <v>1.668</v>
      </c>
      <c r="X21" s="26">
        <v>2.577</v>
      </c>
      <c r="Y21" s="24">
        <v>1.162</v>
      </c>
      <c r="Z21" s="26">
        <v>2.412</v>
      </c>
      <c r="AA21" s="26">
        <v>6.062</v>
      </c>
      <c r="AB21" s="23">
        <v>0.824</v>
      </c>
      <c r="AC21" s="23">
        <v>0.905</v>
      </c>
      <c r="AD21" s="26">
        <v>4.916</v>
      </c>
      <c r="AE21" s="26">
        <v>5.63</v>
      </c>
      <c r="AF21" s="23">
        <v>0.964</v>
      </c>
      <c r="AG21" s="26">
        <v>3.63</v>
      </c>
      <c r="AH21" s="23">
        <v>0.58</v>
      </c>
      <c r="AI21" s="26">
        <v>4.019</v>
      </c>
      <c r="AJ21" s="23">
        <v>0.779</v>
      </c>
      <c r="AK21" s="24">
        <v>1.1</v>
      </c>
      <c r="AL21" s="23">
        <v>0.377</v>
      </c>
      <c r="AM21" s="24">
        <v>1.037</v>
      </c>
      <c r="AN21" s="23">
        <v>0.357</v>
      </c>
      <c r="AO21" s="24">
        <v>1.088</v>
      </c>
      <c r="AP21" s="23">
        <v>0.472</v>
      </c>
      <c r="AQ21" s="26">
        <v>3.743</v>
      </c>
      <c r="AR21" s="24">
        <v>1.097</v>
      </c>
      <c r="AS21" s="26">
        <v>3.743</v>
      </c>
      <c r="AT21" s="23">
        <v>0.905</v>
      </c>
      <c r="AU21" s="24">
        <v>1.329</v>
      </c>
      <c r="AV21" s="23">
        <v>0.282</v>
      </c>
      <c r="AW21" s="51">
        <v>14.21</v>
      </c>
      <c r="AX21" s="24">
        <v>1.2</v>
      </c>
      <c r="AY21" s="26">
        <v>4.013</v>
      </c>
      <c r="AZ21" s="25">
        <v>1.585</v>
      </c>
      <c r="BA21" s="23">
        <v>0.498</v>
      </c>
      <c r="BB21" s="23">
        <v>0.114</v>
      </c>
      <c r="BC21" s="24">
        <v>1.3</v>
      </c>
      <c r="BD21" s="25">
        <v>1.618</v>
      </c>
      <c r="BE21" s="23">
        <v>0.403</v>
      </c>
      <c r="BF21" s="50">
        <v>2.03</v>
      </c>
      <c r="BG21" s="25">
        <v>1.632</v>
      </c>
      <c r="BH21" s="23">
        <v>0.272</v>
      </c>
      <c r="BI21" s="24">
        <v>1.002</v>
      </c>
      <c r="BJ21" s="24">
        <v>1.322</v>
      </c>
      <c r="BK21" s="23">
        <v>0.259</v>
      </c>
      <c r="BL21" s="50">
        <v>1.943</v>
      </c>
      <c r="BM21" s="24">
        <v>1.034</v>
      </c>
      <c r="BN21" s="24">
        <v>1.193</v>
      </c>
      <c r="BO21" s="23">
        <v>0.163</v>
      </c>
      <c r="BP21" s="23">
        <v>0.167</v>
      </c>
      <c r="BQ21" s="23">
        <v>0.114</v>
      </c>
      <c r="BR21" s="23">
        <v>0.155</v>
      </c>
      <c r="BS21" s="23">
        <v>0.485</v>
      </c>
      <c r="BT21" s="23">
        <v>0.14</v>
      </c>
      <c r="BU21" s="23">
        <v>0.082</v>
      </c>
      <c r="BV21" s="23">
        <v>0.483</v>
      </c>
      <c r="BW21" s="23">
        <v>0.153</v>
      </c>
      <c r="BX21" s="23">
        <v>0.498</v>
      </c>
      <c r="BY21" s="23">
        <v>0.174</v>
      </c>
      <c r="BZ21" s="23">
        <v>0.053</v>
      </c>
      <c r="CA21" s="23">
        <v>0.943</v>
      </c>
      <c r="CB21" s="23">
        <v>0.879</v>
      </c>
      <c r="CD21" s="23">
        <v>1.262</v>
      </c>
    </row>
    <row r="22" ht="14.25" customHeight="1">
      <c r="A22" s="21" t="s">
        <v>125</v>
      </c>
      <c r="B22" s="22" t="s">
        <v>126</v>
      </c>
      <c r="C22" s="22">
        <v>400.0</v>
      </c>
      <c r="D22" s="26">
        <v>79.2</v>
      </c>
      <c r="E22" s="26">
        <v>77.6</v>
      </c>
      <c r="F22" s="26">
        <v>42.5</v>
      </c>
      <c r="G22" s="26">
        <v>89.4</v>
      </c>
      <c r="H22" s="26">
        <v>70.7</v>
      </c>
      <c r="I22" s="26">
        <v>70.7</v>
      </c>
      <c r="M22" s="26">
        <v>61.8</v>
      </c>
      <c r="N22" s="23">
        <v>12.7</v>
      </c>
      <c r="O22" s="23">
        <v>14.6</v>
      </c>
      <c r="Q22" s="24">
        <v>25.9</v>
      </c>
      <c r="R22" s="24">
        <v>28.8</v>
      </c>
      <c r="S22" s="24">
        <v>33.4</v>
      </c>
      <c r="T22" s="25">
        <v>38.6</v>
      </c>
      <c r="U22" s="25">
        <v>40.3</v>
      </c>
      <c r="V22" s="24">
        <v>27.2</v>
      </c>
      <c r="W22" s="24">
        <v>31.0</v>
      </c>
      <c r="X22" s="23">
        <v>13.9</v>
      </c>
      <c r="Y22" s="23">
        <v>17.6</v>
      </c>
      <c r="Z22" s="23">
        <v>14.4</v>
      </c>
      <c r="AA22" s="23">
        <v>18.0</v>
      </c>
      <c r="AB22" s="24">
        <v>30.9</v>
      </c>
      <c r="AC22" s="24">
        <v>34.0</v>
      </c>
      <c r="AE22" s="50">
        <v>45.2</v>
      </c>
      <c r="AF22" s="23">
        <v>7.7</v>
      </c>
      <c r="AG22" s="24">
        <v>28.9</v>
      </c>
      <c r="AH22" s="23">
        <v>5.4</v>
      </c>
      <c r="AI22" s="24">
        <v>34.0</v>
      </c>
      <c r="AJ22" s="24">
        <v>30.0</v>
      </c>
      <c r="AM22" s="23">
        <v>15.1</v>
      </c>
      <c r="AO22" s="23">
        <v>15.1</v>
      </c>
      <c r="AP22" s="23">
        <v>7.5</v>
      </c>
      <c r="AS22" s="23">
        <v>23.4</v>
      </c>
      <c r="AT22" s="23">
        <v>9.8</v>
      </c>
      <c r="AU22" s="23">
        <v>2.8</v>
      </c>
      <c r="AV22" s="23">
        <v>0.8</v>
      </c>
      <c r="AW22" s="23">
        <v>15.6</v>
      </c>
      <c r="AX22" s="23">
        <v>15.1</v>
      </c>
      <c r="AZ22" s="24">
        <v>28.7</v>
      </c>
      <c r="BA22" s="23">
        <v>15.1</v>
      </c>
      <c r="BB22" s="23">
        <v>4.5</v>
      </c>
      <c r="BC22" s="23">
        <v>8.3</v>
      </c>
      <c r="BD22" s="23">
        <v>8.4</v>
      </c>
      <c r="BE22" s="23">
        <v>2.2</v>
      </c>
      <c r="BF22" s="23">
        <v>5.7</v>
      </c>
      <c r="BG22" s="23">
        <v>2.7</v>
      </c>
      <c r="BH22" s="23">
        <v>0.9</v>
      </c>
      <c r="BI22" s="24">
        <v>32.7</v>
      </c>
      <c r="BJ22" s="24">
        <v>37.7</v>
      </c>
      <c r="BK22" s="23">
        <v>8.6</v>
      </c>
      <c r="BL22" s="24">
        <v>37.7</v>
      </c>
      <c r="BM22" s="24">
        <v>37.7</v>
      </c>
      <c r="BN22" s="24">
        <v>37.7</v>
      </c>
      <c r="BO22" s="23">
        <v>0.6</v>
      </c>
      <c r="BP22" s="23">
        <v>0.2</v>
      </c>
      <c r="BQ22" s="23">
        <v>0.7</v>
      </c>
      <c r="BR22" s="23">
        <v>0.7</v>
      </c>
      <c r="BS22" s="23">
        <v>15.5</v>
      </c>
      <c r="BT22" s="23">
        <v>16.5</v>
      </c>
      <c r="BU22" s="23">
        <v>5.1</v>
      </c>
      <c r="BV22" s="23">
        <v>7.9</v>
      </c>
      <c r="BW22" s="23">
        <v>2.8</v>
      </c>
      <c r="BX22" s="23">
        <v>15.5</v>
      </c>
      <c r="BY22" s="23">
        <v>10.5</v>
      </c>
      <c r="BZ22" s="23">
        <v>2.8</v>
      </c>
      <c r="CA22" s="23">
        <v>9.9</v>
      </c>
      <c r="CB22" s="23">
        <v>7.3</v>
      </c>
      <c r="CD22" s="23">
        <v>12.2</v>
      </c>
    </row>
    <row r="23" ht="14.25" customHeight="1">
      <c r="A23" s="21" t="s">
        <v>127</v>
      </c>
      <c r="B23" s="22" t="s">
        <v>128</v>
      </c>
      <c r="C23" s="22" t="s">
        <v>129</v>
      </c>
      <c r="AB23" s="23">
        <v>51.0</v>
      </c>
      <c r="AH23" s="23">
        <v>71.6</v>
      </c>
      <c r="BU23" s="23">
        <v>17.0</v>
      </c>
    </row>
    <row r="24" ht="14.25" customHeight="1">
      <c r="A24" s="19" t="s">
        <v>130</v>
      </c>
      <c r="B24" s="27"/>
      <c r="C24" s="27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</row>
    <row r="25" ht="14.25" customHeight="1">
      <c r="A25" s="21" t="s">
        <v>131</v>
      </c>
      <c r="B25" s="22">
        <v>90.0</v>
      </c>
      <c r="C25" s="22">
        <v>2000.0</v>
      </c>
      <c r="D25" s="23">
        <v>0.0</v>
      </c>
      <c r="E25" s="23">
        <v>0.0</v>
      </c>
      <c r="F25" s="23">
        <v>2.6</v>
      </c>
      <c r="G25" s="23">
        <v>0.0</v>
      </c>
      <c r="H25" s="23">
        <v>0.0</v>
      </c>
      <c r="I25" s="23">
        <v>0.0</v>
      </c>
      <c r="J25" s="23">
        <v>0.0</v>
      </c>
      <c r="K25" s="23">
        <v>0.0</v>
      </c>
      <c r="L25" s="23">
        <v>0.0</v>
      </c>
      <c r="M25" s="23">
        <v>0.0</v>
      </c>
      <c r="N25" s="23">
        <v>0.0</v>
      </c>
      <c r="O25" s="23">
        <v>0.0</v>
      </c>
      <c r="P25" s="23">
        <v>0.0</v>
      </c>
      <c r="Q25" s="23">
        <v>0.0</v>
      </c>
      <c r="R25" s="23">
        <v>0.2</v>
      </c>
      <c r="S25" s="23">
        <v>0.2</v>
      </c>
      <c r="T25" s="23">
        <v>0.0</v>
      </c>
      <c r="U25" s="23">
        <v>0.0</v>
      </c>
      <c r="V25" s="23">
        <v>0.2</v>
      </c>
      <c r="W25" s="23">
        <v>0.0</v>
      </c>
      <c r="X25" s="23">
        <v>0.0</v>
      </c>
      <c r="Y25" s="23">
        <v>0.0</v>
      </c>
      <c r="Z25" s="23">
        <v>0.0</v>
      </c>
      <c r="AA25" s="23">
        <v>0.0</v>
      </c>
      <c r="AB25" s="23">
        <v>0.4</v>
      </c>
      <c r="AC25" s="23">
        <v>0.2</v>
      </c>
      <c r="AD25" s="23">
        <v>0.0</v>
      </c>
      <c r="AE25" s="23">
        <v>0.0</v>
      </c>
      <c r="AF25" s="23">
        <v>0.0</v>
      </c>
      <c r="AG25" s="23">
        <v>0.0</v>
      </c>
      <c r="AH25" s="23">
        <v>0.0</v>
      </c>
      <c r="AI25" s="23">
        <v>0.0</v>
      </c>
      <c r="AJ25" s="23">
        <v>0.0</v>
      </c>
      <c r="AK25" s="23">
        <v>0.0</v>
      </c>
      <c r="AL25" s="23">
        <v>0.0</v>
      </c>
      <c r="AM25" s="23">
        <v>0.0</v>
      </c>
      <c r="AN25" s="23">
        <v>0.0</v>
      </c>
      <c r="AO25" s="23">
        <v>0.0</v>
      </c>
      <c r="AP25" s="23">
        <v>0.0</v>
      </c>
      <c r="AQ25" s="23">
        <v>0.0</v>
      </c>
      <c r="AR25" s="23">
        <v>0.0</v>
      </c>
      <c r="AS25" s="23">
        <v>0.0</v>
      </c>
      <c r="AT25" s="23">
        <v>0.0</v>
      </c>
      <c r="AU25" s="23">
        <v>0.0</v>
      </c>
      <c r="AV25" s="23">
        <v>0.0</v>
      </c>
      <c r="AW25" s="23">
        <v>0.0</v>
      </c>
      <c r="AX25" s="23">
        <v>0.0</v>
      </c>
      <c r="AY25" s="23">
        <v>0.0</v>
      </c>
      <c r="AZ25" s="23">
        <v>0.0</v>
      </c>
      <c r="BA25" s="23">
        <v>0.0</v>
      </c>
      <c r="BB25" s="23">
        <v>0.0</v>
      </c>
      <c r="BC25" s="23">
        <v>0.0</v>
      </c>
      <c r="BD25" s="23">
        <v>0.0</v>
      </c>
      <c r="BE25" s="23">
        <v>0.0</v>
      </c>
      <c r="BF25" s="23">
        <v>0.0</v>
      </c>
      <c r="BG25" s="23">
        <v>0.0</v>
      </c>
      <c r="BH25" s="23">
        <v>0.0</v>
      </c>
      <c r="BI25" s="23">
        <v>0.0</v>
      </c>
      <c r="BJ25" s="23">
        <v>0.0</v>
      </c>
      <c r="BK25" s="23">
        <v>0.0</v>
      </c>
      <c r="BL25" s="23">
        <v>0.0</v>
      </c>
      <c r="BM25" s="23">
        <v>0.0</v>
      </c>
      <c r="BN25" s="23">
        <v>0.6</v>
      </c>
      <c r="BO25" s="23">
        <v>6.8</v>
      </c>
      <c r="BP25" s="23">
        <v>5.5</v>
      </c>
      <c r="BQ25" s="23">
        <v>1.6</v>
      </c>
      <c r="BR25" s="23">
        <v>3.5</v>
      </c>
      <c r="BS25" s="23">
        <v>0.0</v>
      </c>
      <c r="BT25" s="23">
        <v>0.0</v>
      </c>
      <c r="BU25" s="23">
        <v>0.0</v>
      </c>
      <c r="BV25" s="23">
        <v>0.0</v>
      </c>
      <c r="BW25" s="23">
        <v>0.0</v>
      </c>
      <c r="BX25" s="23">
        <v>0.0</v>
      </c>
      <c r="BY25" s="23">
        <v>0.0</v>
      </c>
      <c r="BZ25" s="23">
        <v>0.0</v>
      </c>
      <c r="CA25" s="23">
        <v>0.0</v>
      </c>
      <c r="CB25" s="23">
        <v>0.3</v>
      </c>
      <c r="CC25" s="23">
        <v>0.0</v>
      </c>
      <c r="CD25" s="23">
        <v>0.0</v>
      </c>
    </row>
    <row r="26" ht="14.25" customHeight="1">
      <c r="A26" s="21" t="s">
        <v>132</v>
      </c>
      <c r="B26" s="22" t="s">
        <v>133</v>
      </c>
      <c r="C26" s="22" t="s">
        <v>100</v>
      </c>
      <c r="D26" s="26">
        <v>1.882</v>
      </c>
      <c r="E26" s="24">
        <v>0.523</v>
      </c>
      <c r="F26" s="23">
        <v>0.225</v>
      </c>
      <c r="G26" s="23">
        <v>0.419</v>
      </c>
      <c r="H26" s="24">
        <v>0.504</v>
      </c>
      <c r="I26" s="23">
        <v>0.383</v>
      </c>
      <c r="J26" s="23">
        <v>0.394</v>
      </c>
      <c r="K26" s="23">
        <v>0.387</v>
      </c>
      <c r="L26" s="23">
        <v>0.41</v>
      </c>
      <c r="M26" s="24">
        <v>0.502</v>
      </c>
      <c r="N26" s="23">
        <v>0.297</v>
      </c>
      <c r="O26" s="23">
        <v>0.194</v>
      </c>
      <c r="P26" s="24">
        <v>0.488</v>
      </c>
      <c r="Q26" s="23">
        <v>0.108</v>
      </c>
      <c r="R26" s="24">
        <v>0.471</v>
      </c>
      <c r="S26" s="24">
        <v>0.439</v>
      </c>
      <c r="T26" s="23">
        <v>0.303</v>
      </c>
      <c r="U26" s="23">
        <v>0.353</v>
      </c>
      <c r="V26" s="23">
        <v>0.369</v>
      </c>
      <c r="W26" s="23">
        <v>0.397</v>
      </c>
      <c r="X26" s="23">
        <v>0.316</v>
      </c>
      <c r="Y26" s="23">
        <v>0.331</v>
      </c>
      <c r="Z26" s="23">
        <v>0.287</v>
      </c>
      <c r="AA26" s="23">
        <v>0.316</v>
      </c>
      <c r="AB26" s="24">
        <v>0.434</v>
      </c>
      <c r="AC26" s="23">
        <v>0.382</v>
      </c>
      <c r="AD26" s="25">
        <v>0.763</v>
      </c>
      <c r="AE26" s="26">
        <v>1.17</v>
      </c>
      <c r="AF26" s="23">
        <v>0.16</v>
      </c>
      <c r="AG26" s="24">
        <v>0.46</v>
      </c>
      <c r="AH26" s="23">
        <v>0.076</v>
      </c>
      <c r="AI26" s="25">
        <v>0.692</v>
      </c>
      <c r="AJ26" s="24">
        <v>0.504</v>
      </c>
      <c r="AK26" s="23">
        <v>0.07</v>
      </c>
      <c r="AL26" s="23">
        <v>0.02</v>
      </c>
      <c r="AM26" s="24">
        <v>0.565</v>
      </c>
      <c r="AN26" s="23">
        <v>0.02</v>
      </c>
      <c r="AO26" s="23">
        <v>0.07</v>
      </c>
      <c r="AP26" s="23">
        <v>0.02</v>
      </c>
      <c r="AQ26" s="23">
        <v>0.413</v>
      </c>
      <c r="AR26" s="23">
        <v>0.102</v>
      </c>
      <c r="AS26" s="23">
        <v>0.401</v>
      </c>
      <c r="AT26" s="23">
        <v>0.096</v>
      </c>
      <c r="AU26" s="23">
        <v>0.115</v>
      </c>
      <c r="AV26" s="23">
        <v>0.052</v>
      </c>
      <c r="AW26" s="26">
        <v>2.753</v>
      </c>
      <c r="AX26" s="23">
        <v>0.138</v>
      </c>
      <c r="AY26" s="23">
        <v>0.443</v>
      </c>
      <c r="AZ26" s="24">
        <v>0.653</v>
      </c>
      <c r="BA26" s="23">
        <v>0.031</v>
      </c>
      <c r="BB26" s="23">
        <v>0.018</v>
      </c>
      <c r="BC26" s="23">
        <v>0.101</v>
      </c>
      <c r="BD26" s="23">
        <v>0.224</v>
      </c>
      <c r="BE26" s="23">
        <v>0.04</v>
      </c>
      <c r="BF26" s="23">
        <v>0.417</v>
      </c>
      <c r="BG26" s="23">
        <v>0.421</v>
      </c>
      <c r="BH26" s="23">
        <v>0.106</v>
      </c>
      <c r="BI26" s="23">
        <v>0.413</v>
      </c>
      <c r="BJ26" s="23">
        <v>0.191</v>
      </c>
      <c r="BK26" s="23">
        <v>0.083</v>
      </c>
      <c r="BL26" s="24">
        <v>0.646</v>
      </c>
      <c r="BM26" s="23">
        <v>0.37</v>
      </c>
      <c r="BN26" s="23">
        <v>0.309</v>
      </c>
      <c r="BO26" s="23">
        <v>0.155</v>
      </c>
      <c r="BP26" s="23">
        <v>0.093</v>
      </c>
      <c r="BQ26" s="23">
        <v>0.016</v>
      </c>
      <c r="BR26" s="23">
        <v>0.03</v>
      </c>
      <c r="BS26" s="23">
        <v>0.385</v>
      </c>
      <c r="BT26" s="23">
        <v>0.01</v>
      </c>
      <c r="BU26" s="23">
        <v>0.01</v>
      </c>
      <c r="BV26" s="23">
        <v>0.231</v>
      </c>
      <c r="BW26" s="23">
        <v>0.053</v>
      </c>
      <c r="BX26" s="23">
        <v>0.385</v>
      </c>
      <c r="BY26" s="23">
        <v>0.14</v>
      </c>
      <c r="BZ26" s="23">
        <v>0.0</v>
      </c>
      <c r="CA26" s="23">
        <v>0.203</v>
      </c>
      <c r="CB26" s="23">
        <v>0.134</v>
      </c>
      <c r="CC26" s="23">
        <v>0.237</v>
      </c>
      <c r="CD26" s="23">
        <v>0.277</v>
      </c>
    </row>
    <row r="27" ht="14.25" customHeight="1">
      <c r="A27" s="21" t="s">
        <v>134</v>
      </c>
      <c r="B27" s="22" t="s">
        <v>135</v>
      </c>
      <c r="C27" s="22" t="s">
        <v>100</v>
      </c>
      <c r="D27" s="25">
        <v>0.499</v>
      </c>
      <c r="E27" s="25">
        <v>0.577</v>
      </c>
      <c r="F27" s="23">
        <v>0.155</v>
      </c>
      <c r="G27" s="23">
        <v>0.121</v>
      </c>
      <c r="H27" s="23">
        <v>0.11</v>
      </c>
      <c r="I27" s="23">
        <v>0.115</v>
      </c>
      <c r="J27" s="23">
        <v>0.096</v>
      </c>
      <c r="K27" s="23">
        <v>0.108</v>
      </c>
      <c r="L27" s="23">
        <v>0.107</v>
      </c>
      <c r="M27" s="23">
        <v>0.165</v>
      </c>
      <c r="N27" s="23">
        <v>0.188</v>
      </c>
      <c r="O27" s="23">
        <v>0.072</v>
      </c>
      <c r="P27" s="23">
        <v>0.143</v>
      </c>
      <c r="Q27" s="23">
        <v>0.045</v>
      </c>
      <c r="R27" s="23">
        <v>0.27</v>
      </c>
      <c r="S27" s="24">
        <v>0.382</v>
      </c>
      <c r="T27" s="23">
        <v>0.227</v>
      </c>
      <c r="U27" s="23">
        <v>0.216</v>
      </c>
      <c r="V27" s="24">
        <v>0.375</v>
      </c>
      <c r="W27" s="23">
        <v>0.287</v>
      </c>
      <c r="X27" s="23">
        <v>0.251</v>
      </c>
      <c r="Y27" s="23">
        <v>0.09</v>
      </c>
      <c r="Z27" s="23">
        <v>0.114</v>
      </c>
      <c r="AA27" s="23">
        <v>0.251</v>
      </c>
      <c r="AB27" s="24">
        <v>0.335</v>
      </c>
      <c r="AC27" s="24">
        <v>0.332</v>
      </c>
      <c r="AD27" s="23">
        <v>0.139</v>
      </c>
      <c r="AE27" s="23">
        <v>0.22</v>
      </c>
      <c r="AF27" s="23">
        <v>0.034</v>
      </c>
      <c r="AG27" s="23">
        <v>0.155</v>
      </c>
      <c r="AH27" s="23">
        <v>0.016</v>
      </c>
      <c r="AI27" s="23">
        <v>0.125</v>
      </c>
      <c r="AJ27" s="24">
        <v>0.346</v>
      </c>
      <c r="AK27" s="23">
        <v>0.048</v>
      </c>
      <c r="AL27" s="23">
        <v>0.016</v>
      </c>
      <c r="AM27" s="23">
        <v>0.048</v>
      </c>
      <c r="AN27" s="23">
        <v>0.016</v>
      </c>
      <c r="AO27" s="23">
        <v>0.049</v>
      </c>
      <c r="AP27" s="23">
        <v>0.013</v>
      </c>
      <c r="AQ27" s="23">
        <v>0.043</v>
      </c>
      <c r="AR27" s="23">
        <v>0.012</v>
      </c>
      <c r="AS27" s="23">
        <v>0.093</v>
      </c>
      <c r="AT27" s="23">
        <v>0.025</v>
      </c>
      <c r="AU27" s="23">
        <v>0.262</v>
      </c>
      <c r="AV27" s="23">
        <v>0.087</v>
      </c>
      <c r="AW27" s="24">
        <v>0.284</v>
      </c>
      <c r="AX27" s="23">
        <v>0.021</v>
      </c>
      <c r="AY27" s="23">
        <v>0.08</v>
      </c>
      <c r="AZ27" s="23">
        <v>0.3</v>
      </c>
      <c r="BA27" s="23">
        <v>0.017</v>
      </c>
      <c r="BB27" s="23">
        <v>0.004</v>
      </c>
      <c r="BC27" s="24">
        <v>0.425</v>
      </c>
      <c r="BD27" s="23">
        <v>0.271</v>
      </c>
      <c r="BE27" s="23">
        <v>0.039</v>
      </c>
      <c r="BF27" s="23">
        <v>0.19</v>
      </c>
      <c r="BG27" s="23">
        <v>0.29</v>
      </c>
      <c r="BH27" s="23">
        <v>0.082</v>
      </c>
      <c r="BI27" s="23">
        <v>0.073</v>
      </c>
      <c r="BJ27" s="23">
        <v>0.114</v>
      </c>
      <c r="BK27" s="23">
        <v>0.062</v>
      </c>
      <c r="BL27" s="23">
        <v>0.285</v>
      </c>
      <c r="BM27" s="23">
        <v>0.114</v>
      </c>
      <c r="BN27" s="24">
        <v>0.308</v>
      </c>
      <c r="BO27" s="23">
        <v>0.055</v>
      </c>
      <c r="BP27" s="23">
        <v>0.057</v>
      </c>
      <c r="BQ27" s="23">
        <v>0.027</v>
      </c>
      <c r="BR27" s="23">
        <v>0.062</v>
      </c>
      <c r="BS27" s="23">
        <v>0.201</v>
      </c>
      <c r="BT27" s="23">
        <v>0.1</v>
      </c>
      <c r="BU27" s="23">
        <v>0.18</v>
      </c>
      <c r="BV27" s="23">
        <v>0.087</v>
      </c>
      <c r="BW27" s="23">
        <v>0.023</v>
      </c>
      <c r="BX27" s="23">
        <v>0.201</v>
      </c>
      <c r="BY27" s="23">
        <v>0.05</v>
      </c>
      <c r="BZ27" s="23">
        <v>0.0</v>
      </c>
      <c r="CA27" s="23">
        <v>0.283</v>
      </c>
      <c r="CB27" s="23">
        <v>0.136</v>
      </c>
      <c r="CC27" s="23">
        <v>0.142</v>
      </c>
      <c r="CD27" s="23">
        <v>0.053</v>
      </c>
    </row>
    <row r="28" ht="14.25" customHeight="1">
      <c r="A28" s="21" t="s">
        <v>136</v>
      </c>
      <c r="B28" s="22" t="s">
        <v>137</v>
      </c>
      <c r="C28" s="22" t="s">
        <v>138</v>
      </c>
      <c r="D28" s="25">
        <v>6.813</v>
      </c>
      <c r="E28" s="50">
        <v>13.578</v>
      </c>
      <c r="F28" s="23">
        <v>3.087</v>
      </c>
      <c r="G28" s="25">
        <v>6.738</v>
      </c>
      <c r="H28" s="24">
        <v>5.71</v>
      </c>
      <c r="I28" s="24">
        <v>5.464</v>
      </c>
      <c r="J28" s="24">
        <v>4.8</v>
      </c>
      <c r="K28" s="24">
        <v>4.381</v>
      </c>
      <c r="L28" s="24">
        <v>4.766</v>
      </c>
      <c r="M28" s="24">
        <v>4.957</v>
      </c>
      <c r="N28" s="24">
        <v>5.347</v>
      </c>
      <c r="O28" s="23">
        <v>1.198</v>
      </c>
      <c r="P28" s="24">
        <v>5.13</v>
      </c>
      <c r="Q28" s="23">
        <v>0.707</v>
      </c>
      <c r="R28" s="24">
        <v>5.933</v>
      </c>
      <c r="S28" s="25">
        <v>6.25</v>
      </c>
      <c r="T28" s="24">
        <v>3.985</v>
      </c>
      <c r="U28" s="24">
        <v>4.714</v>
      </c>
      <c r="V28" s="24">
        <v>4.498</v>
      </c>
      <c r="W28" s="24">
        <v>4.402</v>
      </c>
      <c r="X28" s="24">
        <v>4.27</v>
      </c>
      <c r="Y28" s="23">
        <v>0.8</v>
      </c>
      <c r="Z28" s="23">
        <v>1.727</v>
      </c>
      <c r="AA28" s="24">
        <v>4.27</v>
      </c>
      <c r="AB28" s="23">
        <v>3.805</v>
      </c>
      <c r="AC28" s="23">
        <v>3.763</v>
      </c>
      <c r="AD28" s="23">
        <v>0.961</v>
      </c>
      <c r="AE28" s="23">
        <v>0.934</v>
      </c>
      <c r="AF28" s="23">
        <v>0.144</v>
      </c>
      <c r="AG28" s="23">
        <v>1.125</v>
      </c>
      <c r="AH28" s="23">
        <v>0.225</v>
      </c>
      <c r="AI28" s="23">
        <v>1.474</v>
      </c>
      <c r="AJ28" s="24">
        <v>4.831</v>
      </c>
      <c r="AK28" s="23">
        <v>1.6</v>
      </c>
      <c r="AL28" s="23">
        <v>0.4</v>
      </c>
      <c r="AM28" s="24">
        <v>4.113</v>
      </c>
      <c r="AN28" s="23">
        <v>0.4</v>
      </c>
      <c r="AO28" s="23">
        <v>1.6</v>
      </c>
      <c r="AP28" s="23">
        <v>0.4</v>
      </c>
      <c r="AQ28" s="24">
        <v>4.308</v>
      </c>
      <c r="AR28" s="23">
        <v>1.33</v>
      </c>
      <c r="AS28" s="24">
        <v>5.091</v>
      </c>
      <c r="AT28" s="23">
        <v>1.528</v>
      </c>
      <c r="AU28" s="25">
        <v>6.733</v>
      </c>
      <c r="AV28" s="23">
        <v>1.287</v>
      </c>
      <c r="AW28" s="26">
        <v>33.995</v>
      </c>
      <c r="AX28" s="23">
        <v>2.59</v>
      </c>
      <c r="AY28" s="25">
        <v>6.34</v>
      </c>
      <c r="AZ28" s="23">
        <v>6.81</v>
      </c>
      <c r="BA28" s="23">
        <v>0.221</v>
      </c>
      <c r="BB28" s="23">
        <v>0.072</v>
      </c>
      <c r="BC28" s="25">
        <v>7.02</v>
      </c>
      <c r="BD28" s="24">
        <v>5.135</v>
      </c>
      <c r="BE28" s="23">
        <v>0.94</v>
      </c>
      <c r="BF28" s="24">
        <v>6.15</v>
      </c>
      <c r="BG28" s="24">
        <v>4.72</v>
      </c>
      <c r="BH28" s="23">
        <v>1.33</v>
      </c>
      <c r="BI28" s="24">
        <v>6.02</v>
      </c>
      <c r="BJ28" s="24">
        <v>4.604</v>
      </c>
      <c r="BK28" s="23">
        <v>2.063</v>
      </c>
      <c r="BL28" s="24">
        <v>4.604</v>
      </c>
      <c r="BM28" s="24">
        <v>6.269</v>
      </c>
      <c r="BN28" s="24">
        <v>5.636</v>
      </c>
      <c r="BO28" s="23">
        <v>1.77</v>
      </c>
      <c r="BP28" s="23">
        <v>1.683</v>
      </c>
      <c r="BQ28" s="23">
        <v>0.712</v>
      </c>
      <c r="BR28" s="23">
        <v>1.311</v>
      </c>
      <c r="BS28" s="23">
        <v>3.627</v>
      </c>
      <c r="BT28" s="23">
        <v>2.735</v>
      </c>
      <c r="BU28" s="23">
        <v>0.42</v>
      </c>
      <c r="BV28" s="23">
        <v>2.43</v>
      </c>
      <c r="BW28" s="23">
        <v>0.556</v>
      </c>
      <c r="BX28" s="23">
        <v>3.632</v>
      </c>
      <c r="BY28" s="23">
        <v>1.0</v>
      </c>
      <c r="BZ28" s="23">
        <v>0.0</v>
      </c>
      <c r="CA28" s="23">
        <v>1.944</v>
      </c>
      <c r="CB28" s="23">
        <v>1.55</v>
      </c>
      <c r="CC28" s="23">
        <v>2.927</v>
      </c>
      <c r="CD28" s="23">
        <v>5.187</v>
      </c>
    </row>
    <row r="29" ht="14.25" customHeight="1">
      <c r="A29" s="21" t="s">
        <v>139</v>
      </c>
      <c r="B29" s="22">
        <v>1.3</v>
      </c>
      <c r="C29" s="22" t="s">
        <v>140</v>
      </c>
      <c r="D29" s="26">
        <v>1.3</v>
      </c>
      <c r="E29" s="26">
        <v>1.303</v>
      </c>
      <c r="F29" s="23">
        <v>0.265</v>
      </c>
      <c r="G29" s="24">
        <v>0.419</v>
      </c>
      <c r="H29" s="23">
        <v>0.336</v>
      </c>
      <c r="I29" s="23">
        <v>0.3</v>
      </c>
      <c r="J29" s="23">
        <v>0.272</v>
      </c>
      <c r="K29" s="21">
        <v>0.368</v>
      </c>
      <c r="L29" s="21">
        <v>0.378</v>
      </c>
      <c r="M29" s="24">
        <v>0.407</v>
      </c>
      <c r="N29" s="23">
        <v>0.191</v>
      </c>
      <c r="O29" s="23">
        <v>0.037</v>
      </c>
      <c r="P29" s="23">
        <v>0.223</v>
      </c>
      <c r="Q29" s="23">
        <v>0.079</v>
      </c>
      <c r="R29" s="23">
        <v>0.107</v>
      </c>
      <c r="S29" s="23">
        <v>0.153</v>
      </c>
      <c r="T29" s="23">
        <v>0.199</v>
      </c>
      <c r="U29" s="23">
        <v>0.209</v>
      </c>
      <c r="V29" s="23">
        <v>0.079</v>
      </c>
      <c r="W29" s="23">
        <v>0.176</v>
      </c>
      <c r="X29" s="23">
        <v>0.294</v>
      </c>
      <c r="Y29" s="23">
        <v>0.234</v>
      </c>
      <c r="Z29" s="23">
        <v>0.268</v>
      </c>
      <c r="AA29" s="24">
        <v>0.443</v>
      </c>
      <c r="AB29" s="23">
        <v>0.075</v>
      </c>
      <c r="AC29" s="23">
        <v>0.074</v>
      </c>
      <c r="AD29" s="23">
        <v>0.119</v>
      </c>
      <c r="AE29" s="23">
        <v>0.165</v>
      </c>
      <c r="AF29" s="23">
        <v>0.025</v>
      </c>
      <c r="AG29" s="23">
        <v>0.1</v>
      </c>
      <c r="AH29" s="23">
        <v>0.005</v>
      </c>
      <c r="AI29" s="23">
        <v>0.125</v>
      </c>
      <c r="AJ29" s="23">
        <v>0.073</v>
      </c>
      <c r="AK29" s="23">
        <v>0.145</v>
      </c>
      <c r="AL29" s="23">
        <v>0.05</v>
      </c>
      <c r="AM29" s="23">
        <v>0.171</v>
      </c>
      <c r="AN29" s="23">
        <v>0.059</v>
      </c>
      <c r="AO29" s="23">
        <v>0.164</v>
      </c>
      <c r="AP29" s="23">
        <v>0.093</v>
      </c>
      <c r="AQ29" s="24">
        <v>0.509</v>
      </c>
      <c r="AR29" s="23">
        <v>0.149</v>
      </c>
      <c r="AS29" s="23">
        <v>0.509</v>
      </c>
      <c r="AT29" s="23">
        <v>0.145</v>
      </c>
      <c r="AU29" s="23">
        <v>0.391</v>
      </c>
      <c r="AV29" s="23">
        <v>0.135</v>
      </c>
      <c r="AW29" s="26">
        <v>4.07</v>
      </c>
      <c r="AX29" s="24">
        <v>0.436</v>
      </c>
      <c r="AY29" s="25">
        <v>0.736</v>
      </c>
      <c r="AZ29" s="23">
        <v>0.268</v>
      </c>
      <c r="BA29" s="23">
        <v>0.015</v>
      </c>
      <c r="BB29" s="23">
        <v>0.006</v>
      </c>
      <c r="BC29" s="23">
        <v>0.21</v>
      </c>
      <c r="BD29" s="23">
        <v>0.353</v>
      </c>
      <c r="BE29" s="23">
        <v>0.077</v>
      </c>
      <c r="BF29" s="24">
        <v>0.582</v>
      </c>
      <c r="BG29" s="24">
        <v>0.384</v>
      </c>
      <c r="BH29" s="23">
        <v>0.108</v>
      </c>
      <c r="BI29" s="23">
        <v>0.372</v>
      </c>
      <c r="BJ29" s="23">
        <v>0.26</v>
      </c>
      <c r="BK29" s="23">
        <v>0.115</v>
      </c>
      <c r="BL29" s="23">
        <v>0.318</v>
      </c>
      <c r="BM29" s="24">
        <v>0.396</v>
      </c>
      <c r="BN29" s="25">
        <v>0.655</v>
      </c>
      <c r="BO29" s="23">
        <v>0.093</v>
      </c>
      <c r="BP29" s="23">
        <v>0.139</v>
      </c>
      <c r="BQ29" s="23">
        <v>0.065</v>
      </c>
      <c r="BR29" s="23">
        <v>0.099</v>
      </c>
      <c r="BS29" s="25">
        <v>0.622</v>
      </c>
      <c r="BT29" s="23">
        <v>0.152</v>
      </c>
      <c r="BU29" s="23">
        <v>0.063</v>
      </c>
      <c r="BV29" s="23">
        <v>0.206</v>
      </c>
      <c r="BW29" s="23">
        <v>0.058</v>
      </c>
      <c r="BX29" s="23">
        <v>0.304</v>
      </c>
      <c r="BY29" s="23">
        <v>0.182</v>
      </c>
      <c r="BZ29" s="23">
        <v>0.0</v>
      </c>
      <c r="CA29" s="23">
        <v>0.245</v>
      </c>
      <c r="CB29" s="23">
        <v>0.209</v>
      </c>
      <c r="CD29" s="23">
        <v>0.345</v>
      </c>
    </row>
    <row r="30" ht="14.25" customHeight="1">
      <c r="A30" s="23" t="s">
        <v>141</v>
      </c>
      <c r="B30" s="22" t="s">
        <v>142</v>
      </c>
      <c r="C30" s="22">
        <v>1000.0</v>
      </c>
      <c r="D30" s="25">
        <v>281.0</v>
      </c>
      <c r="E30" s="24">
        <v>79.0</v>
      </c>
      <c r="F30" s="23">
        <v>38.0</v>
      </c>
      <c r="G30" s="23">
        <v>43.0</v>
      </c>
      <c r="H30" s="23">
        <v>43.0</v>
      </c>
      <c r="I30" s="23">
        <v>38.0</v>
      </c>
      <c r="J30" s="23">
        <v>41.0</v>
      </c>
      <c r="K30" s="23">
        <v>38.0</v>
      </c>
      <c r="L30" s="23">
        <v>41.0</v>
      </c>
      <c r="M30" s="23">
        <v>44.0</v>
      </c>
      <c r="N30" s="23">
        <v>28.0</v>
      </c>
      <c r="O30" s="23">
        <v>31.0</v>
      </c>
      <c r="P30" s="23">
        <v>57.0</v>
      </c>
      <c r="Q30" s="23">
        <v>5.0</v>
      </c>
      <c r="R30" s="24">
        <v>99.0</v>
      </c>
      <c r="S30" s="24">
        <v>100.0</v>
      </c>
      <c r="T30" s="23">
        <v>78.0</v>
      </c>
      <c r="U30" s="23">
        <v>50.0</v>
      </c>
      <c r="V30" s="24">
        <v>162.0</v>
      </c>
      <c r="W30" s="24">
        <v>161.0</v>
      </c>
      <c r="X30" s="23">
        <v>38.0</v>
      </c>
      <c r="Y30" s="23">
        <v>23.0</v>
      </c>
      <c r="Z30" s="23">
        <v>34.0</v>
      </c>
      <c r="AA30" s="23">
        <v>33.0</v>
      </c>
      <c r="AB30" s="24">
        <v>151.0</v>
      </c>
      <c r="AC30" s="24">
        <v>148.0</v>
      </c>
      <c r="AD30" s="23">
        <v>56.0</v>
      </c>
      <c r="AE30" s="23">
        <v>52.0</v>
      </c>
      <c r="AF30" s="23">
        <v>6.0</v>
      </c>
      <c r="AG30" s="23">
        <v>32.0</v>
      </c>
      <c r="AH30" s="23">
        <v>6.0</v>
      </c>
      <c r="AI30" s="23">
        <v>32.0</v>
      </c>
      <c r="AJ30" s="24">
        <v>120.0</v>
      </c>
      <c r="AK30" s="23">
        <v>9.0</v>
      </c>
      <c r="AL30" s="23">
        <v>2.0</v>
      </c>
      <c r="AM30" s="26">
        <v>389.0</v>
      </c>
      <c r="AN30" s="23">
        <v>2.0</v>
      </c>
      <c r="AO30" s="23">
        <v>8.0</v>
      </c>
      <c r="AP30" s="23">
        <v>3.0</v>
      </c>
      <c r="AQ30" s="23">
        <v>20.0</v>
      </c>
      <c r="AR30" s="23">
        <v>4.0</v>
      </c>
      <c r="AS30" s="23">
        <v>20.0</v>
      </c>
      <c r="AT30" s="23">
        <v>4.0</v>
      </c>
      <c r="AU30" s="24">
        <v>95.0</v>
      </c>
      <c r="AV30" s="23">
        <v>26.0</v>
      </c>
      <c r="AW30" s="24">
        <v>63.0</v>
      </c>
      <c r="AX30" s="23">
        <v>4.0</v>
      </c>
      <c r="AY30" s="23">
        <v>16.0</v>
      </c>
      <c r="AZ30" s="24">
        <v>125.0</v>
      </c>
      <c r="BA30" s="23">
        <v>3.0</v>
      </c>
      <c r="BB30" s="23">
        <v>3.0</v>
      </c>
      <c r="BC30" s="23">
        <v>30.0</v>
      </c>
      <c r="BD30" s="23">
        <v>42.0</v>
      </c>
      <c r="BE30" s="23">
        <v>14.0</v>
      </c>
      <c r="BF30" s="23">
        <v>54.0</v>
      </c>
      <c r="BG30" s="24">
        <v>85.0</v>
      </c>
      <c r="BH30" s="23">
        <v>19.0</v>
      </c>
      <c r="BI30" s="23">
        <v>42.0</v>
      </c>
      <c r="BJ30" s="23">
        <v>23.0</v>
      </c>
      <c r="BK30" s="23">
        <v>16.0</v>
      </c>
      <c r="BL30" s="23">
        <v>19.0</v>
      </c>
      <c r="BM30" s="23">
        <v>8.0</v>
      </c>
      <c r="BN30" s="23">
        <v>38.0</v>
      </c>
      <c r="BO30" s="23">
        <v>42.0</v>
      </c>
      <c r="BP30" s="23">
        <v>23.0</v>
      </c>
      <c r="BQ30" s="23">
        <v>35.0</v>
      </c>
      <c r="BR30" s="23">
        <v>35.0</v>
      </c>
      <c r="BS30" s="23">
        <v>19.0</v>
      </c>
      <c r="BT30" s="23">
        <v>4.0</v>
      </c>
      <c r="BU30" s="23">
        <v>32.0</v>
      </c>
      <c r="BV30" s="23">
        <v>25.0</v>
      </c>
      <c r="BW30" s="23">
        <v>6.0</v>
      </c>
      <c r="BX30" s="23">
        <v>25.0</v>
      </c>
      <c r="BY30" s="23">
        <v>30.0</v>
      </c>
      <c r="BZ30" s="23">
        <v>0.0</v>
      </c>
      <c r="CA30" s="23">
        <v>23.0</v>
      </c>
      <c r="CB30" s="23">
        <v>17.0</v>
      </c>
      <c r="CD30" s="23">
        <v>25.0</v>
      </c>
    </row>
    <row r="31" ht="14.25" customHeight="1">
      <c r="A31" s="21" t="s">
        <v>143</v>
      </c>
      <c r="B31" s="22" t="s">
        <v>144</v>
      </c>
      <c r="C31" s="22" t="s">
        <v>100</v>
      </c>
      <c r="D31" s="23">
        <v>0.0</v>
      </c>
      <c r="E31" s="23">
        <v>0.0</v>
      </c>
      <c r="F31" s="23">
        <v>0.0</v>
      </c>
      <c r="G31" s="23">
        <v>0.0</v>
      </c>
      <c r="H31" s="23">
        <v>0.0</v>
      </c>
      <c r="I31" s="23">
        <v>0.0</v>
      </c>
      <c r="J31" s="23">
        <v>0.0</v>
      </c>
      <c r="K31" s="23">
        <v>0.0</v>
      </c>
      <c r="L31" s="23">
        <v>0.0</v>
      </c>
      <c r="M31" s="23">
        <v>0.0</v>
      </c>
      <c r="O31" s="23">
        <v>0.0</v>
      </c>
      <c r="P31" s="23">
        <v>0.0</v>
      </c>
      <c r="Q31" s="23">
        <v>0.0</v>
      </c>
      <c r="R31" s="23">
        <v>0.0</v>
      </c>
      <c r="S31" s="23">
        <v>0.0</v>
      </c>
      <c r="T31" s="23">
        <v>0.0</v>
      </c>
      <c r="U31" s="23">
        <v>0.0</v>
      </c>
      <c r="V31" s="23">
        <v>0.07</v>
      </c>
      <c r="W31" s="23">
        <v>0.0</v>
      </c>
      <c r="X31" s="23">
        <v>0.0</v>
      </c>
      <c r="Y31" s="23">
        <v>0.0</v>
      </c>
      <c r="Z31" s="23">
        <v>0.0</v>
      </c>
      <c r="AA31" s="23">
        <v>0.0</v>
      </c>
      <c r="AB31" s="23">
        <v>0.0</v>
      </c>
      <c r="AC31" s="23">
        <v>0.0</v>
      </c>
      <c r="AD31" s="23">
        <v>0.0</v>
      </c>
      <c r="AE31" s="23">
        <v>0.0</v>
      </c>
      <c r="AF31" s="23">
        <v>0.0</v>
      </c>
      <c r="AG31" s="23">
        <v>0.0</v>
      </c>
      <c r="AH31" s="23">
        <v>0.0</v>
      </c>
      <c r="AI31" s="23">
        <v>0.0</v>
      </c>
      <c r="AJ31" s="23">
        <v>0.0</v>
      </c>
      <c r="AK31" s="23">
        <v>0.0</v>
      </c>
      <c r="AL31" s="23">
        <v>0.0</v>
      </c>
      <c r="AM31" s="23">
        <v>0.0</v>
      </c>
      <c r="AN31" s="23">
        <v>0.0</v>
      </c>
      <c r="AO31" s="23">
        <v>0.0</v>
      </c>
      <c r="AP31" s="23">
        <v>0.0</v>
      </c>
      <c r="AQ31" s="23">
        <v>0.0</v>
      </c>
      <c r="AR31" s="23">
        <v>0.0</v>
      </c>
      <c r="AS31" s="23">
        <v>0.0</v>
      </c>
      <c r="AT31" s="23">
        <v>0.0</v>
      </c>
      <c r="AU31" s="23">
        <v>0.0</v>
      </c>
      <c r="AV31" s="23">
        <v>0.0</v>
      </c>
      <c r="AW31" s="23">
        <v>0.0</v>
      </c>
      <c r="AX31" s="23">
        <v>0.0</v>
      </c>
      <c r="AY31" s="23">
        <v>0.0</v>
      </c>
      <c r="AZ31" s="23">
        <v>0.0</v>
      </c>
      <c r="BA31" s="23">
        <v>0.0</v>
      </c>
      <c r="BB31" s="23">
        <v>0.0</v>
      </c>
      <c r="BC31" s="23">
        <v>0.0</v>
      </c>
      <c r="BD31" s="23">
        <v>0.0</v>
      </c>
      <c r="BE31" s="23">
        <v>0.0</v>
      </c>
      <c r="BF31" s="23">
        <v>0.0</v>
      </c>
      <c r="BG31" s="23">
        <v>0.0</v>
      </c>
      <c r="BH31" s="23">
        <v>0.0</v>
      </c>
      <c r="BJ31" s="23">
        <v>0.0</v>
      </c>
      <c r="BK31" s="23">
        <v>0.0</v>
      </c>
      <c r="BL31" s="23">
        <v>0.0</v>
      </c>
      <c r="BM31" s="23">
        <v>0.0</v>
      </c>
      <c r="BN31" s="23">
        <v>0.0</v>
      </c>
      <c r="BO31" s="23">
        <v>0.0</v>
      </c>
      <c r="BP31" s="23">
        <v>0.0</v>
      </c>
      <c r="BQ31" s="23">
        <v>0.0</v>
      </c>
      <c r="BR31" s="23">
        <v>0.0</v>
      </c>
      <c r="BS31" s="23">
        <v>0.0</v>
      </c>
      <c r="BT31" s="23">
        <v>0.0</v>
      </c>
      <c r="BU31" s="23">
        <v>0.0</v>
      </c>
      <c r="BV31" s="23">
        <v>0.0</v>
      </c>
      <c r="BW31" s="23">
        <v>0.0</v>
      </c>
      <c r="BX31" s="23">
        <v>0.0</v>
      </c>
      <c r="BY31" s="23">
        <v>0.0</v>
      </c>
      <c r="BZ31" s="23">
        <v>0.0</v>
      </c>
      <c r="CA31" s="23">
        <v>0.0</v>
      </c>
      <c r="CB31" s="23">
        <v>0.0</v>
      </c>
      <c r="CC31" s="23">
        <v>0.0</v>
      </c>
    </row>
    <row r="32" ht="14.25" customHeight="1">
      <c r="A32" s="21" t="s">
        <v>145</v>
      </c>
      <c r="B32" s="22">
        <v>900.0</v>
      </c>
      <c r="C32" s="22">
        <v>3000.0</v>
      </c>
      <c r="D32" s="23">
        <v>0.0</v>
      </c>
      <c r="E32" s="23">
        <v>0.0</v>
      </c>
      <c r="F32" s="23">
        <v>0.0</v>
      </c>
      <c r="G32" s="23">
        <v>0.0</v>
      </c>
      <c r="H32" s="23">
        <v>0.0</v>
      </c>
      <c r="I32" s="23">
        <v>0.0</v>
      </c>
      <c r="J32" s="23">
        <v>0.0</v>
      </c>
      <c r="K32" s="23">
        <v>0.0</v>
      </c>
      <c r="L32" s="23">
        <v>0.0</v>
      </c>
      <c r="M32" s="23">
        <v>0.0</v>
      </c>
      <c r="N32" s="23">
        <v>0.0</v>
      </c>
      <c r="O32" s="23">
        <v>0.0</v>
      </c>
      <c r="P32" s="23">
        <v>0.0</v>
      </c>
      <c r="Q32" s="23">
        <v>0.0</v>
      </c>
      <c r="R32" s="23">
        <v>0.0</v>
      </c>
      <c r="S32" s="23">
        <v>0.0</v>
      </c>
      <c r="T32" s="23">
        <v>0.0</v>
      </c>
      <c r="U32" s="23">
        <v>0.0</v>
      </c>
      <c r="V32" s="23">
        <v>0.0</v>
      </c>
      <c r="W32" s="23">
        <v>0.0</v>
      </c>
      <c r="X32" s="23">
        <v>1.0</v>
      </c>
      <c r="Y32" s="23">
        <v>0.0</v>
      </c>
      <c r="Z32" s="23">
        <v>0.0</v>
      </c>
      <c r="AA32" s="23">
        <v>1.0</v>
      </c>
      <c r="AB32" s="23">
        <v>0.0</v>
      </c>
      <c r="AC32" s="23">
        <v>0.0</v>
      </c>
      <c r="AD32" s="23">
        <v>0.0</v>
      </c>
      <c r="AE32" s="23">
        <v>0.0</v>
      </c>
      <c r="AF32" s="23">
        <v>0.0</v>
      </c>
      <c r="AG32" s="23">
        <v>0.0</v>
      </c>
      <c r="AH32" s="23">
        <v>0.0</v>
      </c>
      <c r="AI32" s="23">
        <v>0.0</v>
      </c>
      <c r="AJ32" s="23">
        <v>2.0</v>
      </c>
      <c r="AK32" s="23">
        <v>0.0</v>
      </c>
      <c r="AL32" s="23">
        <v>0.0</v>
      </c>
      <c r="AM32" s="23">
        <v>0.0</v>
      </c>
      <c r="AO32" s="23">
        <v>0.0</v>
      </c>
      <c r="AP32" s="23">
        <v>0.0</v>
      </c>
      <c r="AQ32" s="23">
        <v>0.0</v>
      </c>
      <c r="AR32" s="23">
        <v>0.0</v>
      </c>
      <c r="AS32" s="23">
        <v>0.0</v>
      </c>
      <c r="AT32" s="23">
        <v>0.0</v>
      </c>
      <c r="AU32" s="23">
        <v>1.0</v>
      </c>
      <c r="AV32" s="23">
        <v>0.0</v>
      </c>
      <c r="AW32" s="23">
        <v>0.0</v>
      </c>
      <c r="AX32" s="23">
        <v>0.0</v>
      </c>
      <c r="AY32" s="23">
        <v>0.0</v>
      </c>
      <c r="AZ32" s="23">
        <v>0.0</v>
      </c>
      <c r="BA32" s="23">
        <v>0.0</v>
      </c>
      <c r="BB32" s="23">
        <v>0.0</v>
      </c>
      <c r="BC32" s="23">
        <v>0.0</v>
      </c>
      <c r="BD32" s="23">
        <v>0.0</v>
      </c>
      <c r="BE32" s="23">
        <v>0.0</v>
      </c>
      <c r="BF32" s="23">
        <v>0.0</v>
      </c>
      <c r="BG32" s="23">
        <v>0.0</v>
      </c>
      <c r="BH32" s="23">
        <v>0.0</v>
      </c>
      <c r="BJ32" s="23">
        <v>1.0</v>
      </c>
      <c r="BK32" s="23">
        <v>0.0</v>
      </c>
      <c r="BL32" s="23">
        <v>1.0</v>
      </c>
      <c r="BM32" s="23">
        <v>0.0</v>
      </c>
      <c r="BN32" s="23">
        <v>1.0</v>
      </c>
      <c r="BO32" s="23">
        <v>9.0</v>
      </c>
      <c r="BP32" s="23">
        <v>13.0</v>
      </c>
      <c r="BQ32" s="23">
        <v>2.0</v>
      </c>
      <c r="BR32" s="23">
        <v>10.0</v>
      </c>
      <c r="BS32" s="23">
        <v>11.0</v>
      </c>
      <c r="BT32" s="23">
        <v>4.0</v>
      </c>
      <c r="BU32" s="23">
        <v>10.0</v>
      </c>
      <c r="BV32" s="23">
        <v>9.0</v>
      </c>
      <c r="BW32" s="23">
        <v>3.0</v>
      </c>
      <c r="BX32" s="23">
        <v>11.0</v>
      </c>
      <c r="BY32" s="23">
        <v>11.0</v>
      </c>
      <c r="BZ32" s="23">
        <v>0.0</v>
      </c>
      <c r="CA32" s="23">
        <v>1.0</v>
      </c>
      <c r="CB32" s="23">
        <v>1.0</v>
      </c>
      <c r="CC32" s="23">
        <v>0.0</v>
      </c>
    </row>
    <row r="33" ht="14.25" customHeight="1">
      <c r="A33" s="28" t="s">
        <v>146</v>
      </c>
      <c r="B33" s="29"/>
      <c r="C33" s="29"/>
      <c r="D33" s="28">
        <v>0.0</v>
      </c>
      <c r="E33" s="28">
        <v>9.0</v>
      </c>
      <c r="F33" s="28">
        <v>0.0</v>
      </c>
      <c r="G33" s="28">
        <v>0.0</v>
      </c>
      <c r="H33" s="28">
        <v>9.0</v>
      </c>
      <c r="I33" s="28">
        <v>9.0</v>
      </c>
      <c r="J33" s="28">
        <v>0.0</v>
      </c>
      <c r="K33" s="28">
        <v>9.0</v>
      </c>
      <c r="L33" s="28">
        <v>9.0</v>
      </c>
      <c r="M33" s="28">
        <v>9.0</v>
      </c>
      <c r="N33" s="28">
        <v>9.0</v>
      </c>
      <c r="O33" s="28">
        <v>0.0</v>
      </c>
      <c r="P33" s="28">
        <v>0.0</v>
      </c>
      <c r="Q33" s="28">
        <v>3.0</v>
      </c>
      <c r="R33" s="28">
        <v>2.0</v>
      </c>
      <c r="S33" s="28">
        <v>0.0</v>
      </c>
      <c r="T33" s="28">
        <v>3.0</v>
      </c>
      <c r="U33" s="28">
        <v>3.0</v>
      </c>
      <c r="V33" s="28">
        <v>3.0</v>
      </c>
      <c r="W33" s="28">
        <v>0.0</v>
      </c>
      <c r="X33" s="28">
        <v>11.0</v>
      </c>
      <c r="Y33" s="28">
        <v>0.0</v>
      </c>
      <c r="Z33" s="28">
        <v>0.0</v>
      </c>
      <c r="AA33" s="28">
        <v>11.0</v>
      </c>
      <c r="AB33" s="28">
        <v>7.0</v>
      </c>
      <c r="AC33" s="28">
        <v>8.0</v>
      </c>
      <c r="AD33" s="28">
        <v>0.0</v>
      </c>
      <c r="AE33" s="28">
        <v>0.0</v>
      </c>
      <c r="AF33" s="28">
        <v>0.0</v>
      </c>
      <c r="AG33" s="23">
        <v>0.0</v>
      </c>
      <c r="AH33" s="23">
        <v>0.0</v>
      </c>
      <c r="AI33" s="28">
        <v>0.0</v>
      </c>
      <c r="AJ33" s="28">
        <v>5.0</v>
      </c>
      <c r="AK33" s="28">
        <v>0.0</v>
      </c>
      <c r="AL33" s="28">
        <v>0.0</v>
      </c>
      <c r="AM33" s="28">
        <v>0.0</v>
      </c>
      <c r="AN33" s="28"/>
      <c r="AO33" s="28">
        <v>0.0</v>
      </c>
      <c r="AP33" s="28">
        <v>0.0</v>
      </c>
      <c r="AQ33" s="28">
        <v>0.0</v>
      </c>
      <c r="AR33" s="28">
        <v>0.0</v>
      </c>
      <c r="AS33" s="28">
        <v>0.0</v>
      </c>
      <c r="AT33" s="28">
        <v>0.0</v>
      </c>
      <c r="AU33" s="28">
        <v>19.0</v>
      </c>
      <c r="AV33" s="28">
        <v>3.0</v>
      </c>
      <c r="AW33" s="28">
        <v>0.0</v>
      </c>
      <c r="AX33" s="28">
        <v>0.0</v>
      </c>
      <c r="AY33" s="28">
        <v>0.0</v>
      </c>
      <c r="AZ33" s="28">
        <v>1.0</v>
      </c>
      <c r="BA33" s="28">
        <v>0.0</v>
      </c>
      <c r="BB33" s="28">
        <v>0.0</v>
      </c>
      <c r="BC33" s="28">
        <v>0.0</v>
      </c>
      <c r="BD33" s="28">
        <v>0.0</v>
      </c>
      <c r="BE33" s="28">
        <v>0.0</v>
      </c>
      <c r="BF33" s="28">
        <v>0.0</v>
      </c>
      <c r="BG33" s="28">
        <v>0.0</v>
      </c>
      <c r="BH33" s="28">
        <v>3.0</v>
      </c>
      <c r="BI33" s="28"/>
      <c r="BJ33" s="28">
        <v>22.0</v>
      </c>
      <c r="BK33" s="28">
        <v>7.0</v>
      </c>
      <c r="BL33" s="28">
        <v>22.0</v>
      </c>
      <c r="BM33" s="28">
        <v>0.0</v>
      </c>
      <c r="BN33" s="28">
        <v>19.0</v>
      </c>
      <c r="BO33" s="28">
        <v>187.0</v>
      </c>
      <c r="BP33" s="28">
        <v>263.0</v>
      </c>
      <c r="BQ33" s="28">
        <v>45.0</v>
      </c>
      <c r="BR33" s="28">
        <v>199.0</v>
      </c>
      <c r="BS33" s="28">
        <v>214.0</v>
      </c>
      <c r="BT33" s="28">
        <v>71.0</v>
      </c>
      <c r="BU33" s="23">
        <v>205.0</v>
      </c>
      <c r="BV33" s="28">
        <v>170.0</v>
      </c>
      <c r="BW33" s="28">
        <v>57.0</v>
      </c>
      <c r="BX33" s="28">
        <v>214.0</v>
      </c>
      <c r="BY33" s="28">
        <v>214.0</v>
      </c>
      <c r="BZ33" s="28">
        <v>0.0</v>
      </c>
      <c r="CA33" s="28">
        <v>27.0</v>
      </c>
      <c r="CB33" s="28">
        <v>11.0</v>
      </c>
      <c r="CC33" s="28">
        <v>0.0</v>
      </c>
      <c r="CD33" s="28"/>
    </row>
    <row r="34" ht="14.25" customHeight="1">
      <c r="A34" s="21" t="s">
        <v>147</v>
      </c>
      <c r="B34" s="22" t="s">
        <v>148</v>
      </c>
      <c r="C34" s="22">
        <v>1000.0</v>
      </c>
      <c r="E34" s="24">
        <v>1.49</v>
      </c>
      <c r="H34" s="23">
        <v>1.01</v>
      </c>
      <c r="I34" s="23">
        <v>1.01</v>
      </c>
      <c r="J34" s="23">
        <v>1.01</v>
      </c>
      <c r="K34" s="23">
        <v>1.01</v>
      </c>
      <c r="L34" s="23">
        <v>1.01</v>
      </c>
      <c r="M34" s="23">
        <v>0.71</v>
      </c>
      <c r="N34" s="23">
        <v>0.53</v>
      </c>
      <c r="O34" s="23">
        <v>0.05</v>
      </c>
      <c r="Q34" s="23">
        <v>0.3</v>
      </c>
      <c r="R34" s="23">
        <v>0.19</v>
      </c>
      <c r="S34" s="23">
        <v>0.24</v>
      </c>
      <c r="T34" s="23">
        <v>0.76</v>
      </c>
      <c r="U34" s="23">
        <v>0.55</v>
      </c>
      <c r="V34" s="23">
        <v>0.51</v>
      </c>
      <c r="W34" s="23">
        <v>0.32</v>
      </c>
      <c r="X34" s="23">
        <v>0.85</v>
      </c>
      <c r="Y34" s="23">
        <v>0.83</v>
      </c>
      <c r="Z34" s="24">
        <v>1.43</v>
      </c>
      <c r="AA34" s="24">
        <v>2.73</v>
      </c>
      <c r="AB34" s="23">
        <v>0.33</v>
      </c>
      <c r="AC34" s="23">
        <v>0.37</v>
      </c>
      <c r="AE34" s="23">
        <v>1.01</v>
      </c>
      <c r="AG34" s="23">
        <v>0.42</v>
      </c>
      <c r="AH34" s="23">
        <v>0.08</v>
      </c>
      <c r="AI34" s="23">
        <v>0.7</v>
      </c>
      <c r="AJ34" s="23">
        <v>0.44</v>
      </c>
      <c r="AO34" s="23">
        <v>0.11</v>
      </c>
      <c r="AP34" s="23">
        <v>0.04</v>
      </c>
      <c r="AS34" s="23">
        <v>1.2</v>
      </c>
      <c r="AT34" s="23">
        <v>0.03</v>
      </c>
      <c r="AU34" s="23">
        <v>0.82</v>
      </c>
      <c r="AV34" s="23">
        <v>0.24</v>
      </c>
      <c r="AW34" s="25">
        <v>4.92</v>
      </c>
      <c r="AX34" s="23">
        <v>0.11</v>
      </c>
      <c r="AY34" s="23">
        <v>1.2</v>
      </c>
      <c r="AZ34" s="23">
        <v>0.65</v>
      </c>
      <c r="BE34" s="23">
        <v>0.09</v>
      </c>
      <c r="BF34" s="23">
        <v>0.32</v>
      </c>
      <c r="BG34" s="23">
        <v>0.05</v>
      </c>
      <c r="BH34" s="23">
        <v>0.02</v>
      </c>
      <c r="BI34" s="23">
        <v>0.11</v>
      </c>
      <c r="BJ34" s="23">
        <v>0.02</v>
      </c>
      <c r="BK34" s="23">
        <v>0.01</v>
      </c>
      <c r="BL34" s="23">
        <v>0.57</v>
      </c>
      <c r="BM34" s="23">
        <v>0.57</v>
      </c>
      <c r="BN34" s="23">
        <v>0.57</v>
      </c>
      <c r="BO34" s="23">
        <v>0.07</v>
      </c>
      <c r="BP34" s="23">
        <v>0.09</v>
      </c>
      <c r="BQ34" s="23">
        <v>0.07</v>
      </c>
      <c r="BR34" s="23">
        <v>0.07</v>
      </c>
      <c r="BS34" s="23">
        <v>0.49</v>
      </c>
      <c r="BT34" s="23">
        <v>0.42</v>
      </c>
      <c r="BU34" s="23">
        <v>0.14</v>
      </c>
      <c r="BX34" s="23">
        <v>0.42</v>
      </c>
      <c r="BY34" s="23">
        <v>0.12</v>
      </c>
      <c r="BZ34" s="23">
        <v>0.0</v>
      </c>
      <c r="CD34" s="23">
        <v>0.5</v>
      </c>
    </row>
    <row r="35" ht="14.25" customHeight="1">
      <c r="A35" s="21" t="s">
        <v>149</v>
      </c>
      <c r="B35" s="22" t="s">
        <v>150</v>
      </c>
      <c r="C35" s="22">
        <v>100.0</v>
      </c>
      <c r="D35" s="23">
        <v>0.0</v>
      </c>
      <c r="E35" s="23">
        <v>0.0</v>
      </c>
      <c r="F35" s="23">
        <v>0.0</v>
      </c>
      <c r="G35" s="23">
        <v>0.0</v>
      </c>
      <c r="H35" s="23">
        <v>0.0</v>
      </c>
      <c r="I35" s="23">
        <v>0.0</v>
      </c>
      <c r="J35" s="23">
        <v>0.0</v>
      </c>
      <c r="K35" s="23">
        <v>0.0</v>
      </c>
      <c r="L35" s="23">
        <v>0.0</v>
      </c>
      <c r="M35" s="23">
        <v>0.0</v>
      </c>
      <c r="N35" s="23">
        <v>0.0</v>
      </c>
      <c r="O35" s="23">
        <v>0.0</v>
      </c>
      <c r="P35" s="23">
        <v>0.0</v>
      </c>
      <c r="Q35" s="23">
        <v>0.0</v>
      </c>
      <c r="R35" s="23">
        <v>0.0</v>
      </c>
      <c r="S35" s="23">
        <v>0.0</v>
      </c>
      <c r="T35" s="23">
        <v>0.0</v>
      </c>
      <c r="U35" s="23">
        <v>0.0</v>
      </c>
      <c r="V35" s="23">
        <v>0.0</v>
      </c>
      <c r="W35" s="23">
        <v>0.0</v>
      </c>
      <c r="X35" s="23">
        <v>0.0</v>
      </c>
      <c r="Y35" s="23">
        <v>0.0</v>
      </c>
      <c r="Z35" s="23">
        <v>0.0</v>
      </c>
      <c r="AA35" s="23">
        <v>0.0</v>
      </c>
      <c r="AB35" s="23">
        <v>0.0</v>
      </c>
      <c r="AC35" s="23">
        <v>0.0</v>
      </c>
      <c r="AD35" s="23">
        <v>0.0</v>
      </c>
      <c r="AE35" s="23">
        <v>0.0</v>
      </c>
      <c r="AG35" s="23">
        <v>0.0</v>
      </c>
      <c r="AH35" s="23">
        <v>0.0</v>
      </c>
      <c r="AI35" s="23">
        <v>0.0</v>
      </c>
      <c r="AJ35" s="23">
        <v>0.0</v>
      </c>
      <c r="AK35" s="23">
        <v>0.0</v>
      </c>
      <c r="AL35" s="23">
        <v>0.0</v>
      </c>
      <c r="AM35" s="23">
        <v>0.0</v>
      </c>
      <c r="AN35" s="23">
        <v>0.0</v>
      </c>
      <c r="AO35" s="23">
        <v>0.0</v>
      </c>
      <c r="AP35" s="23">
        <v>0.0</v>
      </c>
      <c r="AQ35" s="23">
        <v>0.0</v>
      </c>
      <c r="AR35" s="23">
        <v>0.0</v>
      </c>
      <c r="AS35" s="23">
        <v>0.0</v>
      </c>
      <c r="AT35" s="23">
        <v>0.0</v>
      </c>
      <c r="AU35" s="23">
        <v>0.0</v>
      </c>
      <c r="AV35" s="23">
        <v>0.0</v>
      </c>
      <c r="AW35" s="23">
        <v>0.0</v>
      </c>
      <c r="AX35" s="23">
        <v>0.0</v>
      </c>
      <c r="AY35" s="23">
        <v>0.0</v>
      </c>
      <c r="AZ35" s="23">
        <v>0.0</v>
      </c>
      <c r="BA35" s="23">
        <v>0.0</v>
      </c>
      <c r="BB35" s="23">
        <v>0.0</v>
      </c>
      <c r="BC35" s="23">
        <v>0.0</v>
      </c>
      <c r="BD35" s="23">
        <v>0.0</v>
      </c>
      <c r="BE35" s="23">
        <v>0.0</v>
      </c>
      <c r="BF35" s="23">
        <v>0.0</v>
      </c>
      <c r="BG35" s="23">
        <v>0.0</v>
      </c>
      <c r="BH35" s="23">
        <v>0.0</v>
      </c>
      <c r="BI35" s="23">
        <v>0.0</v>
      </c>
      <c r="BJ35" s="23">
        <v>0.0</v>
      </c>
      <c r="BK35" s="23">
        <v>0.0</v>
      </c>
      <c r="BL35" s="23">
        <v>0.0</v>
      </c>
      <c r="BM35" s="23">
        <v>0.0</v>
      </c>
      <c r="BN35" s="23">
        <v>0.0</v>
      </c>
      <c r="BO35" s="23">
        <v>0.0</v>
      </c>
      <c r="BP35" s="23">
        <v>0.0</v>
      </c>
      <c r="BQ35" s="23">
        <v>0.0</v>
      </c>
      <c r="BR35" s="23">
        <v>0.0</v>
      </c>
      <c r="BS35" s="23">
        <v>0.0</v>
      </c>
      <c r="BT35" s="23">
        <v>0.0</v>
      </c>
      <c r="BU35" s="23">
        <v>3.6</v>
      </c>
      <c r="BV35" s="23">
        <v>0.0</v>
      </c>
      <c r="BW35" s="23">
        <v>0.0</v>
      </c>
      <c r="BX35" s="23">
        <v>0.0</v>
      </c>
      <c r="BY35" s="23">
        <v>0.0</v>
      </c>
      <c r="BZ35" s="23">
        <v>0.0</v>
      </c>
      <c r="CA35" s="23">
        <v>0.0</v>
      </c>
      <c r="CB35" s="23">
        <v>0.0</v>
      </c>
      <c r="CC35" s="23">
        <v>0.0</v>
      </c>
      <c r="CD35" s="23">
        <v>0.0</v>
      </c>
    </row>
    <row r="36" ht="14.25" customHeight="1">
      <c r="A36" s="28" t="s">
        <v>151</v>
      </c>
      <c r="B36" s="29"/>
      <c r="C36" s="29"/>
      <c r="D36" s="28">
        <v>0.0</v>
      </c>
      <c r="E36" s="28">
        <v>0.0</v>
      </c>
      <c r="F36" s="28">
        <v>0.0</v>
      </c>
      <c r="G36" s="28">
        <v>0.0</v>
      </c>
      <c r="H36" s="28">
        <v>0.0</v>
      </c>
      <c r="I36" s="28">
        <v>0.0</v>
      </c>
      <c r="J36" s="28">
        <v>0.0</v>
      </c>
      <c r="K36" s="28">
        <v>0.0</v>
      </c>
      <c r="L36" s="28">
        <v>0.0</v>
      </c>
      <c r="M36" s="28">
        <v>0.0</v>
      </c>
      <c r="N36" s="28">
        <v>0.0</v>
      </c>
      <c r="O36" s="28">
        <v>0.0</v>
      </c>
      <c r="P36" s="28">
        <v>0.0</v>
      </c>
      <c r="Q36" s="28">
        <v>0.0</v>
      </c>
      <c r="R36" s="28">
        <v>0.0</v>
      </c>
      <c r="S36" s="28">
        <v>0.0</v>
      </c>
      <c r="T36" s="28">
        <v>0.0</v>
      </c>
      <c r="U36" s="28">
        <v>0.0</v>
      </c>
      <c r="V36" s="28">
        <v>0.0</v>
      </c>
      <c r="W36" s="28">
        <v>0.0</v>
      </c>
      <c r="X36" s="28">
        <v>0.0</v>
      </c>
      <c r="Y36" s="28">
        <v>0.0</v>
      </c>
      <c r="Z36" s="28">
        <v>0.0</v>
      </c>
      <c r="AA36" s="28">
        <v>0.0</v>
      </c>
      <c r="AB36" s="28">
        <v>0.0</v>
      </c>
      <c r="AC36" s="28">
        <v>0.0</v>
      </c>
      <c r="AD36" s="28">
        <v>0.0</v>
      </c>
      <c r="AE36" s="28">
        <v>0.0</v>
      </c>
      <c r="AF36" s="28"/>
      <c r="AG36" s="23">
        <v>0.0</v>
      </c>
      <c r="AH36" s="23">
        <v>0.0</v>
      </c>
      <c r="AI36" s="28">
        <v>0.0</v>
      </c>
      <c r="AJ36" s="28">
        <v>0.0</v>
      </c>
      <c r="AK36" s="28">
        <v>0.0</v>
      </c>
      <c r="AL36" s="28">
        <v>0.0</v>
      </c>
      <c r="AM36" s="28">
        <v>0.0</v>
      </c>
      <c r="AN36" s="28">
        <v>0.0</v>
      </c>
      <c r="AO36" s="28">
        <v>0.0</v>
      </c>
      <c r="AP36" s="28">
        <v>0.0</v>
      </c>
      <c r="AQ36" s="28">
        <v>0.0</v>
      </c>
      <c r="AR36" s="28">
        <v>0.0</v>
      </c>
      <c r="AS36" s="28">
        <v>0.0</v>
      </c>
      <c r="AT36" s="28">
        <v>0.0</v>
      </c>
      <c r="AU36" s="28">
        <v>0.0</v>
      </c>
      <c r="AV36" s="28">
        <v>0.0</v>
      </c>
      <c r="AW36" s="28">
        <v>0.0</v>
      </c>
      <c r="AX36" s="28">
        <v>0.0</v>
      </c>
      <c r="AY36" s="28">
        <v>0.0</v>
      </c>
      <c r="AZ36" s="28">
        <v>0.0</v>
      </c>
      <c r="BA36" s="28">
        <v>0.0</v>
      </c>
      <c r="BB36" s="28">
        <v>0.0</v>
      </c>
      <c r="BC36" s="28">
        <v>0.0</v>
      </c>
      <c r="BD36" s="28">
        <v>0.0</v>
      </c>
      <c r="BE36" s="28">
        <v>0.0</v>
      </c>
      <c r="BF36" s="28">
        <v>0.0</v>
      </c>
      <c r="BG36" s="28">
        <v>0.0</v>
      </c>
      <c r="BH36" s="28">
        <v>0.0</v>
      </c>
      <c r="BI36" s="28">
        <v>0.0</v>
      </c>
      <c r="BJ36" s="28">
        <v>0.0</v>
      </c>
      <c r="BK36" s="28">
        <v>0.0</v>
      </c>
      <c r="BL36" s="28">
        <v>0.0</v>
      </c>
      <c r="BM36" s="28">
        <v>0.0</v>
      </c>
      <c r="BN36" s="28">
        <v>0.0</v>
      </c>
      <c r="BO36" s="28">
        <v>0.0</v>
      </c>
      <c r="BP36" s="28">
        <v>0.0</v>
      </c>
      <c r="BQ36" s="28">
        <v>0.0</v>
      </c>
      <c r="BR36" s="28">
        <v>0.0</v>
      </c>
      <c r="BS36" s="28">
        <v>0.0</v>
      </c>
      <c r="BT36" s="28">
        <v>0.0</v>
      </c>
      <c r="BU36" s="23">
        <v>143.0</v>
      </c>
      <c r="BV36" s="28">
        <v>0.0</v>
      </c>
      <c r="BW36" s="28">
        <v>0.0</v>
      </c>
      <c r="BX36" s="28">
        <v>0.0</v>
      </c>
      <c r="BY36" s="28">
        <v>0.0</v>
      </c>
      <c r="BZ36" s="28">
        <v>0.0</v>
      </c>
      <c r="CA36" s="28">
        <v>0.0</v>
      </c>
      <c r="CB36" s="28">
        <v>0.0</v>
      </c>
      <c r="CC36" s="28">
        <v>0.0</v>
      </c>
      <c r="CD36" s="28">
        <v>0.0</v>
      </c>
    </row>
    <row r="37" ht="14.25" customHeight="1">
      <c r="A37" s="21" t="s">
        <v>152</v>
      </c>
      <c r="B37" s="22">
        <v>120.0</v>
      </c>
      <c r="C37" s="22" t="s">
        <v>100</v>
      </c>
      <c r="E37" s="23">
        <v>1.9</v>
      </c>
      <c r="H37" s="23">
        <v>1.9</v>
      </c>
      <c r="I37" s="23">
        <v>1.9</v>
      </c>
      <c r="K37" s="23">
        <v>1.9</v>
      </c>
      <c r="L37" s="23">
        <v>1.9</v>
      </c>
      <c r="M37" s="23">
        <v>1.9</v>
      </c>
      <c r="N37" s="23">
        <v>1.9</v>
      </c>
      <c r="O37" s="23">
        <v>0.3</v>
      </c>
      <c r="Q37" s="23">
        <v>0.7</v>
      </c>
      <c r="R37" s="23">
        <v>4.9</v>
      </c>
      <c r="S37" s="23">
        <v>5.7</v>
      </c>
      <c r="T37" s="23">
        <v>9.4</v>
      </c>
      <c r="U37" s="23">
        <v>7.8</v>
      </c>
      <c r="V37" s="23">
        <v>1.1</v>
      </c>
      <c r="W37" s="23">
        <v>1.3</v>
      </c>
      <c r="X37" s="23">
        <v>5.9</v>
      </c>
      <c r="Y37" s="23">
        <v>5.9</v>
      </c>
      <c r="Z37" s="23">
        <v>5.9</v>
      </c>
      <c r="AA37" s="23">
        <v>5.9</v>
      </c>
      <c r="AB37" s="23">
        <v>1.2</v>
      </c>
      <c r="AC37" s="23">
        <v>1.3</v>
      </c>
      <c r="AE37" s="23">
        <v>3.2</v>
      </c>
      <c r="AG37" s="23">
        <v>2.0</v>
      </c>
      <c r="AH37" s="23">
        <v>0.3</v>
      </c>
      <c r="AI37" s="23">
        <v>3.2</v>
      </c>
      <c r="AJ37" s="23">
        <v>1.2</v>
      </c>
      <c r="AO37" s="23">
        <v>0.1</v>
      </c>
      <c r="AP37" s="23">
        <v>0.0</v>
      </c>
      <c r="AS37" s="23">
        <v>1.9</v>
      </c>
      <c r="AT37" s="23">
        <v>0.6</v>
      </c>
      <c r="AU37" s="23">
        <v>1.9</v>
      </c>
      <c r="AV37" s="23">
        <v>0.5</v>
      </c>
      <c r="AW37" s="23">
        <v>1.9</v>
      </c>
      <c r="AX37" s="23">
        <v>0.0</v>
      </c>
      <c r="AZ37" s="23">
        <v>1.0</v>
      </c>
      <c r="BE37" s="23">
        <v>1.9</v>
      </c>
      <c r="BF37" s="23">
        <v>7.0</v>
      </c>
      <c r="BG37" s="23">
        <v>0.9</v>
      </c>
      <c r="BH37" s="23">
        <v>0.3</v>
      </c>
      <c r="BI37" s="23">
        <v>0.8</v>
      </c>
      <c r="BJ37" s="23">
        <v>2.2</v>
      </c>
      <c r="BK37" s="23">
        <v>0.8</v>
      </c>
      <c r="BL37" s="23">
        <v>2.2</v>
      </c>
      <c r="BM37" s="23">
        <v>2.2</v>
      </c>
      <c r="BN37" s="23">
        <v>2.2</v>
      </c>
      <c r="BO37" s="23">
        <v>0.3</v>
      </c>
      <c r="BP37" s="23">
        <v>0.4</v>
      </c>
      <c r="BQ37" s="23">
        <v>0.0</v>
      </c>
      <c r="BR37" s="23">
        <v>0.3</v>
      </c>
      <c r="BS37" s="23">
        <v>0.3</v>
      </c>
      <c r="BT37" s="23">
        <v>0.3</v>
      </c>
      <c r="BU37" s="23">
        <v>0.3</v>
      </c>
      <c r="BX37" s="23">
        <v>0.3</v>
      </c>
      <c r="BY37" s="23">
        <v>0.0</v>
      </c>
      <c r="BZ37" s="23">
        <v>0.0</v>
      </c>
      <c r="CD37" s="23">
        <v>6.4</v>
      </c>
    </row>
    <row r="38" ht="14.25" customHeight="1">
      <c r="A38" s="21" t="s">
        <v>153</v>
      </c>
      <c r="B38" s="22" t="s">
        <v>154</v>
      </c>
      <c r="C38" s="22" t="s">
        <v>100</v>
      </c>
      <c r="D38" s="25">
        <v>2.257</v>
      </c>
      <c r="E38" s="25">
        <v>2.181</v>
      </c>
      <c r="G38" s="24">
        <v>0.935</v>
      </c>
      <c r="H38" s="24">
        <v>0.935</v>
      </c>
      <c r="I38" s="24">
        <v>0.954</v>
      </c>
      <c r="J38" s="23">
        <v>0.85</v>
      </c>
      <c r="K38" s="24">
        <v>0.954</v>
      </c>
      <c r="L38" s="23">
        <v>0.85</v>
      </c>
      <c r="M38" s="23">
        <v>0.603</v>
      </c>
      <c r="N38" s="24">
        <v>1.011</v>
      </c>
      <c r="O38" s="23">
        <v>0.248</v>
      </c>
      <c r="P38" s="24">
        <v>0.984</v>
      </c>
      <c r="Q38" s="23">
        <v>0.419</v>
      </c>
      <c r="R38" s="23">
        <v>0.82</v>
      </c>
      <c r="S38" s="23">
        <v>0.456</v>
      </c>
      <c r="T38" s="23">
        <v>0.473</v>
      </c>
      <c r="U38" s="23">
        <v>0.686</v>
      </c>
      <c r="V38" s="23">
        <v>0.521</v>
      </c>
      <c r="W38" s="23">
        <v>0.536</v>
      </c>
      <c r="X38" s="24">
        <v>1.456</v>
      </c>
      <c r="Y38" s="23">
        <v>0.665</v>
      </c>
      <c r="Z38" s="23">
        <v>0.492</v>
      </c>
      <c r="AA38" s="24">
        <v>1.456</v>
      </c>
      <c r="AB38" s="23">
        <v>0.44</v>
      </c>
      <c r="AC38" s="23">
        <v>0.314</v>
      </c>
      <c r="AD38" s="24">
        <v>1.349</v>
      </c>
      <c r="AE38" s="24">
        <v>1.494</v>
      </c>
      <c r="AF38" s="23">
        <v>0.217</v>
      </c>
      <c r="AG38" s="24">
        <v>1.12</v>
      </c>
      <c r="AH38" s="23">
        <v>0.311</v>
      </c>
      <c r="AI38" s="23">
        <v>0.201</v>
      </c>
      <c r="AJ38" s="23">
        <v>0.581</v>
      </c>
      <c r="AK38" s="24">
        <v>1.342</v>
      </c>
      <c r="AL38" s="23">
        <v>0.411</v>
      </c>
      <c r="AM38" s="24">
        <v>1.287</v>
      </c>
      <c r="AN38" s="23">
        <v>0.397</v>
      </c>
      <c r="AO38" s="24">
        <v>1.014</v>
      </c>
      <c r="AP38" s="23">
        <v>0.39</v>
      </c>
      <c r="AQ38" s="24">
        <v>1.493</v>
      </c>
      <c r="AR38" s="23">
        <v>0.392</v>
      </c>
      <c r="AS38" s="24">
        <v>1.493</v>
      </c>
      <c r="AT38" s="23">
        <v>0.285</v>
      </c>
      <c r="AU38" s="24">
        <v>1.074</v>
      </c>
      <c r="AV38" s="23">
        <v>0.154</v>
      </c>
      <c r="AW38" s="26">
        <v>7.39</v>
      </c>
      <c r="AX38" s="23">
        <v>0.819</v>
      </c>
      <c r="AY38" s="24">
        <v>1.591</v>
      </c>
      <c r="AZ38" s="23">
        <v>0.776</v>
      </c>
      <c r="BA38" s="23">
        <v>0.051</v>
      </c>
      <c r="BB38" s="23">
        <v>0.011</v>
      </c>
      <c r="BC38" s="24">
        <v>1.233</v>
      </c>
      <c r="BD38" s="24">
        <v>1.233</v>
      </c>
      <c r="BE38" s="23">
        <v>0.359</v>
      </c>
      <c r="BF38" s="23">
        <v>0.44</v>
      </c>
      <c r="BG38" s="23">
        <v>0.848</v>
      </c>
      <c r="BH38" s="23">
        <v>0.171</v>
      </c>
      <c r="BI38" s="24">
        <v>1.267</v>
      </c>
      <c r="BJ38" s="23">
        <v>0.282</v>
      </c>
      <c r="BK38" s="23">
        <v>0.135</v>
      </c>
      <c r="BL38" s="23">
        <v>0.282</v>
      </c>
      <c r="BM38" s="23">
        <v>0.145</v>
      </c>
      <c r="BN38" s="23">
        <v>0.577</v>
      </c>
      <c r="BO38" s="23">
        <v>0.717</v>
      </c>
      <c r="BP38" s="23">
        <v>0.792</v>
      </c>
      <c r="BQ38" s="23">
        <v>35.0</v>
      </c>
      <c r="BR38" s="23">
        <v>0.151</v>
      </c>
      <c r="BS38" s="23">
        <v>0.424</v>
      </c>
      <c r="BT38" s="23">
        <v>0.636</v>
      </c>
      <c r="BU38" s="23">
        <v>0.123</v>
      </c>
      <c r="BV38" s="23">
        <v>0.484</v>
      </c>
      <c r="BW38" s="23">
        <v>0.128</v>
      </c>
      <c r="BX38" s="23">
        <v>0.425</v>
      </c>
      <c r="BY38" s="23">
        <v>0.24</v>
      </c>
      <c r="BZ38" s="23">
        <v>0.0</v>
      </c>
      <c r="CA38" s="23">
        <v>0.42</v>
      </c>
      <c r="CB38" s="23">
        <v>0.305</v>
      </c>
      <c r="CD38" s="23">
        <v>0.93</v>
      </c>
    </row>
    <row r="39" ht="14.25" customHeight="1">
      <c r="A39" s="21" t="s">
        <v>155</v>
      </c>
      <c r="B39" s="22" t="s">
        <v>156</v>
      </c>
      <c r="C39" s="22">
        <v>3500.0</v>
      </c>
      <c r="E39" s="24">
        <v>74.4</v>
      </c>
      <c r="H39" s="23">
        <v>31.2</v>
      </c>
      <c r="I39" s="23">
        <v>31.2</v>
      </c>
      <c r="M39" s="23">
        <v>31.2</v>
      </c>
      <c r="N39" s="23">
        <v>31.2</v>
      </c>
      <c r="O39" s="23">
        <v>31.0</v>
      </c>
      <c r="Q39" s="23">
        <v>10.7</v>
      </c>
      <c r="R39" s="23">
        <v>18.7</v>
      </c>
      <c r="S39" s="23">
        <v>22.1</v>
      </c>
      <c r="T39" s="23">
        <v>26.5</v>
      </c>
      <c r="U39" s="23">
        <v>26.5</v>
      </c>
      <c r="V39" s="23">
        <v>18.7</v>
      </c>
      <c r="W39" s="23">
        <v>18.7</v>
      </c>
      <c r="X39" s="23">
        <v>30.4</v>
      </c>
      <c r="Y39" s="23">
        <v>10.8</v>
      </c>
      <c r="Z39" s="23">
        <v>20.6</v>
      </c>
      <c r="AA39" s="23">
        <v>30.4</v>
      </c>
      <c r="AB39" s="23">
        <v>14.6</v>
      </c>
      <c r="AC39" s="23">
        <v>16.1</v>
      </c>
      <c r="AE39" s="23">
        <v>32.2</v>
      </c>
      <c r="AG39" s="23">
        <v>40.4</v>
      </c>
      <c r="AH39" s="23">
        <v>7.4</v>
      </c>
      <c r="AI39" s="23">
        <v>29.9</v>
      </c>
      <c r="AJ39" s="23">
        <v>14.6</v>
      </c>
      <c r="AO39" s="23">
        <v>5.8</v>
      </c>
      <c r="AP39" s="23">
        <v>2.1</v>
      </c>
      <c r="AS39" s="23">
        <v>30.7</v>
      </c>
      <c r="AT39" s="23">
        <v>9.2</v>
      </c>
      <c r="AU39" s="23">
        <v>35.0</v>
      </c>
      <c r="AV39" s="23">
        <v>10.2</v>
      </c>
      <c r="AW39" s="23">
        <v>32.2</v>
      </c>
      <c r="AX39" s="23">
        <v>5.8</v>
      </c>
      <c r="AZ39" s="23">
        <v>14.6</v>
      </c>
      <c r="BD39" s="24">
        <v>54.2</v>
      </c>
      <c r="BE39" s="23">
        <v>20.1</v>
      </c>
      <c r="BF39" s="24">
        <v>54.2</v>
      </c>
      <c r="BH39" s="23">
        <v>11.2</v>
      </c>
      <c r="BJ39" s="23">
        <v>37.8</v>
      </c>
      <c r="BK39" s="23">
        <v>13.4</v>
      </c>
      <c r="BM39" s="23">
        <v>37.8</v>
      </c>
      <c r="BO39" s="23">
        <v>23.0</v>
      </c>
      <c r="BP39" s="23">
        <v>29.1</v>
      </c>
      <c r="BQ39" s="23">
        <v>16.3</v>
      </c>
      <c r="BR39" s="23">
        <v>22.0</v>
      </c>
      <c r="BT39" s="23">
        <v>18.1</v>
      </c>
      <c r="BU39" s="23">
        <v>3.0</v>
      </c>
      <c r="BX39" s="23">
        <v>21.6</v>
      </c>
      <c r="BY39" s="23">
        <v>8.6</v>
      </c>
      <c r="BZ39" s="23">
        <v>0.4</v>
      </c>
    </row>
    <row r="40" ht="14.25" customHeight="1">
      <c r="A40" s="21" t="s">
        <v>157</v>
      </c>
      <c r="B40" s="22"/>
      <c r="C40" s="22"/>
      <c r="M40" s="23">
        <v>72.8</v>
      </c>
      <c r="O40" s="23">
        <v>10.4</v>
      </c>
      <c r="R40" s="23">
        <v>85.2</v>
      </c>
      <c r="U40" s="23">
        <v>226.7</v>
      </c>
      <c r="X40" s="23">
        <v>146.1</v>
      </c>
      <c r="AE40" s="23">
        <v>19.6</v>
      </c>
      <c r="AI40" s="23">
        <v>30.7</v>
      </c>
      <c r="AT40" s="23">
        <v>0.5</v>
      </c>
      <c r="BD40" s="23">
        <v>2.6</v>
      </c>
      <c r="BE40" s="23">
        <v>0.5</v>
      </c>
      <c r="BM40" s="23">
        <v>65.5</v>
      </c>
      <c r="BQ40" s="23">
        <v>0.6</v>
      </c>
      <c r="BR40" s="23">
        <v>0.2</v>
      </c>
      <c r="BT40" s="23">
        <v>4.6</v>
      </c>
      <c r="BX40" s="23">
        <v>11.6</v>
      </c>
      <c r="BY40" s="23">
        <v>1.0</v>
      </c>
    </row>
    <row r="41" ht="14.25" customHeight="1">
      <c r="A41" s="19" t="s">
        <v>158</v>
      </c>
      <c r="B41" s="27"/>
      <c r="C41" s="27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46"/>
      <c r="AW41" s="46"/>
      <c r="AX41" s="46"/>
      <c r="AY41" s="46"/>
      <c r="AZ41" s="46"/>
      <c r="BA41" s="46"/>
      <c r="BB41" s="46"/>
      <c r="BC41" s="46"/>
      <c r="BD41" s="46"/>
      <c r="BE41" s="46"/>
      <c r="BF41" s="46"/>
      <c r="BG41" s="46"/>
      <c r="BH41" s="46"/>
      <c r="BI41" s="46"/>
      <c r="BJ41" s="46"/>
      <c r="BK41" s="46"/>
      <c r="BL41" s="46"/>
      <c r="BM41" s="46"/>
      <c r="BN41" s="46"/>
      <c r="BO41" s="46"/>
      <c r="BP41" s="46"/>
      <c r="BQ41" s="46"/>
      <c r="BR41" s="46"/>
      <c r="BS41" s="46"/>
      <c r="BT41" s="46"/>
      <c r="BU41" s="46"/>
      <c r="BV41" s="46"/>
      <c r="BW41" s="46"/>
      <c r="BX41" s="46"/>
      <c r="BY41" s="46"/>
      <c r="BZ41" s="46"/>
      <c r="CA41" s="46"/>
      <c r="CB41" s="46"/>
      <c r="CC41" s="46"/>
      <c r="CD41" s="46"/>
    </row>
    <row r="42" ht="14.25" customHeight="1">
      <c r="A42" s="21" t="s">
        <v>159</v>
      </c>
      <c r="B42" s="22" t="s">
        <v>160</v>
      </c>
      <c r="C42" s="22" t="s">
        <v>161</v>
      </c>
      <c r="D42" s="23">
        <v>1.665</v>
      </c>
      <c r="E42" s="23">
        <v>0.63</v>
      </c>
      <c r="F42" s="23">
        <v>0.206</v>
      </c>
      <c r="G42" s="23">
        <v>0.454</v>
      </c>
      <c r="H42" s="23">
        <v>0.314</v>
      </c>
      <c r="I42" s="23">
        <v>0.269</v>
      </c>
      <c r="J42" s="23">
        <v>0.289</v>
      </c>
      <c r="K42" s="23">
        <v>0.277</v>
      </c>
      <c r="L42" s="23">
        <v>0.368</v>
      </c>
      <c r="M42" s="23">
        <v>0.43</v>
      </c>
      <c r="N42" s="23">
        <v>0.43</v>
      </c>
      <c r="O42" s="23">
        <v>0.302</v>
      </c>
      <c r="P42" s="23">
        <v>0.258</v>
      </c>
      <c r="Q42" s="23">
        <v>0.099</v>
      </c>
      <c r="R42" s="23">
        <v>0.803</v>
      </c>
      <c r="S42" s="23">
        <v>0.989</v>
      </c>
      <c r="T42" s="23">
        <v>0.796</v>
      </c>
      <c r="U42" s="23">
        <v>0.747</v>
      </c>
      <c r="V42" s="23">
        <v>0.657</v>
      </c>
      <c r="W42" s="23">
        <v>0.779</v>
      </c>
      <c r="X42" s="23">
        <v>0.197</v>
      </c>
      <c r="Y42" s="23">
        <v>0.15</v>
      </c>
      <c r="Z42" s="23">
        <v>0.18</v>
      </c>
      <c r="AA42" s="23">
        <v>0.269</v>
      </c>
      <c r="AB42" s="23">
        <v>0.626</v>
      </c>
      <c r="AC42" s="23">
        <v>0.688</v>
      </c>
      <c r="AD42" s="23">
        <v>1.217</v>
      </c>
      <c r="AE42" s="23">
        <v>1.328</v>
      </c>
      <c r="AF42" s="23">
        <v>0.163</v>
      </c>
      <c r="AG42" s="23">
        <v>1.11</v>
      </c>
      <c r="AH42" s="23">
        <v>0.31</v>
      </c>
      <c r="AI42" s="23">
        <v>1.607</v>
      </c>
      <c r="AJ42" s="23">
        <v>0.697</v>
      </c>
      <c r="AK42" s="23">
        <v>0.158</v>
      </c>
      <c r="AL42" s="23">
        <v>0.057</v>
      </c>
      <c r="AM42" s="23">
        <v>0.14</v>
      </c>
      <c r="AN42" s="23">
        <v>0.051</v>
      </c>
      <c r="AO42" s="23">
        <v>0.18</v>
      </c>
      <c r="AP42" s="23">
        <v>0.077</v>
      </c>
      <c r="AQ42" s="23">
        <v>0.536</v>
      </c>
      <c r="AR42" s="23">
        <v>0.165</v>
      </c>
      <c r="AS42" s="23">
        <v>0.584</v>
      </c>
      <c r="AT42" s="23">
        <v>0.18</v>
      </c>
      <c r="AU42" s="23">
        <v>0.156</v>
      </c>
      <c r="AV42" s="23">
        <v>0.049</v>
      </c>
      <c r="AW42" s="23">
        <v>4.171</v>
      </c>
      <c r="AX42" s="23">
        <v>0.386</v>
      </c>
      <c r="AY42" s="23">
        <v>0.557</v>
      </c>
      <c r="AZ42" s="23">
        <v>0.709</v>
      </c>
      <c r="BA42" s="23">
        <v>0.153</v>
      </c>
      <c r="BB42" s="23">
        <v>0.023</v>
      </c>
      <c r="BC42" s="23">
        <v>0.741</v>
      </c>
      <c r="BD42" s="23">
        <v>0.591</v>
      </c>
      <c r="BE42" s="23">
        <v>0.134</v>
      </c>
      <c r="BF42" s="23">
        <v>0.677</v>
      </c>
      <c r="BG42" s="23">
        <v>0.723</v>
      </c>
      <c r="BH42" s="23">
        <v>0.172</v>
      </c>
      <c r="BI42" s="23">
        <v>0.536</v>
      </c>
      <c r="BJ42" s="23">
        <v>0.244</v>
      </c>
      <c r="BK42" s="23">
        <v>0.093</v>
      </c>
      <c r="BL42" s="23">
        <v>0.482</v>
      </c>
      <c r="BM42" s="23">
        <v>0.335</v>
      </c>
      <c r="BN42" s="23">
        <v>0.386</v>
      </c>
      <c r="BO42" s="23">
        <v>0.325</v>
      </c>
      <c r="BP42" s="23">
        <v>0.197</v>
      </c>
      <c r="BQ42" s="23">
        <v>0.161</v>
      </c>
      <c r="BR42" s="23">
        <v>0.103</v>
      </c>
      <c r="BS42" s="23">
        <v>0.667</v>
      </c>
      <c r="BT42" s="23">
        <v>0.13</v>
      </c>
      <c r="BU42" s="23">
        <v>0.041</v>
      </c>
      <c r="BV42" s="23">
        <v>0.29</v>
      </c>
      <c r="BW42" s="23">
        <v>0.102</v>
      </c>
      <c r="BX42" s="23">
        <v>0.505</v>
      </c>
      <c r="BY42" s="23">
        <v>0.169</v>
      </c>
      <c r="BZ42" s="23">
        <v>0.009</v>
      </c>
      <c r="CA42" s="23">
        <v>0.57</v>
      </c>
      <c r="CB42" s="23">
        <v>4.89</v>
      </c>
      <c r="CC42" s="23">
        <v>0.457</v>
      </c>
      <c r="CD42" s="23">
        <v>0.475</v>
      </c>
    </row>
    <row r="43" ht="14.25" customHeight="1">
      <c r="A43" s="21" t="s">
        <v>162</v>
      </c>
      <c r="B43" s="22"/>
      <c r="C43" s="22"/>
      <c r="D43" s="23">
        <v>1.365</v>
      </c>
      <c r="E43" s="23">
        <v>0.637</v>
      </c>
      <c r="F43" s="23">
        <v>0.151</v>
      </c>
      <c r="G43" s="23">
        <v>0.344</v>
      </c>
      <c r="H43" s="23">
        <v>0.303</v>
      </c>
      <c r="I43" s="23">
        <v>0.2</v>
      </c>
      <c r="J43" s="23">
        <v>0.178</v>
      </c>
      <c r="K43" s="23">
        <v>0.203</v>
      </c>
      <c r="L43" s="23">
        <v>0.227</v>
      </c>
      <c r="M43" s="23">
        <v>0.283</v>
      </c>
      <c r="N43" s="23">
        <v>0.283</v>
      </c>
      <c r="O43" s="23">
        <v>0.193</v>
      </c>
      <c r="P43" s="23">
        <v>0.195</v>
      </c>
      <c r="Q43" s="23">
        <v>0.075</v>
      </c>
      <c r="R43" s="23">
        <v>0.642</v>
      </c>
      <c r="S43" s="23">
        <v>1.019</v>
      </c>
      <c r="T43" s="23">
        <v>1.158</v>
      </c>
      <c r="U43" s="23">
        <v>1.597</v>
      </c>
      <c r="V43" s="23">
        <v>1.275</v>
      </c>
      <c r="W43" s="23">
        <v>1.618</v>
      </c>
      <c r="X43" s="23">
        <v>0.208</v>
      </c>
      <c r="Y43" s="23">
        <v>0.158</v>
      </c>
      <c r="Z43" s="23">
        <v>0.189</v>
      </c>
      <c r="AA43" s="23">
        <v>0.284</v>
      </c>
      <c r="AB43" s="23">
        <v>1.311</v>
      </c>
      <c r="AC43" s="23">
        <v>1.44</v>
      </c>
      <c r="AD43" s="23">
        <v>2.178</v>
      </c>
      <c r="AE43" s="23">
        <v>2.376</v>
      </c>
      <c r="AF43" s="23">
        <v>0.291</v>
      </c>
      <c r="AG43" s="23">
        <v>1.98</v>
      </c>
      <c r="AH43" s="23">
        <v>0.435</v>
      </c>
      <c r="AI43" s="23">
        <v>2.866</v>
      </c>
      <c r="AJ43" s="23">
        <v>1.59</v>
      </c>
      <c r="AK43" s="23">
        <v>0.181</v>
      </c>
      <c r="AL43" s="23">
        <v>0.065</v>
      </c>
      <c r="AM43" s="23">
        <v>0.161</v>
      </c>
      <c r="AN43" s="23">
        <v>0.058</v>
      </c>
      <c r="AO43" s="23">
        <v>0.206</v>
      </c>
      <c r="AP43" s="23">
        <v>0.088</v>
      </c>
      <c r="AQ43" s="23">
        <v>0.971</v>
      </c>
      <c r="AR43" s="23">
        <v>0.3</v>
      </c>
      <c r="AS43" s="23">
        <v>1.056</v>
      </c>
      <c r="AT43" s="23">
        <v>0.327</v>
      </c>
      <c r="AU43" s="23">
        <v>0.159</v>
      </c>
      <c r="AV43" s="23">
        <v>0.05</v>
      </c>
      <c r="AW43" s="23">
        <v>7.549</v>
      </c>
      <c r="AX43" s="23">
        <v>0.442</v>
      </c>
      <c r="AY43" s="23">
        <v>1.008</v>
      </c>
      <c r="AZ43" s="23">
        <v>1.654</v>
      </c>
      <c r="BA43" s="23">
        <v>0.175</v>
      </c>
      <c r="BB43" s="23">
        <v>0.026</v>
      </c>
      <c r="BC43" s="23">
        <v>1.04</v>
      </c>
      <c r="BD43" s="23">
        <v>0.828</v>
      </c>
      <c r="BE43" s="23">
        <v>0.188</v>
      </c>
      <c r="BF43" s="23">
        <v>0.949</v>
      </c>
      <c r="BG43" s="23">
        <v>0.773</v>
      </c>
      <c r="BH43" s="23">
        <v>0.184</v>
      </c>
      <c r="BI43" s="23">
        <v>0.924</v>
      </c>
      <c r="BJ43" s="23">
        <v>0.149</v>
      </c>
      <c r="BK43" s="23">
        <v>0.057</v>
      </c>
      <c r="BL43" s="23">
        <v>0.295</v>
      </c>
      <c r="BM43" s="23">
        <v>0.205</v>
      </c>
      <c r="BN43" s="23">
        <v>0.254</v>
      </c>
      <c r="BO43" s="23">
        <v>0.432</v>
      </c>
      <c r="BP43" s="23">
        <v>0.374</v>
      </c>
      <c r="BQ43" s="23">
        <v>0.223</v>
      </c>
      <c r="BR43" s="23">
        <v>0.197</v>
      </c>
      <c r="BS43" s="23">
        <v>1.251</v>
      </c>
      <c r="BT43" s="23">
        <v>0.243</v>
      </c>
      <c r="BU43" s="23">
        <v>0.075</v>
      </c>
      <c r="BV43" s="23">
        <v>0.543</v>
      </c>
      <c r="BW43" s="23">
        <v>0.191</v>
      </c>
      <c r="BX43" s="23">
        <v>0.948</v>
      </c>
      <c r="BY43" s="23">
        <v>0.299</v>
      </c>
      <c r="BZ43" s="23">
        <v>0.016</v>
      </c>
      <c r="CA43" s="23">
        <v>1.1</v>
      </c>
      <c r="CB43" s="23">
        <v>8.17</v>
      </c>
      <c r="CC43" s="23">
        <v>0.993</v>
      </c>
      <c r="CD43" s="23">
        <v>0.879</v>
      </c>
    </row>
    <row r="44" ht="14.25" customHeight="1">
      <c r="A44" s="21" t="s">
        <v>163</v>
      </c>
      <c r="B44" s="22"/>
      <c r="C44" s="22"/>
      <c r="D44" s="23">
        <v>6.01</v>
      </c>
      <c r="E44" s="23">
        <v>2.212</v>
      </c>
      <c r="F44" s="23">
        <v>0.557</v>
      </c>
      <c r="G44" s="23">
        <v>0.978</v>
      </c>
      <c r="H44" s="23">
        <v>0.765</v>
      </c>
      <c r="I44" s="23">
        <v>0.627</v>
      </c>
      <c r="J44" s="23">
        <v>0.656</v>
      </c>
      <c r="K44" s="23">
        <v>0.75</v>
      </c>
      <c r="L44" s="23">
        <v>0.837</v>
      </c>
      <c r="M44" s="23">
        <v>1.167</v>
      </c>
      <c r="N44" s="23">
        <v>1.167</v>
      </c>
      <c r="O44" s="23">
        <v>0.845</v>
      </c>
      <c r="P44" s="23">
        <v>0.556</v>
      </c>
      <c r="Q44" s="23">
        <v>0.213</v>
      </c>
      <c r="R44" s="23">
        <v>1.609</v>
      </c>
      <c r="S44" s="23">
        <v>1.72</v>
      </c>
      <c r="T44" s="23">
        <v>2.939</v>
      </c>
      <c r="U44" s="23">
        <v>0.6</v>
      </c>
      <c r="V44" s="23">
        <v>0.668</v>
      </c>
      <c r="W44" s="23">
        <v>0.649</v>
      </c>
      <c r="X44" s="23">
        <v>0.767</v>
      </c>
      <c r="Y44" s="23">
        <v>0.584</v>
      </c>
      <c r="Z44" s="23">
        <v>0.695</v>
      </c>
      <c r="AA44" s="23">
        <v>1.046</v>
      </c>
      <c r="AB44" s="23">
        <v>0.799</v>
      </c>
      <c r="AC44" s="23">
        <v>0.879</v>
      </c>
      <c r="AD44" s="23">
        <v>2.535</v>
      </c>
      <c r="AE44" s="23">
        <v>2.766</v>
      </c>
      <c r="AF44" s="23">
        <v>0.339</v>
      </c>
      <c r="AG44" s="23">
        <v>2.3</v>
      </c>
      <c r="AH44" s="23">
        <v>0.559</v>
      </c>
      <c r="AI44" s="23">
        <v>3.329</v>
      </c>
      <c r="AJ44" s="23">
        <v>1.694</v>
      </c>
      <c r="AK44" s="23">
        <v>0.155</v>
      </c>
      <c r="AL44" s="23">
        <v>0.056</v>
      </c>
      <c r="AM44" s="23">
        <v>0.138</v>
      </c>
      <c r="AN44" s="23">
        <v>0.05</v>
      </c>
      <c r="AO44" s="23">
        <v>0.177</v>
      </c>
      <c r="AP44" s="23">
        <v>0.076</v>
      </c>
      <c r="AQ44" s="23">
        <v>0.959</v>
      </c>
      <c r="AR44" s="23">
        <v>0.296</v>
      </c>
      <c r="AS44" s="23">
        <v>1.044</v>
      </c>
      <c r="AT44" s="23">
        <v>0.323</v>
      </c>
      <c r="AU44" s="23">
        <v>0.676</v>
      </c>
      <c r="AV44" s="23">
        <v>0.213</v>
      </c>
      <c r="AW44" s="23">
        <v>7.459</v>
      </c>
      <c r="AX44" s="23">
        <v>0.379</v>
      </c>
      <c r="AY44" s="23">
        <v>0.996</v>
      </c>
      <c r="AZ44" s="23">
        <v>1.76</v>
      </c>
      <c r="BA44" s="23">
        <v>0.15</v>
      </c>
      <c r="BB44" s="23">
        <v>0.023</v>
      </c>
      <c r="BC44" s="23">
        <v>1.039</v>
      </c>
      <c r="BD44" s="23">
        <v>0.828</v>
      </c>
      <c r="BE44" s="23">
        <v>0.188</v>
      </c>
      <c r="BF44" s="23">
        <v>0.949</v>
      </c>
      <c r="BG44" s="23">
        <v>2.134</v>
      </c>
      <c r="BH44" s="23">
        <v>0.508</v>
      </c>
      <c r="BI44" s="23">
        <v>2.618</v>
      </c>
      <c r="BJ44" s="23">
        <v>0.56</v>
      </c>
      <c r="BK44" s="23">
        <v>0.214</v>
      </c>
      <c r="BL44" s="23">
        <v>1.108</v>
      </c>
      <c r="BM44" s="23">
        <v>0.771</v>
      </c>
      <c r="BN44" s="23">
        <v>0.953</v>
      </c>
      <c r="BO44" s="23">
        <v>0.487</v>
      </c>
      <c r="BP44" s="23">
        <v>0.603</v>
      </c>
      <c r="BQ44" s="23">
        <v>0.415</v>
      </c>
      <c r="BR44" s="23">
        <v>0.318</v>
      </c>
      <c r="BS44" s="23">
        <v>2.163</v>
      </c>
      <c r="BT44" s="23">
        <v>0.421</v>
      </c>
      <c r="BU44" s="23">
        <v>0.129</v>
      </c>
      <c r="BV44" s="23">
        <v>0.924</v>
      </c>
      <c r="BW44" s="23">
        <v>0.325</v>
      </c>
      <c r="BX44" s="23">
        <v>1.638</v>
      </c>
      <c r="BY44" s="23">
        <v>0.634</v>
      </c>
      <c r="BZ44" s="23">
        <v>0.025</v>
      </c>
      <c r="CA44" s="23">
        <v>1.9</v>
      </c>
      <c r="CB44" s="23">
        <v>13.42</v>
      </c>
      <c r="CC44" s="23">
        <v>1.37</v>
      </c>
      <c r="CD44" s="23">
        <v>1.367</v>
      </c>
    </row>
    <row r="45" ht="14.25" customHeight="1">
      <c r="A45" s="21" t="s">
        <v>164</v>
      </c>
      <c r="B45" s="22" t="s">
        <v>160</v>
      </c>
      <c r="C45" s="22" t="s">
        <v>165</v>
      </c>
      <c r="D45" s="23">
        <v>0.0</v>
      </c>
      <c r="E45" s="23">
        <v>0.0</v>
      </c>
      <c r="F45" s="23">
        <v>0.0</v>
      </c>
      <c r="G45" s="23">
        <v>0.0</v>
      </c>
      <c r="H45" s="23">
        <v>0.0</v>
      </c>
      <c r="I45" s="23">
        <v>0.0</v>
      </c>
      <c r="J45" s="23">
        <v>0.0</v>
      </c>
      <c r="K45" s="23">
        <v>0.0</v>
      </c>
      <c r="L45" s="23">
        <v>0.0</v>
      </c>
      <c r="M45" s="23">
        <v>0.0</v>
      </c>
      <c r="N45" s="23">
        <v>0.0</v>
      </c>
      <c r="O45" s="23">
        <v>0.0</v>
      </c>
      <c r="P45" s="23">
        <v>0.0</v>
      </c>
      <c r="Q45" s="23">
        <v>0.0</v>
      </c>
      <c r="R45" s="23">
        <v>0.0</v>
      </c>
      <c r="S45" s="23">
        <v>0.0</v>
      </c>
      <c r="T45" s="23">
        <v>0.0</v>
      </c>
      <c r="U45" s="23">
        <v>0.0</v>
      </c>
      <c r="V45" s="23">
        <v>0.0</v>
      </c>
      <c r="W45" s="23">
        <v>0.0</v>
      </c>
      <c r="X45" s="23">
        <v>0.0</v>
      </c>
      <c r="Y45" s="23">
        <v>0.0</v>
      </c>
      <c r="Z45" s="23">
        <v>0.0</v>
      </c>
      <c r="AA45" s="23">
        <v>0.0</v>
      </c>
      <c r="AB45" s="23">
        <v>0.0</v>
      </c>
      <c r="AC45" s="23">
        <v>0.0</v>
      </c>
      <c r="AD45" s="23">
        <v>0.0</v>
      </c>
      <c r="AE45" s="23">
        <v>0.0</v>
      </c>
      <c r="AF45" s="23">
        <v>0.0</v>
      </c>
      <c r="AG45" s="23">
        <v>0.0</v>
      </c>
      <c r="AH45" s="23">
        <v>0.0</v>
      </c>
      <c r="AI45" s="23">
        <v>0.0</v>
      </c>
      <c r="AJ45" s="23">
        <v>0.0</v>
      </c>
      <c r="AK45" s="23">
        <v>0.0</v>
      </c>
      <c r="AL45" s="23">
        <v>0.0</v>
      </c>
      <c r="AM45" s="23">
        <v>0.0</v>
      </c>
      <c r="AN45" s="23">
        <v>0.0</v>
      </c>
      <c r="AO45" s="23">
        <v>0.0</v>
      </c>
      <c r="AP45" s="23">
        <v>0.0</v>
      </c>
      <c r="AQ45" s="23">
        <v>0.0</v>
      </c>
      <c r="AR45" s="23">
        <v>0.0</v>
      </c>
      <c r="AS45" s="23">
        <v>0.0</v>
      </c>
      <c r="AT45" s="23">
        <v>0.0</v>
      </c>
      <c r="AU45" s="23">
        <v>0.0</v>
      </c>
      <c r="AV45" s="23">
        <v>0.0</v>
      </c>
      <c r="AW45" s="23">
        <v>0.0</v>
      </c>
      <c r="AX45" s="23">
        <v>0.0</v>
      </c>
      <c r="AY45" s="23">
        <v>0.0</v>
      </c>
      <c r="AZ45" s="23">
        <v>0.0</v>
      </c>
      <c r="BA45" s="23">
        <v>0.0</v>
      </c>
      <c r="BB45" s="23">
        <v>0.0</v>
      </c>
      <c r="BC45" s="23">
        <v>0.0</v>
      </c>
      <c r="BD45" s="23">
        <v>0.0</v>
      </c>
      <c r="BE45" s="23">
        <v>0.0</v>
      </c>
      <c r="BF45" s="23">
        <v>0.0</v>
      </c>
      <c r="BG45" s="23">
        <v>0.0</v>
      </c>
      <c r="BH45" s="23">
        <v>0.0</v>
      </c>
      <c r="BI45" s="23">
        <v>0.0</v>
      </c>
      <c r="BJ45" s="23">
        <v>0.0</v>
      </c>
      <c r="BK45" s="23">
        <v>0.0</v>
      </c>
      <c r="BL45" s="23">
        <v>0.0</v>
      </c>
      <c r="BM45" s="23">
        <v>0.0</v>
      </c>
      <c r="BN45" s="23">
        <v>0.0</v>
      </c>
      <c r="BO45" s="23">
        <v>0.0</v>
      </c>
      <c r="BP45" s="23">
        <v>0.0</v>
      </c>
      <c r="BQ45" s="23">
        <v>0.0</v>
      </c>
      <c r="BR45" s="23">
        <v>0.0</v>
      </c>
      <c r="BS45" s="23">
        <v>0.0</v>
      </c>
      <c r="BT45" s="23">
        <v>0.0</v>
      </c>
      <c r="BU45" s="23">
        <v>0.0</v>
      </c>
      <c r="BV45" s="23">
        <v>0.0</v>
      </c>
      <c r="BW45" s="23">
        <v>0.0</v>
      </c>
      <c r="BX45" s="23">
        <v>0.0</v>
      </c>
      <c r="BY45" s="23">
        <v>0.0</v>
      </c>
      <c r="BZ45" s="23">
        <v>0.0</v>
      </c>
      <c r="CA45" s="23">
        <v>0.0</v>
      </c>
      <c r="CB45" s="23">
        <v>0.0</v>
      </c>
      <c r="CC45" s="23">
        <v>0.0</v>
      </c>
      <c r="CD45" s="23">
        <v>0.0</v>
      </c>
    </row>
    <row r="46" ht="14.25" customHeight="1">
      <c r="A46" s="19" t="s">
        <v>166</v>
      </c>
      <c r="B46" s="30" t="s">
        <v>167</v>
      </c>
      <c r="C46" s="27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46"/>
      <c r="AW46" s="46"/>
      <c r="AX46" s="46"/>
      <c r="AY46" s="46"/>
      <c r="AZ46" s="46"/>
      <c r="BA46" s="46"/>
      <c r="BB46" s="46"/>
      <c r="BC46" s="46"/>
      <c r="BD46" s="46"/>
      <c r="BE46" s="46"/>
      <c r="BF46" s="46"/>
      <c r="BG46" s="46"/>
      <c r="BH46" s="46"/>
      <c r="BI46" s="46"/>
      <c r="BJ46" s="46"/>
      <c r="BK46" s="46"/>
      <c r="BL46" s="46"/>
      <c r="BM46" s="46"/>
      <c r="BN46" s="46"/>
      <c r="BO46" s="46"/>
      <c r="BP46" s="46"/>
      <c r="BQ46" s="46"/>
      <c r="BR46" s="46"/>
      <c r="BS46" s="46"/>
      <c r="BT46" s="46"/>
      <c r="BU46" s="46"/>
      <c r="BV46" s="46"/>
      <c r="BW46" s="46"/>
      <c r="BX46" s="46"/>
      <c r="BY46" s="46"/>
      <c r="BZ46" s="46"/>
      <c r="CA46" s="46"/>
      <c r="CB46" s="46"/>
      <c r="CC46" s="46"/>
      <c r="CD46" s="46"/>
    </row>
    <row r="47" ht="14.25" customHeight="1">
      <c r="A47" s="31" t="s">
        <v>168</v>
      </c>
      <c r="B47" s="32" t="s">
        <v>169</v>
      </c>
      <c r="C47" s="32"/>
      <c r="D47" s="26">
        <v>0.317</v>
      </c>
      <c r="E47" s="25">
        <v>0.282</v>
      </c>
      <c r="F47" s="31">
        <v>0.115</v>
      </c>
      <c r="G47" s="24">
        <v>0.176</v>
      </c>
      <c r="H47" s="24">
        <v>0.195</v>
      </c>
      <c r="I47" s="31">
        <v>0.16</v>
      </c>
      <c r="J47" s="31"/>
      <c r="K47" s="31"/>
      <c r="L47" s="31"/>
      <c r="M47" s="24">
        <v>0.174</v>
      </c>
      <c r="N47" s="31"/>
      <c r="O47" s="31">
        <v>0.113</v>
      </c>
      <c r="P47" s="24">
        <v>0.188</v>
      </c>
      <c r="Q47" s="31">
        <v>0.069</v>
      </c>
      <c r="R47" s="31"/>
      <c r="S47" s="31">
        <v>0.092</v>
      </c>
      <c r="T47" s="31">
        <v>0.122</v>
      </c>
      <c r="U47" s="31">
        <v>0.093</v>
      </c>
      <c r="V47" s="31">
        <v>0.114</v>
      </c>
      <c r="W47" s="31">
        <v>0.111</v>
      </c>
      <c r="X47" s="31">
        <v>0.108</v>
      </c>
      <c r="Y47" s="31">
        <v>0.111</v>
      </c>
      <c r="Z47" s="31">
        <v>0.123</v>
      </c>
      <c r="AA47" s="31">
        <v>0.18</v>
      </c>
      <c r="AB47" s="31">
        <v>0.096</v>
      </c>
      <c r="AC47" s="31">
        <v>0.105</v>
      </c>
      <c r="AD47" s="25">
        <v>0.234</v>
      </c>
      <c r="AE47" s="26">
        <v>0.335</v>
      </c>
      <c r="AF47" s="31">
        <v>0.057</v>
      </c>
      <c r="AG47" s="23">
        <v>0.182</v>
      </c>
      <c r="AH47" s="23">
        <v>0.04</v>
      </c>
      <c r="AI47" s="31"/>
      <c r="AJ47" s="31">
        <v>0.131</v>
      </c>
      <c r="AK47" s="31">
        <v>0.077</v>
      </c>
      <c r="AL47" s="31">
        <v>0.028</v>
      </c>
      <c r="AM47" s="31">
        <v>0.075</v>
      </c>
      <c r="AN47" s="31">
        <v>0.027</v>
      </c>
      <c r="AO47" s="31">
        <v>0.083</v>
      </c>
      <c r="AP47" s="31">
        <v>0.031</v>
      </c>
      <c r="AQ47" s="31">
        <v>0.096</v>
      </c>
      <c r="AR47" s="31">
        <v>0.03</v>
      </c>
      <c r="AS47" s="31">
        <v>0.101</v>
      </c>
      <c r="AT47" s="31">
        <v>0.033</v>
      </c>
      <c r="AU47" s="24">
        <v>0.179</v>
      </c>
      <c r="AV47" s="31">
        <v>0.049</v>
      </c>
      <c r="AW47" s="31">
        <v>0.108</v>
      </c>
      <c r="AX47" s="31">
        <v>0.072</v>
      </c>
      <c r="AY47" s="31">
        <v>0.092</v>
      </c>
      <c r="AZ47" s="31">
        <v>0.106</v>
      </c>
      <c r="BA47" s="31">
        <v>0.04</v>
      </c>
      <c r="BB47" s="31">
        <v>0.011</v>
      </c>
      <c r="BC47" s="24">
        <v>0.192</v>
      </c>
      <c r="BD47" s="31">
        <v>0.17</v>
      </c>
      <c r="BE47" s="31">
        <v>0.049</v>
      </c>
      <c r="BF47" s="31">
        <v>0.183</v>
      </c>
      <c r="BG47" s="31">
        <v>0.119</v>
      </c>
      <c r="BH47" s="31">
        <v>0.038</v>
      </c>
      <c r="BI47" s="31">
        <v>0.17</v>
      </c>
      <c r="BJ47" s="31">
        <v>0.165</v>
      </c>
      <c r="BK47" s="31">
        <v>0.038</v>
      </c>
      <c r="BL47" s="24">
        <v>0.208</v>
      </c>
      <c r="BM47" s="31">
        <v>0.175</v>
      </c>
      <c r="BN47" s="31">
        <v>0.132</v>
      </c>
      <c r="BO47" s="31">
        <v>0.023</v>
      </c>
      <c r="BP47" s="31">
        <v>0.023</v>
      </c>
      <c r="BQ47" s="31">
        <v>0.018</v>
      </c>
      <c r="BR47" s="31">
        <v>0.031</v>
      </c>
      <c r="BS47" s="31">
        <v>0.067</v>
      </c>
      <c r="BT47" s="31"/>
      <c r="BU47" s="31"/>
      <c r="BV47" s="31">
        <v>0.053</v>
      </c>
      <c r="BW47" s="31">
        <v>0.019</v>
      </c>
      <c r="BX47" s="31">
        <v>0.057</v>
      </c>
      <c r="BY47" s="31">
        <v>0.038</v>
      </c>
      <c r="BZ47" s="31">
        <v>0.001</v>
      </c>
      <c r="CA47" s="31">
        <v>0.085</v>
      </c>
      <c r="CB47" s="31">
        <v>0.063</v>
      </c>
      <c r="CC47" s="31">
        <v>0.124</v>
      </c>
      <c r="CD47" s="31">
        <v>0.099</v>
      </c>
    </row>
    <row r="48" ht="14.25" customHeight="1">
      <c r="A48" s="31" t="s">
        <v>170</v>
      </c>
      <c r="B48" s="32" t="s">
        <v>171</v>
      </c>
      <c r="C48" s="32"/>
      <c r="D48" s="26">
        <v>0.968</v>
      </c>
      <c r="E48" s="25">
        <v>0.5</v>
      </c>
      <c r="F48" s="31">
        <v>0.254</v>
      </c>
      <c r="G48" s="31">
        <v>0.366</v>
      </c>
      <c r="H48" s="24">
        <v>0.433</v>
      </c>
      <c r="I48" s="31">
        <v>0.365</v>
      </c>
      <c r="J48" s="31">
        <v>0.342</v>
      </c>
      <c r="K48" s="31"/>
      <c r="L48" s="31"/>
      <c r="M48" s="31">
        <v>0.367</v>
      </c>
      <c r="N48" s="31"/>
      <c r="O48" s="31">
        <v>0.264</v>
      </c>
      <c r="P48" s="24">
        <v>0.392</v>
      </c>
      <c r="Q48" s="31">
        <v>0.143</v>
      </c>
      <c r="R48" s="31"/>
      <c r="S48" s="31">
        <v>0.299</v>
      </c>
      <c r="T48" s="31">
        <v>0.248</v>
      </c>
      <c r="U48" s="31">
        <v>0.173</v>
      </c>
      <c r="V48" s="31">
        <v>0.302</v>
      </c>
      <c r="W48" s="31">
        <v>0.256</v>
      </c>
      <c r="X48" s="31">
        <v>0.289</v>
      </c>
      <c r="Y48" s="31">
        <v>0.278</v>
      </c>
      <c r="Z48" s="31">
        <v>0.341</v>
      </c>
      <c r="AA48" s="25">
        <v>0.49</v>
      </c>
      <c r="AB48" s="31">
        <v>0.255</v>
      </c>
      <c r="AC48" s="31">
        <v>0.281</v>
      </c>
      <c r="AD48" s="25">
        <v>0.575</v>
      </c>
      <c r="AE48" s="25">
        <v>0.502</v>
      </c>
      <c r="AF48" s="31">
        <v>0.086</v>
      </c>
      <c r="AG48" s="23">
        <v>0.382</v>
      </c>
      <c r="AH48" s="23">
        <v>0.096</v>
      </c>
      <c r="AI48" s="31"/>
      <c r="AJ48" s="31">
        <v>0.299</v>
      </c>
      <c r="AK48" s="31">
        <v>0.236</v>
      </c>
      <c r="AL48" s="31">
        <v>0.085</v>
      </c>
      <c r="AM48" s="31">
        <v>0.233</v>
      </c>
      <c r="AN48" s="31">
        <v>0.084</v>
      </c>
      <c r="AO48" s="31">
        <v>0.255</v>
      </c>
      <c r="AP48" s="31">
        <v>0.096</v>
      </c>
      <c r="AQ48" s="31">
        <v>0.275</v>
      </c>
      <c r="AR48" s="31">
        <v>0.085</v>
      </c>
      <c r="AS48" s="31">
        <v>0.291</v>
      </c>
      <c r="AT48" s="31">
        <v>0.095</v>
      </c>
      <c r="AU48" s="31">
        <v>0.469</v>
      </c>
      <c r="AV48" s="31">
        <v>0.127</v>
      </c>
      <c r="AW48" s="25">
        <v>0.555</v>
      </c>
      <c r="AX48" s="31">
        <v>0.21</v>
      </c>
      <c r="AY48" s="31">
        <v>0.265</v>
      </c>
      <c r="AZ48" s="31">
        <v>0.268</v>
      </c>
      <c r="BA48" s="31">
        <v>0.123</v>
      </c>
      <c r="BB48" s="31">
        <v>0.033</v>
      </c>
      <c r="BC48" s="25">
        <v>0.506</v>
      </c>
      <c r="BD48" s="24">
        <v>0.448</v>
      </c>
      <c r="BE48" s="31">
        <v>0.129</v>
      </c>
      <c r="BF48" s="24">
        <v>0.482</v>
      </c>
      <c r="BG48" s="31">
        <v>0.353</v>
      </c>
      <c r="BH48" s="31">
        <v>0.113</v>
      </c>
      <c r="BI48" s="31">
        <v>0.354</v>
      </c>
      <c r="BJ48" s="31">
        <v>0.337</v>
      </c>
      <c r="BK48" s="31">
        <v>0.077</v>
      </c>
      <c r="BL48" s="24">
        <v>0.424</v>
      </c>
      <c r="BM48" s="31">
        <v>0.356</v>
      </c>
      <c r="BN48" s="24">
        <v>0.407</v>
      </c>
      <c r="BO48" s="31">
        <v>0.129</v>
      </c>
      <c r="BP48" s="31">
        <v>0.133</v>
      </c>
      <c r="BQ48" s="31">
        <v>0.105</v>
      </c>
      <c r="BR48" s="31">
        <v>0.115</v>
      </c>
      <c r="BS48" s="31">
        <v>0.354</v>
      </c>
      <c r="BT48" s="31"/>
      <c r="BU48" s="31"/>
      <c r="BV48" s="31">
        <v>0.28</v>
      </c>
      <c r="BW48" s="31">
        <v>0.099</v>
      </c>
      <c r="BX48" s="31">
        <v>0.305</v>
      </c>
      <c r="BY48" s="31">
        <v>0.172</v>
      </c>
      <c r="BZ48" s="31">
        <v>0.009</v>
      </c>
      <c r="CA48" s="24">
        <v>0.452</v>
      </c>
      <c r="CB48" s="31">
        <v>0.338</v>
      </c>
      <c r="CC48" s="31">
        <v>0.346</v>
      </c>
      <c r="CD48" s="31">
        <v>0.291</v>
      </c>
    </row>
    <row r="49" ht="14.25" customHeight="1">
      <c r="A49" s="31" t="s">
        <v>172</v>
      </c>
      <c r="B49" s="32" t="s">
        <v>173</v>
      </c>
      <c r="C49" s="32"/>
      <c r="D49" s="26">
        <v>0.847</v>
      </c>
      <c r="E49" s="24">
        <v>0.486</v>
      </c>
      <c r="F49" s="31">
        <v>0.287</v>
      </c>
      <c r="G49" s="25">
        <v>0.533</v>
      </c>
      <c r="H49" s="24">
        <v>0.541</v>
      </c>
      <c r="I49" s="24">
        <v>0.458</v>
      </c>
      <c r="J49" s="24">
        <v>0.396</v>
      </c>
      <c r="K49" s="31"/>
      <c r="L49" s="31"/>
      <c r="M49" s="24">
        <v>0.443</v>
      </c>
      <c r="N49" s="31"/>
      <c r="O49" s="31">
        <v>0.327</v>
      </c>
      <c r="P49" s="25">
        <v>0.57</v>
      </c>
      <c r="Q49" s="31">
        <v>0.207</v>
      </c>
      <c r="R49" s="31"/>
      <c r="S49" s="31">
        <v>0.258</v>
      </c>
      <c r="T49" s="31">
        <v>0.314</v>
      </c>
      <c r="U49" s="31">
        <v>0.223</v>
      </c>
      <c r="V49" s="31">
        <v>0.386</v>
      </c>
      <c r="W49" s="31">
        <v>0.332</v>
      </c>
      <c r="X49" s="31">
        <v>0.208</v>
      </c>
      <c r="Y49" s="31">
        <v>0.235</v>
      </c>
      <c r="Z49" s="31">
        <v>0.253</v>
      </c>
      <c r="AA49" s="31">
        <v>0.353</v>
      </c>
      <c r="AB49" s="31">
        <v>0.319</v>
      </c>
      <c r="AC49" s="31">
        <v>0.351</v>
      </c>
      <c r="AD49" s="25">
        <v>0.694</v>
      </c>
      <c r="AE49" s="25">
        <v>0.668</v>
      </c>
      <c r="AF49" s="31">
        <v>0.114</v>
      </c>
      <c r="AG49" s="23">
        <v>0.503</v>
      </c>
      <c r="AH49" s="23">
        <v>0.116</v>
      </c>
      <c r="AI49" s="31"/>
      <c r="AJ49" s="24">
        <v>0.399</v>
      </c>
      <c r="AK49" s="31">
        <v>0.285</v>
      </c>
      <c r="AL49" s="31">
        <v>0.103</v>
      </c>
      <c r="AM49" s="31">
        <v>0.281</v>
      </c>
      <c r="AN49" s="31">
        <v>0.102</v>
      </c>
      <c r="AO49" s="31">
        <v>0.308</v>
      </c>
      <c r="AP49" s="31">
        <v>0.116</v>
      </c>
      <c r="AQ49" s="31">
        <v>0.318</v>
      </c>
      <c r="AR49" s="31">
        <v>0.098</v>
      </c>
      <c r="AS49" s="31">
        <v>0.336</v>
      </c>
      <c r="AT49" s="31">
        <v>0.109</v>
      </c>
      <c r="AU49" s="25">
        <v>0.618</v>
      </c>
      <c r="AV49" s="31">
        <v>0.167</v>
      </c>
      <c r="AW49" s="25">
        <v>0.568</v>
      </c>
      <c r="AX49" s="31">
        <v>0.244</v>
      </c>
      <c r="AY49" s="31">
        <v>0.306</v>
      </c>
      <c r="AZ49" s="31">
        <v>0.347</v>
      </c>
      <c r="BA49" s="31">
        <v>0.149</v>
      </c>
      <c r="BB49" s="31">
        <v>0.039</v>
      </c>
      <c r="BC49" s="25">
        <v>0.498</v>
      </c>
      <c r="BD49" s="24">
        <v>0.441</v>
      </c>
      <c r="BE49" s="31">
        <v>0.127</v>
      </c>
      <c r="BF49" s="24">
        <v>0.474</v>
      </c>
      <c r="BG49" s="24">
        <v>0.465</v>
      </c>
      <c r="BH49" s="31">
        <v>0.148</v>
      </c>
      <c r="BI49" s="24">
        <v>0.473</v>
      </c>
      <c r="BJ49" s="31">
        <v>0.362</v>
      </c>
      <c r="BK49" s="31">
        <v>0.083</v>
      </c>
      <c r="BL49" s="24">
        <v>0.456</v>
      </c>
      <c r="BM49" s="31">
        <v>0.383</v>
      </c>
      <c r="BN49" s="31">
        <v>0.361</v>
      </c>
      <c r="BO49" s="31">
        <v>0.129</v>
      </c>
      <c r="BP49" s="31">
        <v>0.133</v>
      </c>
      <c r="BQ49" s="31">
        <v>0.105</v>
      </c>
      <c r="BR49" s="31">
        <v>0.137</v>
      </c>
      <c r="BS49" s="31">
        <v>0.337</v>
      </c>
      <c r="BT49" s="31"/>
      <c r="BU49" s="31"/>
      <c r="BV49" s="31">
        <v>0.267</v>
      </c>
      <c r="BW49" s="31">
        <v>0.094</v>
      </c>
      <c r="BX49" s="31">
        <v>0.291</v>
      </c>
      <c r="BY49" s="31">
        <v>0.242</v>
      </c>
      <c r="BZ49" s="31">
        <v>0.01</v>
      </c>
      <c r="CA49" s="24">
        <v>0.431</v>
      </c>
      <c r="CB49" s="31">
        <v>0.323</v>
      </c>
      <c r="CC49" s="24">
        <v>0.433</v>
      </c>
      <c r="CD49" s="31">
        <v>0.288</v>
      </c>
    </row>
    <row r="50" ht="14.25" customHeight="1">
      <c r="A50" s="31" t="s">
        <v>174</v>
      </c>
      <c r="B50" s="32" t="s">
        <v>175</v>
      </c>
      <c r="C50" s="32"/>
      <c r="D50" s="26">
        <v>1.571</v>
      </c>
      <c r="E50" s="25">
        <v>0.928</v>
      </c>
      <c r="F50" s="31">
        <v>0.507</v>
      </c>
      <c r="G50" s="25">
        <v>0.934</v>
      </c>
      <c r="H50" s="25">
        <v>1.038</v>
      </c>
      <c r="I50" s="24">
        <v>0.854</v>
      </c>
      <c r="J50" s="24">
        <v>0.763</v>
      </c>
      <c r="K50" s="31"/>
      <c r="L50" s="31"/>
      <c r="M50" s="24">
        <v>0.898</v>
      </c>
      <c r="N50" s="31"/>
      <c r="O50" s="31">
        <v>0.627</v>
      </c>
      <c r="P50" s="25">
        <v>0.999</v>
      </c>
      <c r="Q50" s="31">
        <v>0.364</v>
      </c>
      <c r="R50" s="31"/>
      <c r="S50" s="31">
        <v>0.461</v>
      </c>
      <c r="T50" s="31">
        <v>0.574</v>
      </c>
      <c r="U50" s="31">
        <v>0.406</v>
      </c>
      <c r="V50" s="31">
        <v>0.686</v>
      </c>
      <c r="W50" s="31">
        <v>0.603</v>
      </c>
      <c r="X50" s="31">
        <v>0.563</v>
      </c>
      <c r="Y50" s="31">
        <v>0.556</v>
      </c>
      <c r="Z50" s="31">
        <v>0.611</v>
      </c>
      <c r="AA50" s="31">
        <v>0.857</v>
      </c>
      <c r="AB50" s="31">
        <v>0.579</v>
      </c>
      <c r="AC50" s="31">
        <v>0.637</v>
      </c>
      <c r="AD50" s="26">
        <v>1.284</v>
      </c>
      <c r="AE50" s="26">
        <v>1.374</v>
      </c>
      <c r="AF50" s="31">
        <v>0.235</v>
      </c>
      <c r="AG50" s="23">
        <v>0.98</v>
      </c>
      <c r="AH50" s="23">
        <v>0.216</v>
      </c>
      <c r="AI50" s="31"/>
      <c r="AJ50" s="24">
        <v>0.733</v>
      </c>
      <c r="AK50" s="31">
        <v>0.546</v>
      </c>
      <c r="AL50" s="31">
        <v>0.197</v>
      </c>
      <c r="AM50" s="31">
        <v>0.538</v>
      </c>
      <c r="AN50" s="31">
        <v>0.195</v>
      </c>
      <c r="AO50" s="31">
        <v>0.589</v>
      </c>
      <c r="AP50" s="31">
        <v>0.222</v>
      </c>
      <c r="AQ50" s="31">
        <v>0.62</v>
      </c>
      <c r="AR50" s="31">
        <v>0.191</v>
      </c>
      <c r="AS50" s="31">
        <v>0.657</v>
      </c>
      <c r="AT50" s="31">
        <v>0.214</v>
      </c>
      <c r="AU50" s="25">
        <v>1.018</v>
      </c>
      <c r="AV50" s="31">
        <v>0.276</v>
      </c>
      <c r="AW50" s="25">
        <v>1.022</v>
      </c>
      <c r="AX50" s="31">
        <v>0.488</v>
      </c>
      <c r="AY50" s="31">
        <v>0.598</v>
      </c>
      <c r="AZ50" s="31">
        <v>0.624</v>
      </c>
      <c r="BA50" s="31">
        <v>0.284</v>
      </c>
      <c r="BB50" s="31">
        <v>0.075</v>
      </c>
      <c r="BC50" s="24">
        <v>0.832</v>
      </c>
      <c r="BD50" s="24">
        <v>0.736</v>
      </c>
      <c r="BE50" s="31">
        <v>0.212</v>
      </c>
      <c r="BF50" s="24">
        <v>0.792</v>
      </c>
      <c r="BG50" s="26">
        <v>1.4</v>
      </c>
      <c r="BH50" s="31">
        <v>0.446</v>
      </c>
      <c r="BI50" s="26">
        <v>1.537</v>
      </c>
      <c r="BJ50" s="31">
        <v>0.673</v>
      </c>
      <c r="BK50" s="31">
        <v>0.154</v>
      </c>
      <c r="BL50" s="24">
        <v>0.848</v>
      </c>
      <c r="BM50" s="24">
        <v>0.713</v>
      </c>
      <c r="BN50" s="24">
        <v>0.746</v>
      </c>
      <c r="BO50" s="31">
        <v>0.348</v>
      </c>
      <c r="BP50" s="31">
        <v>0.358</v>
      </c>
      <c r="BQ50" s="31">
        <v>0.284</v>
      </c>
      <c r="BR50" s="31">
        <v>0.251</v>
      </c>
      <c r="BS50" s="25">
        <v>1.155</v>
      </c>
      <c r="BT50" s="31"/>
      <c r="BU50" s="31"/>
      <c r="BV50" s="25">
        <v>0.915</v>
      </c>
      <c r="BW50" s="31">
        <v>0.322</v>
      </c>
      <c r="BX50" s="25">
        <v>0.996</v>
      </c>
      <c r="BY50" s="25">
        <v>1.006</v>
      </c>
      <c r="BZ50" s="31">
        <v>0.036</v>
      </c>
      <c r="CA50" s="26">
        <v>1.473</v>
      </c>
      <c r="CB50" s="31">
        <v>1.103</v>
      </c>
      <c r="CC50" s="26">
        <v>1.491</v>
      </c>
      <c r="CD50" s="25">
        <v>1.013</v>
      </c>
    </row>
    <row r="51" ht="14.25" customHeight="1">
      <c r="A51" s="31" t="s">
        <v>176</v>
      </c>
      <c r="B51" s="32" t="s">
        <v>177</v>
      </c>
      <c r="C51" s="32"/>
      <c r="D51" s="26">
        <v>1.468</v>
      </c>
      <c r="E51" s="31">
        <v>0.6</v>
      </c>
      <c r="F51" s="31">
        <v>0.245</v>
      </c>
      <c r="G51" s="31">
        <v>0.303</v>
      </c>
      <c r="H51" s="31">
        <v>0.404</v>
      </c>
      <c r="I51" s="31">
        <v>0.335</v>
      </c>
      <c r="J51" s="31">
        <v>0.315</v>
      </c>
      <c r="K51" s="31"/>
      <c r="L51" s="31"/>
      <c r="M51" s="31">
        <v>0.359</v>
      </c>
      <c r="N51" s="31"/>
      <c r="O51" s="31">
        <v>0.26</v>
      </c>
      <c r="P51" s="31">
        <v>0.324</v>
      </c>
      <c r="Q51" s="31">
        <v>0.118</v>
      </c>
      <c r="R51" s="31"/>
      <c r="S51" s="31">
        <v>0.215</v>
      </c>
      <c r="T51" s="31">
        <v>0.244</v>
      </c>
      <c r="U51" s="31">
        <v>0.166</v>
      </c>
      <c r="V51" s="31">
        <v>0.326</v>
      </c>
      <c r="W51" s="31">
        <v>0.235</v>
      </c>
      <c r="X51" s="31">
        <v>0.286</v>
      </c>
      <c r="Y51" s="31">
        <v>0.21</v>
      </c>
      <c r="Z51" s="31">
        <v>0.212</v>
      </c>
      <c r="AA51" s="31">
        <v>0.338</v>
      </c>
      <c r="AB51" s="31">
        <v>0.233</v>
      </c>
      <c r="AC51" s="31">
        <v>0.256</v>
      </c>
      <c r="AD51" s="25">
        <v>0.701</v>
      </c>
      <c r="AE51" s="25">
        <v>0.76</v>
      </c>
      <c r="AF51" s="31">
        <v>0.13</v>
      </c>
      <c r="AG51" s="23">
        <v>0.637</v>
      </c>
      <c r="AH51" s="23">
        <v>0.135</v>
      </c>
      <c r="AI51" s="31"/>
      <c r="AJ51" s="31">
        <v>0.297</v>
      </c>
      <c r="AK51" s="31">
        <v>0.239</v>
      </c>
      <c r="AL51" s="31">
        <v>0.086</v>
      </c>
      <c r="AM51" s="31">
        <v>0.235</v>
      </c>
      <c r="AN51" s="31">
        <v>0.085</v>
      </c>
      <c r="AO51" s="31">
        <v>0.258</v>
      </c>
      <c r="AP51" s="31">
        <v>0.097</v>
      </c>
      <c r="AQ51" s="31">
        <v>0.286</v>
      </c>
      <c r="AR51" s="31">
        <v>0.088</v>
      </c>
      <c r="AS51" s="31">
        <v>0.303</v>
      </c>
      <c r="AT51" s="31">
        <v>0.099</v>
      </c>
      <c r="AU51" s="24">
        <v>0.629</v>
      </c>
      <c r="AV51" s="31">
        <v>0.17</v>
      </c>
      <c r="AW51" s="24">
        <v>0.65</v>
      </c>
      <c r="AX51" s="31">
        <v>0.207</v>
      </c>
      <c r="AY51" s="31">
        <v>0.276</v>
      </c>
      <c r="AZ51" s="31">
        <v>0.259</v>
      </c>
      <c r="BA51" s="31">
        <v>0.124</v>
      </c>
      <c r="BB51" s="31">
        <v>0.033</v>
      </c>
      <c r="BC51" s="24">
        <v>0.672</v>
      </c>
      <c r="BD51" s="24">
        <v>0.595</v>
      </c>
      <c r="BE51" s="31">
        <v>0.172</v>
      </c>
      <c r="BF51" s="24">
        <v>0.64</v>
      </c>
      <c r="BG51" s="31">
        <v>0.212</v>
      </c>
      <c r="BH51" s="31">
        <v>0.067</v>
      </c>
      <c r="BI51" s="31">
        <v>0.144</v>
      </c>
      <c r="BJ51" s="31">
        <v>0.369</v>
      </c>
      <c r="BK51" s="31">
        <v>0.084</v>
      </c>
      <c r="BL51" s="31">
        <v>0.465</v>
      </c>
      <c r="BM51" s="31">
        <v>0.391</v>
      </c>
      <c r="BN51" s="24">
        <v>0.535</v>
      </c>
      <c r="BO51" s="31">
        <v>0.137</v>
      </c>
      <c r="BP51" s="31">
        <v>0.141</v>
      </c>
      <c r="BQ51" s="31">
        <v>0.112</v>
      </c>
      <c r="BR51" s="31">
        <v>0.153</v>
      </c>
      <c r="BS51" s="31">
        <v>0.265</v>
      </c>
      <c r="BT51" s="31"/>
      <c r="BU51" s="31"/>
      <c r="BV51" s="31">
        <v>0.21</v>
      </c>
      <c r="BW51" s="31">
        <v>0.074</v>
      </c>
      <c r="BX51" s="31">
        <v>0.228</v>
      </c>
      <c r="BY51" s="31">
        <v>0.105</v>
      </c>
      <c r="BZ51" s="31">
        <v>0.006</v>
      </c>
      <c r="CA51" s="31">
        <v>0.338</v>
      </c>
      <c r="CB51" s="31">
        <v>0.253</v>
      </c>
      <c r="CC51" s="31">
        <v>0.229</v>
      </c>
      <c r="CD51" s="31">
        <v>0.162</v>
      </c>
    </row>
    <row r="52" ht="14.25" customHeight="1">
      <c r="A52" s="31" t="s">
        <v>178</v>
      </c>
      <c r="B52" s="32" t="s">
        <v>179</v>
      </c>
      <c r="C52" s="32"/>
      <c r="D52" s="26">
        <v>0.456</v>
      </c>
      <c r="E52" s="24">
        <v>0.234</v>
      </c>
      <c r="F52" s="31">
        <v>0.116</v>
      </c>
      <c r="G52" s="24">
        <v>0.221</v>
      </c>
      <c r="H52" s="31">
        <v>0.23</v>
      </c>
      <c r="I52" s="24">
        <v>0.201</v>
      </c>
      <c r="J52" s="31">
        <v>0.174</v>
      </c>
      <c r="K52" s="31"/>
      <c r="L52" s="31"/>
      <c r="M52" s="24">
        <v>0.228</v>
      </c>
      <c r="N52" s="31"/>
      <c r="O52" s="31">
        <v>0.15</v>
      </c>
      <c r="P52" s="24">
        <v>0.236</v>
      </c>
      <c r="Q52" s="31">
        <v>0.086</v>
      </c>
      <c r="R52" s="31"/>
      <c r="S52" s="31">
        <v>0.105</v>
      </c>
      <c r="T52" s="31">
        <v>0.136</v>
      </c>
      <c r="U52" s="31">
        <v>0.093</v>
      </c>
      <c r="V52" s="31">
        <v>0.17</v>
      </c>
      <c r="W52" s="31">
        <v>0.152</v>
      </c>
      <c r="X52" s="31">
        <v>0.153</v>
      </c>
      <c r="Y52" s="31">
        <v>0.113</v>
      </c>
      <c r="Z52" s="31">
        <v>0.136</v>
      </c>
      <c r="AA52" s="31">
        <v>0.199</v>
      </c>
      <c r="AB52" s="31">
        <v>0.139</v>
      </c>
      <c r="AC52" s="31">
        <v>0.153</v>
      </c>
      <c r="AD52" s="25">
        <v>0.312</v>
      </c>
      <c r="AE52" s="25">
        <v>0.335</v>
      </c>
      <c r="AF52" s="31">
        <v>0.057</v>
      </c>
      <c r="AG52" s="23">
        <v>0.207</v>
      </c>
      <c r="AH52" s="23">
        <v>0.046</v>
      </c>
      <c r="AI52" s="31"/>
      <c r="AJ52" s="31">
        <v>0.179</v>
      </c>
      <c r="AK52" s="31">
        <v>0.155</v>
      </c>
      <c r="AL52" s="31">
        <v>0.056</v>
      </c>
      <c r="AM52" s="31">
        <v>0.153</v>
      </c>
      <c r="AN52" s="31">
        <v>0.056</v>
      </c>
      <c r="AO52" s="31">
        <v>0.168</v>
      </c>
      <c r="AP52" s="31">
        <v>0.063</v>
      </c>
      <c r="AQ52" s="31">
        <v>0.169</v>
      </c>
      <c r="AR52" s="31">
        <v>0.052</v>
      </c>
      <c r="AS52" s="31">
        <v>0.179</v>
      </c>
      <c r="AT52" s="31">
        <v>0.058</v>
      </c>
      <c r="AU52" s="26">
        <v>0.438</v>
      </c>
      <c r="AV52" s="31">
        <v>0.119</v>
      </c>
      <c r="AW52" s="25">
        <v>0.306</v>
      </c>
      <c r="AX52" s="31">
        <v>0.144</v>
      </c>
      <c r="AY52" s="31">
        <v>0.163</v>
      </c>
      <c r="AZ52" s="31">
        <v>0.156</v>
      </c>
      <c r="BA52" s="31">
        <v>0.081</v>
      </c>
      <c r="BB52" s="31">
        <v>0.021</v>
      </c>
      <c r="BC52" s="31">
        <v>0.172</v>
      </c>
      <c r="BD52" s="31">
        <v>0.153</v>
      </c>
      <c r="BE52" s="31">
        <v>0.044</v>
      </c>
      <c r="BF52" s="31">
        <v>0.164</v>
      </c>
      <c r="BG52" s="24">
        <v>0.221</v>
      </c>
      <c r="BH52" s="31">
        <v>0.07</v>
      </c>
      <c r="BI52" s="25">
        <v>0.319</v>
      </c>
      <c r="BJ52" s="31">
        <v>0.19</v>
      </c>
      <c r="BK52" s="31">
        <v>0.043</v>
      </c>
      <c r="BL52" s="24">
        <v>0.24</v>
      </c>
      <c r="BM52" s="24">
        <v>0.202</v>
      </c>
      <c r="BN52" s="25">
        <v>0.294</v>
      </c>
      <c r="BO52" s="31">
        <v>0.067</v>
      </c>
      <c r="BP52" s="31">
        <v>0.069</v>
      </c>
      <c r="BQ52" s="31">
        <v>0.055</v>
      </c>
      <c r="BR52" s="31">
        <v>0.068</v>
      </c>
      <c r="BS52" s="31">
        <v>0.197</v>
      </c>
      <c r="BT52" s="31"/>
      <c r="BU52" s="31"/>
      <c r="BV52" s="31">
        <v>0.156</v>
      </c>
      <c r="BW52" s="31">
        <v>0.055</v>
      </c>
      <c r="BX52" s="31">
        <v>0.17</v>
      </c>
      <c r="BY52" s="31">
        <v>0.162</v>
      </c>
      <c r="BZ52" s="31">
        <v>0.006</v>
      </c>
      <c r="CA52" s="31">
        <v>0.252</v>
      </c>
      <c r="CB52" s="31">
        <v>0.189</v>
      </c>
      <c r="CC52" s="31">
        <v>0.169</v>
      </c>
      <c r="CD52" s="31">
        <v>0.135</v>
      </c>
    </row>
    <row r="53" ht="14.25" customHeight="1">
      <c r="A53" s="21" t="s">
        <v>180</v>
      </c>
      <c r="B53" s="22" t="s">
        <v>181</v>
      </c>
      <c r="C53" s="22"/>
      <c r="D53" s="23">
        <v>0.458</v>
      </c>
      <c r="E53" s="23">
        <v>0.371</v>
      </c>
      <c r="F53" s="23">
        <v>0.134</v>
      </c>
      <c r="G53" s="23">
        <v>0.286</v>
      </c>
      <c r="H53" s="23">
        <v>0.404</v>
      </c>
      <c r="I53" s="23">
        <v>0.322</v>
      </c>
      <c r="J53" s="23">
        <v>0.3</v>
      </c>
      <c r="M53" s="23">
        <v>0.275</v>
      </c>
      <c r="O53" s="23">
        <v>0.243</v>
      </c>
      <c r="P53" s="23">
        <v>0.306</v>
      </c>
      <c r="Q53" s="23">
        <v>0.111</v>
      </c>
      <c r="S53" s="23">
        <v>0.154</v>
      </c>
      <c r="T53" s="23">
        <v>0.186</v>
      </c>
      <c r="U53" s="23">
        <v>0.139</v>
      </c>
      <c r="V53" s="23">
        <v>0.188</v>
      </c>
      <c r="W53" s="23">
        <v>0.191</v>
      </c>
      <c r="AB53" s="23">
        <v>0.173</v>
      </c>
      <c r="AC53" s="23">
        <v>0.19</v>
      </c>
      <c r="AD53" s="23">
        <v>0.408</v>
      </c>
      <c r="AE53" s="23">
        <v>0.576</v>
      </c>
      <c r="AF53" s="23">
        <v>0.099</v>
      </c>
      <c r="AG53" s="23">
        <v>0.455</v>
      </c>
      <c r="AH53" s="23">
        <v>0.097</v>
      </c>
      <c r="AJ53" s="23">
        <v>0.234</v>
      </c>
      <c r="AK53" s="23">
        <v>0.135</v>
      </c>
      <c r="AL53" s="23">
        <v>0.049</v>
      </c>
      <c r="AM53" s="23">
        <v>0.133</v>
      </c>
      <c r="AN53" s="23">
        <v>0.048</v>
      </c>
      <c r="AO53" s="23">
        <v>0.146</v>
      </c>
      <c r="AP53" s="23">
        <v>0.055</v>
      </c>
      <c r="AQ53" s="23">
        <v>0.091</v>
      </c>
      <c r="AR53" s="23">
        <v>0.028</v>
      </c>
      <c r="AS53" s="23">
        <v>0.096</v>
      </c>
      <c r="AT53" s="23">
        <v>0.031</v>
      </c>
      <c r="AU53" s="23">
        <v>0.174</v>
      </c>
      <c r="AV53" s="23">
        <v>0.047</v>
      </c>
      <c r="AW53" s="23">
        <v>0.317</v>
      </c>
      <c r="AX53" s="23">
        <v>0.107</v>
      </c>
      <c r="AY53" s="23">
        <v>0.088</v>
      </c>
      <c r="AZ53" s="23">
        <v>0.19</v>
      </c>
      <c r="BA53" s="23">
        <v>0.071</v>
      </c>
      <c r="BB53" s="23">
        <v>0.019</v>
      </c>
      <c r="BC53" s="23">
        <v>0.229</v>
      </c>
      <c r="BD53" s="23">
        <v>0.202</v>
      </c>
      <c r="BE53" s="23">
        <v>0.058</v>
      </c>
      <c r="BF53" s="23">
        <v>0.218</v>
      </c>
      <c r="BG53" s="23">
        <v>0.212</v>
      </c>
      <c r="BH53" s="23">
        <v>0.067</v>
      </c>
      <c r="BI53" s="23">
        <v>0.178</v>
      </c>
      <c r="BJ53" s="23">
        <v>0.219</v>
      </c>
      <c r="BK53" s="23">
        <v>0.05</v>
      </c>
      <c r="BL53" s="23">
        <v>0.276</v>
      </c>
      <c r="BM53" s="23">
        <v>0.232</v>
      </c>
      <c r="BN53" s="23">
        <v>0.157</v>
      </c>
      <c r="BO53" s="23">
        <v>0.026</v>
      </c>
      <c r="BP53" s="23">
        <v>0.027</v>
      </c>
      <c r="BQ53" s="23">
        <v>0.021</v>
      </c>
      <c r="BR53" s="23">
        <v>0.038</v>
      </c>
      <c r="BS53" s="23">
        <v>0.17</v>
      </c>
      <c r="BV53" s="23">
        <v>0.134</v>
      </c>
      <c r="BW53" s="23">
        <v>0.047</v>
      </c>
      <c r="BX53" s="23">
        <v>0.146</v>
      </c>
      <c r="BY53" s="23">
        <v>0.159</v>
      </c>
      <c r="BZ53" s="23">
        <v>0.006</v>
      </c>
      <c r="CA53" s="23">
        <v>0.217</v>
      </c>
      <c r="CB53" s="23">
        <v>0.163</v>
      </c>
      <c r="CC53" s="23">
        <v>0.127</v>
      </c>
      <c r="CD53" s="23">
        <v>0.154</v>
      </c>
    </row>
    <row r="54" ht="14.25" customHeight="1">
      <c r="A54" s="31" t="s">
        <v>182</v>
      </c>
      <c r="B54" s="33" t="s">
        <v>183</v>
      </c>
      <c r="C54" s="32"/>
      <c r="D54" s="26">
        <v>0.928</v>
      </c>
      <c r="E54" s="31">
        <v>0.595</v>
      </c>
      <c r="F54" s="31">
        <v>0.35</v>
      </c>
      <c r="G54" s="24">
        <v>0.681</v>
      </c>
      <c r="H54" s="25">
        <v>0.724</v>
      </c>
      <c r="I54" s="31">
        <v>0.592</v>
      </c>
      <c r="J54" s="31">
        <v>0.508</v>
      </c>
      <c r="K54" s="31"/>
      <c r="L54" s="31"/>
      <c r="M54" s="24">
        <v>0.682</v>
      </c>
      <c r="N54" s="31"/>
      <c r="O54" s="31">
        <v>0.399</v>
      </c>
      <c r="P54" s="25">
        <v>0.728</v>
      </c>
      <c r="Q54" s="31">
        <v>0.265</v>
      </c>
      <c r="R54" s="31"/>
      <c r="S54" s="31">
        <v>0.315</v>
      </c>
      <c r="T54" s="31">
        <v>0.403</v>
      </c>
      <c r="U54" s="31">
        <v>0.283</v>
      </c>
      <c r="V54" s="31">
        <v>0.458</v>
      </c>
      <c r="W54" s="31">
        <v>0.419</v>
      </c>
      <c r="X54" s="31">
        <v>0.435</v>
      </c>
      <c r="Y54" s="31">
        <v>0.445</v>
      </c>
      <c r="Z54" s="31">
        <v>0.488</v>
      </c>
      <c r="AA54" s="24">
        <v>0.646</v>
      </c>
      <c r="AB54" s="31">
        <v>0.411</v>
      </c>
      <c r="AC54" s="31">
        <v>0.451</v>
      </c>
      <c r="AD54" s="26">
        <v>0.895</v>
      </c>
      <c r="AE54" s="26">
        <v>0.908</v>
      </c>
      <c r="AF54" s="31">
        <v>0.155</v>
      </c>
      <c r="AG54" s="23">
        <v>0.665</v>
      </c>
      <c r="AH54" s="23">
        <v>0.142</v>
      </c>
      <c r="AI54" s="31"/>
      <c r="AJ54" s="31">
        <v>0.518</v>
      </c>
      <c r="AK54" s="31">
        <v>0.353</v>
      </c>
      <c r="AL54" s="31">
        <v>0.127</v>
      </c>
      <c r="AM54" s="31">
        <v>0.348</v>
      </c>
      <c r="AN54" s="31">
        <v>0.126</v>
      </c>
      <c r="AO54" s="31">
        <v>0.381</v>
      </c>
      <c r="AP54" s="31">
        <v>0.144</v>
      </c>
      <c r="AQ54" s="31">
        <v>0.387</v>
      </c>
      <c r="AR54" s="31">
        <v>0.119</v>
      </c>
      <c r="AS54" s="31">
        <v>0.41</v>
      </c>
      <c r="AT54" s="31">
        <v>0.133</v>
      </c>
      <c r="AU54" s="25">
        <v>0.721</v>
      </c>
      <c r="AV54" s="31">
        <v>0.195</v>
      </c>
      <c r="AW54" s="24">
        <v>0.635</v>
      </c>
      <c r="AX54" s="31">
        <v>0.317</v>
      </c>
      <c r="AY54" s="31">
        <v>0.373</v>
      </c>
      <c r="AZ54" s="31">
        <v>0.439</v>
      </c>
      <c r="BA54" s="31">
        <v>0.184</v>
      </c>
      <c r="BB54" s="31">
        <v>0.049</v>
      </c>
      <c r="BC54" s="31">
        <v>0.52</v>
      </c>
      <c r="BD54" s="31">
        <v>0.461</v>
      </c>
      <c r="BE54" s="31">
        <v>0.133</v>
      </c>
      <c r="BF54" s="31">
        <v>0.495</v>
      </c>
      <c r="BG54" s="31">
        <v>0.58</v>
      </c>
      <c r="BH54" s="31">
        <v>0.185</v>
      </c>
      <c r="BI54" s="24">
        <v>0.675</v>
      </c>
      <c r="BJ54" s="31">
        <v>0.556</v>
      </c>
      <c r="BK54" s="31">
        <v>0.127</v>
      </c>
      <c r="BL54" s="25">
        <v>0.7</v>
      </c>
      <c r="BM54" s="31">
        <v>0.589</v>
      </c>
      <c r="BN54" s="31">
        <v>0.225</v>
      </c>
      <c r="BO54" s="31">
        <v>0.15</v>
      </c>
      <c r="BP54" s="31">
        <v>0.155</v>
      </c>
      <c r="BQ54" s="31">
        <v>0.122</v>
      </c>
      <c r="BR54" s="31">
        <v>0.131</v>
      </c>
      <c r="BS54" s="31">
        <v>0.463</v>
      </c>
      <c r="BT54" s="31"/>
      <c r="BU54" s="31"/>
      <c r="BV54" s="31">
        <v>0.366</v>
      </c>
      <c r="BW54" s="31">
        <v>0.129</v>
      </c>
      <c r="BX54" s="31">
        <v>0.399</v>
      </c>
      <c r="BY54" s="31">
        <v>0.366</v>
      </c>
      <c r="BZ54" s="31">
        <v>0.013</v>
      </c>
      <c r="CA54" s="31">
        <v>0.59</v>
      </c>
      <c r="CB54" s="31">
        <v>0.442</v>
      </c>
      <c r="CC54" s="31">
        <v>0.546</v>
      </c>
      <c r="CD54" s="31">
        <v>0.412</v>
      </c>
    </row>
    <row r="55" ht="14.25" customHeight="1">
      <c r="A55" s="21" t="s">
        <v>184</v>
      </c>
      <c r="C55" s="22"/>
      <c r="D55" s="23">
        <v>0.704</v>
      </c>
      <c r="E55" s="23">
        <v>0.436</v>
      </c>
      <c r="F55" s="23">
        <v>0.275</v>
      </c>
      <c r="G55" s="23">
        <v>0.357</v>
      </c>
      <c r="H55" s="23">
        <v>0.441</v>
      </c>
      <c r="I55" s="23">
        <v>0.387</v>
      </c>
      <c r="J55" s="23">
        <v>0.327</v>
      </c>
      <c r="M55" s="23">
        <v>0.275</v>
      </c>
      <c r="O55" s="23">
        <v>0.127</v>
      </c>
      <c r="P55" s="23">
        <v>0.382</v>
      </c>
      <c r="Q55" s="23">
        <v>0.139</v>
      </c>
      <c r="S55" s="23">
        <v>0.165</v>
      </c>
      <c r="T55" s="23">
        <v>0.252</v>
      </c>
      <c r="U55" s="23">
        <v>0.175</v>
      </c>
      <c r="V55" s="23">
        <v>0.293</v>
      </c>
      <c r="W55" s="23">
        <v>0.252</v>
      </c>
      <c r="X55" s="23">
        <v>0.2</v>
      </c>
      <c r="Y55" s="23">
        <v>0.199</v>
      </c>
      <c r="Z55" s="23">
        <v>0.183</v>
      </c>
      <c r="AA55" s="23">
        <v>0.271</v>
      </c>
      <c r="AB55" s="23">
        <v>0.213</v>
      </c>
      <c r="AC55" s="23">
        <v>0.235</v>
      </c>
      <c r="AD55" s="23">
        <v>0.573</v>
      </c>
      <c r="AE55" s="23">
        <v>0.668</v>
      </c>
      <c r="AF55" s="23">
        <v>0.114</v>
      </c>
      <c r="AG55" s="23">
        <v>0.395</v>
      </c>
      <c r="AH55" s="23">
        <v>0.101</v>
      </c>
      <c r="AJ55" s="23">
        <v>0.324</v>
      </c>
      <c r="AK55" s="23">
        <v>0.221</v>
      </c>
      <c r="AL55" s="23">
        <v>0.08</v>
      </c>
      <c r="AM55" s="23">
        <v>0.217</v>
      </c>
      <c r="AN55" s="23">
        <v>0.079</v>
      </c>
      <c r="AO55" s="23">
        <v>0.238</v>
      </c>
      <c r="AP55" s="23">
        <v>0.09</v>
      </c>
      <c r="AQ55" s="23">
        <v>0.281</v>
      </c>
      <c r="AR55" s="23">
        <v>0.087</v>
      </c>
      <c r="AS55" s="23">
        <v>0.298</v>
      </c>
      <c r="AT55" s="23">
        <v>0.097</v>
      </c>
      <c r="AU55" s="23">
        <v>0.622</v>
      </c>
      <c r="AV55" s="23">
        <v>0.169</v>
      </c>
      <c r="AW55" s="23">
        <v>0.411</v>
      </c>
      <c r="AX55" s="23">
        <v>0.314</v>
      </c>
      <c r="AY55" s="23">
        <v>0.271</v>
      </c>
      <c r="AZ55" s="23">
        <v>0.271</v>
      </c>
      <c r="BA55" s="23">
        <v>0.115</v>
      </c>
      <c r="BB55" s="23">
        <v>0.03</v>
      </c>
      <c r="BC55" s="23">
        <v>0.241</v>
      </c>
      <c r="BD55" s="23">
        <v>0.213</v>
      </c>
      <c r="BE55" s="23">
        <v>0.062</v>
      </c>
      <c r="BF55" s="23">
        <v>0.23</v>
      </c>
      <c r="BG55" s="23">
        <v>0.34</v>
      </c>
      <c r="BH55" s="23">
        <v>0.108</v>
      </c>
      <c r="BI55" s="23">
        <v>0.326</v>
      </c>
      <c r="BJ55" s="23">
        <v>0.284</v>
      </c>
      <c r="BK55" s="23">
        <v>0.065</v>
      </c>
      <c r="BL55" s="23">
        <v>0.358</v>
      </c>
      <c r="BM55" s="23">
        <v>0.301</v>
      </c>
      <c r="BN55" s="23">
        <v>0.341</v>
      </c>
      <c r="BO55" s="23">
        <v>0.123</v>
      </c>
      <c r="BP55" s="23">
        <v>0.126</v>
      </c>
      <c r="BQ55" s="23">
        <v>0.1</v>
      </c>
      <c r="BR55" s="23">
        <v>0.106</v>
      </c>
      <c r="BS55" s="23">
        <v>0.383</v>
      </c>
      <c r="BV55" s="23">
        <v>0.303</v>
      </c>
      <c r="BW55" s="23">
        <v>0.107</v>
      </c>
      <c r="BX55" s="23">
        <v>0.33</v>
      </c>
      <c r="BY55" s="23">
        <v>0.187</v>
      </c>
      <c r="BZ55" s="23">
        <v>0.01</v>
      </c>
      <c r="CA55" s="23">
        <v>0.488</v>
      </c>
      <c r="CB55" s="23">
        <v>0.366</v>
      </c>
      <c r="CC55" s="23">
        <v>0.321</v>
      </c>
      <c r="CD55" s="23">
        <v>0.21</v>
      </c>
    </row>
    <row r="56" ht="14.25" customHeight="1">
      <c r="A56" s="31" t="s">
        <v>185</v>
      </c>
      <c r="B56" s="32" t="s">
        <v>186</v>
      </c>
      <c r="C56" s="32"/>
      <c r="D56" s="26">
        <v>1.198</v>
      </c>
      <c r="E56" s="25">
        <v>0.726</v>
      </c>
      <c r="F56" s="31">
        <v>0.361</v>
      </c>
      <c r="G56" s="23">
        <v>0.594</v>
      </c>
      <c r="H56" s="24">
        <v>0.679</v>
      </c>
      <c r="I56" s="31">
        <v>0.556</v>
      </c>
      <c r="J56" s="31">
        <v>0.498</v>
      </c>
      <c r="K56" s="31"/>
      <c r="L56" s="31"/>
      <c r="M56" s="31">
        <v>0.564</v>
      </c>
      <c r="N56" s="31"/>
      <c r="O56" s="31">
        <v>0.39</v>
      </c>
      <c r="P56" s="31">
        <v>0.635</v>
      </c>
      <c r="Q56" s="31">
        <v>0.231</v>
      </c>
      <c r="R56" s="31"/>
      <c r="S56" s="31">
        <v>0.31</v>
      </c>
      <c r="T56" s="31">
        <v>0.375</v>
      </c>
      <c r="U56" s="31">
        <v>0.271</v>
      </c>
      <c r="V56" s="31">
        <v>0.438</v>
      </c>
      <c r="W56" s="31">
        <v>0.385</v>
      </c>
      <c r="X56" s="31">
        <v>0.317</v>
      </c>
      <c r="Y56" s="31">
        <v>0.323</v>
      </c>
      <c r="Z56" s="31">
        <v>0.348</v>
      </c>
      <c r="AA56" s="31">
        <v>0.498</v>
      </c>
      <c r="AB56" s="31">
        <v>0.379</v>
      </c>
      <c r="AC56" s="31">
        <v>0.417</v>
      </c>
      <c r="AD56" s="26">
        <v>0.937</v>
      </c>
      <c r="AE56" s="26">
        <v>0.964</v>
      </c>
      <c r="AF56" s="31">
        <v>0.165</v>
      </c>
      <c r="AG56" s="23">
        <v>0.688</v>
      </c>
      <c r="AH56" s="23">
        <v>0.16</v>
      </c>
      <c r="AI56" s="31"/>
      <c r="AJ56" s="31">
        <v>0.461</v>
      </c>
      <c r="AK56" s="31">
        <v>0.403</v>
      </c>
      <c r="AL56" s="31">
        <v>0.145</v>
      </c>
      <c r="AM56" s="31">
        <v>0.397</v>
      </c>
      <c r="AN56" s="31">
        <v>0.144</v>
      </c>
      <c r="AO56" s="31">
        <v>0.435</v>
      </c>
      <c r="AP56" s="31">
        <v>0.164</v>
      </c>
      <c r="AQ56" s="31">
        <v>0.44</v>
      </c>
      <c r="AR56" s="31">
        <v>0.136</v>
      </c>
      <c r="AS56" s="31">
        <v>0.466</v>
      </c>
      <c r="AT56" s="31">
        <v>0.151</v>
      </c>
      <c r="AU56" s="25">
        <v>0.858</v>
      </c>
      <c r="AV56" s="31">
        <v>0.232</v>
      </c>
      <c r="AW56" s="25">
        <v>0.881</v>
      </c>
      <c r="AX56" s="31">
        <v>0.348</v>
      </c>
      <c r="AY56" s="31">
        <v>0.424</v>
      </c>
      <c r="AZ56" s="31">
        <v>0.402</v>
      </c>
      <c r="BA56" s="31">
        <v>0.21</v>
      </c>
      <c r="BB56" s="31">
        <v>0.056</v>
      </c>
      <c r="BC56" s="24">
        <v>0.678</v>
      </c>
      <c r="BD56" s="31">
        <v>0.6</v>
      </c>
      <c r="BE56" s="31">
        <v>0.173</v>
      </c>
      <c r="BF56" s="24">
        <v>0.646</v>
      </c>
      <c r="BG56" s="31">
        <v>0.578</v>
      </c>
      <c r="BH56" s="31">
        <v>0.184</v>
      </c>
      <c r="BI56" s="31">
        <v>0.584</v>
      </c>
      <c r="BJ56" s="31">
        <v>0.486</v>
      </c>
      <c r="BK56" s="31">
        <v>0.111</v>
      </c>
      <c r="BL56" s="24">
        <v>0.612</v>
      </c>
      <c r="BM56" s="31">
        <v>0.515</v>
      </c>
      <c r="BN56" s="31">
        <v>0.503</v>
      </c>
      <c r="BO56" s="31">
        <v>0.185</v>
      </c>
      <c r="BP56" s="31">
        <v>0.191</v>
      </c>
      <c r="BQ56" s="31">
        <v>0.151</v>
      </c>
      <c r="BR56" s="31">
        <v>0.167</v>
      </c>
      <c r="BS56" s="31">
        <v>0.477</v>
      </c>
      <c r="BT56" s="31"/>
      <c r="BU56" s="31"/>
      <c r="BV56" s="31">
        <v>0.378</v>
      </c>
      <c r="BW56" s="31">
        <v>0.133</v>
      </c>
      <c r="BX56" s="31">
        <v>0.411</v>
      </c>
      <c r="BY56" s="31">
        <v>0.337</v>
      </c>
      <c r="BZ56" s="31">
        <v>0.014</v>
      </c>
      <c r="CA56" s="24">
        <v>0.607</v>
      </c>
      <c r="CB56" s="31">
        <v>0.455</v>
      </c>
      <c r="CC56" s="31">
        <v>0.561</v>
      </c>
      <c r="CD56" s="31">
        <v>0.361</v>
      </c>
    </row>
    <row r="57" ht="14.25" customHeight="1">
      <c r="A57" s="34" t="s">
        <v>187</v>
      </c>
      <c r="B57" s="35"/>
      <c r="C57" s="35"/>
      <c r="D57" s="34">
        <v>1.867</v>
      </c>
      <c r="E57" s="34">
        <v>1.087</v>
      </c>
      <c r="F57" s="34">
        <v>0.425</v>
      </c>
      <c r="G57" s="34">
        <v>0.483</v>
      </c>
      <c r="H57" s="34">
        <v>0.702</v>
      </c>
      <c r="I57" s="34">
        <v>0.595</v>
      </c>
      <c r="J57" s="34">
        <v>0.522</v>
      </c>
      <c r="K57" s="34"/>
      <c r="L57" s="34"/>
      <c r="M57" s="34">
        <v>0.648</v>
      </c>
      <c r="N57" s="34"/>
      <c r="O57" s="34">
        <v>0.367</v>
      </c>
      <c r="P57" s="34">
        <v>0.517</v>
      </c>
      <c r="Q57" s="34">
        <v>0.188</v>
      </c>
      <c r="R57" s="34"/>
      <c r="S57" s="34">
        <v>0.311</v>
      </c>
      <c r="T57" s="34">
        <v>0.383</v>
      </c>
      <c r="U57" s="34"/>
      <c r="V57" s="34">
        <v>0.397</v>
      </c>
      <c r="W57" s="34">
        <v>0.357</v>
      </c>
      <c r="X57" s="34">
        <v>0.454</v>
      </c>
      <c r="Y57" s="34">
        <v>0.38</v>
      </c>
      <c r="Z57" s="34">
        <v>0.47</v>
      </c>
      <c r="AA57" s="34">
        <v>0.764</v>
      </c>
      <c r="AB57" s="34">
        <v>0.325</v>
      </c>
      <c r="AC57" s="34">
        <v>0.358</v>
      </c>
      <c r="AD57" s="34">
        <v>1.192</v>
      </c>
      <c r="AE57" s="34">
        <v>1.279</v>
      </c>
      <c r="AF57" s="34">
        <v>0.219</v>
      </c>
      <c r="AG57" s="23">
        <v>0.85</v>
      </c>
      <c r="AH57" s="23">
        <v>0.167</v>
      </c>
      <c r="AI57" s="34"/>
      <c r="AJ57" s="34">
        <v>0.445</v>
      </c>
      <c r="AK57" s="34">
        <v>0.551</v>
      </c>
      <c r="AL57" s="34">
        <v>0.198</v>
      </c>
      <c r="AM57" s="34">
        <v>0.542</v>
      </c>
      <c r="AN57" s="34">
        <v>0.197</v>
      </c>
      <c r="AO57" s="34">
        <v>0.594</v>
      </c>
      <c r="AP57" s="34">
        <v>0.224</v>
      </c>
      <c r="AQ57" s="34">
        <v>0.569</v>
      </c>
      <c r="AR57" s="34">
        <v>0.175</v>
      </c>
      <c r="AS57" s="34">
        <v>0.602</v>
      </c>
      <c r="AT57" s="34">
        <v>0.196</v>
      </c>
      <c r="AU57" s="34">
        <v>1.136</v>
      </c>
      <c r="AV57" s="34">
        <v>0.308</v>
      </c>
      <c r="AW57" s="34">
        <v>1.058</v>
      </c>
      <c r="AX57" s="34">
        <v>0.516</v>
      </c>
      <c r="AY57" s="34">
        <v>0.548</v>
      </c>
      <c r="AZ57" s="34">
        <v>0.379</v>
      </c>
      <c r="BA57" s="34">
        <v>0.287</v>
      </c>
      <c r="BB57" s="34">
        <v>0.076</v>
      </c>
      <c r="BC57" s="34">
        <v>0.982</v>
      </c>
      <c r="BD57" s="34">
        <v>0.869</v>
      </c>
      <c r="BE57" s="34">
        <v>0.25</v>
      </c>
      <c r="BF57" s="34">
        <v>0.935</v>
      </c>
      <c r="BG57" s="34">
        <v>0.382</v>
      </c>
      <c r="BH57" s="34">
        <v>0.122</v>
      </c>
      <c r="BI57" s="34">
        <v>0.37</v>
      </c>
      <c r="BJ57" s="34">
        <v>0.496</v>
      </c>
      <c r="BK57" s="34">
        <v>0.113</v>
      </c>
      <c r="BL57" s="34">
        <v>0.625</v>
      </c>
      <c r="BM57" s="34">
        <v>0.526</v>
      </c>
      <c r="BN57" s="34">
        <v>0.836</v>
      </c>
      <c r="BO57" s="34">
        <v>0.131</v>
      </c>
      <c r="BP57" s="34">
        <v>0.135</v>
      </c>
      <c r="BQ57" s="34">
        <v>0.107</v>
      </c>
      <c r="BR57" s="34">
        <v>0.126</v>
      </c>
      <c r="BS57" s="34">
        <v>0.47</v>
      </c>
      <c r="BT57" s="34"/>
      <c r="BU57" s="34"/>
      <c r="BV57" s="34">
        <v>0.372</v>
      </c>
      <c r="BW57" s="34">
        <v>0.131</v>
      </c>
      <c r="BX57" s="34">
        <v>0.405</v>
      </c>
      <c r="BY57" s="34">
        <v>0.239</v>
      </c>
      <c r="BZ57" s="34">
        <v>0.012</v>
      </c>
      <c r="CA57" s="34">
        <v>0.598</v>
      </c>
      <c r="CB57" s="34">
        <v>0.448</v>
      </c>
      <c r="CC57" s="34">
        <v>0.355</v>
      </c>
      <c r="CD57" s="34">
        <v>0.308</v>
      </c>
    </row>
    <row r="58" ht="14.25" customHeight="1">
      <c r="A58" s="34" t="s">
        <v>188</v>
      </c>
      <c r="B58" s="35" t="s">
        <v>189</v>
      </c>
      <c r="C58" s="35"/>
      <c r="D58" s="34">
        <v>0.643</v>
      </c>
      <c r="E58" s="34">
        <v>0.43</v>
      </c>
      <c r="F58" s="34">
        <v>0.196</v>
      </c>
      <c r="G58" s="34">
        <v>0.322</v>
      </c>
      <c r="H58" s="34">
        <v>0.33</v>
      </c>
      <c r="I58" s="34">
        <v>0.285</v>
      </c>
      <c r="J58" s="34">
        <v>0.256</v>
      </c>
      <c r="K58" s="34"/>
      <c r="L58" s="34"/>
      <c r="M58" s="34">
        <v>0.357</v>
      </c>
      <c r="N58" s="34"/>
      <c r="O58" s="34">
        <v>0.197</v>
      </c>
      <c r="P58" s="34">
        <v>0.344</v>
      </c>
      <c r="Q58" s="34">
        <v>0.125</v>
      </c>
      <c r="R58" s="34"/>
      <c r="S58" s="34">
        <v>0.15</v>
      </c>
      <c r="T58" s="34">
        <v>0.194</v>
      </c>
      <c r="U58" s="34">
        <v>0.139</v>
      </c>
      <c r="V58" s="34">
        <v>0.216</v>
      </c>
      <c r="W58" s="34">
        <v>0.196</v>
      </c>
      <c r="X58" s="34">
        <v>0.189</v>
      </c>
      <c r="Y58" s="34">
        <v>0.147</v>
      </c>
      <c r="Z58" s="34">
        <v>0.159</v>
      </c>
      <c r="AA58" s="34">
        <v>0.233</v>
      </c>
      <c r="AB58" s="34">
        <v>0.182</v>
      </c>
      <c r="AC58" s="34">
        <v>0.2</v>
      </c>
      <c r="AD58" s="34">
        <v>0.405</v>
      </c>
      <c r="AE58" s="34">
        <v>0.41</v>
      </c>
      <c r="AF58" s="34">
        <v>0.07</v>
      </c>
      <c r="AG58" s="23">
        <v>0.275</v>
      </c>
      <c r="AH58" s="23">
        <v>0.054</v>
      </c>
      <c r="AI58" s="34"/>
      <c r="AJ58" s="34">
        <v>0.225</v>
      </c>
      <c r="AK58" s="34">
        <v>0.155</v>
      </c>
      <c r="AL58" s="34">
        <v>0.056</v>
      </c>
      <c r="AM58" s="34">
        <v>0.153</v>
      </c>
      <c r="AN58" s="34">
        <v>0.056</v>
      </c>
      <c r="AO58" s="34">
        <v>0.168</v>
      </c>
      <c r="AP58" s="34">
        <v>0.063</v>
      </c>
      <c r="AQ58" s="34">
        <v>0.19</v>
      </c>
      <c r="AR58" s="34">
        <v>0.059</v>
      </c>
      <c r="AS58" s="34">
        <v>0.202</v>
      </c>
      <c r="AT58" s="34">
        <v>0.066</v>
      </c>
      <c r="AU58" s="34">
        <v>0.384</v>
      </c>
      <c r="AV58" s="34">
        <v>0.104</v>
      </c>
      <c r="AW58" s="34">
        <v>0.355</v>
      </c>
      <c r="AX58" s="34">
        <v>0.149</v>
      </c>
      <c r="AY58" s="34">
        <v>0.184</v>
      </c>
      <c r="AZ58" s="34">
        <v>0.197</v>
      </c>
      <c r="BA58" s="34">
        <v>0.081</v>
      </c>
      <c r="BB58" s="34">
        <v>0.021</v>
      </c>
      <c r="BC58" s="34">
        <v>0.309</v>
      </c>
      <c r="BD58" s="34">
        <v>0.273</v>
      </c>
      <c r="BE58" s="34">
        <v>0.079</v>
      </c>
      <c r="BF58" s="34">
        <v>0.294</v>
      </c>
      <c r="BG58" s="34">
        <v>0.236</v>
      </c>
      <c r="BH58" s="34">
        <v>0.075</v>
      </c>
      <c r="BI58" s="34">
        <v>0.257</v>
      </c>
      <c r="BJ58" s="34">
        <v>0.223</v>
      </c>
      <c r="BK58" s="34">
        <v>0.051</v>
      </c>
      <c r="BL58" s="34">
        <v>0.281</v>
      </c>
      <c r="BM58" s="34">
        <v>0.236</v>
      </c>
      <c r="BN58" s="34">
        <v>0.275</v>
      </c>
      <c r="BO58" s="34">
        <v>0.089</v>
      </c>
      <c r="BP58" s="34">
        <v>0.091</v>
      </c>
      <c r="BQ58" s="34">
        <v>0.072</v>
      </c>
      <c r="BR58" s="34">
        <v>0.067</v>
      </c>
      <c r="BS58" s="34">
        <v>0.287</v>
      </c>
      <c r="BT58" s="34"/>
      <c r="BU58" s="34"/>
      <c r="BV58" s="34">
        <v>0.228</v>
      </c>
      <c r="BW58" s="34">
        <v>0.08</v>
      </c>
      <c r="BX58" s="34">
        <v>0.248</v>
      </c>
      <c r="BY58" s="34">
        <v>0.172</v>
      </c>
      <c r="BZ58" s="34">
        <v>0.008</v>
      </c>
      <c r="CA58" s="34">
        <v>0.367</v>
      </c>
      <c r="CB58" s="34">
        <v>0.275</v>
      </c>
      <c r="CC58" s="34">
        <v>0.246</v>
      </c>
      <c r="CD58" s="34">
        <v>0.156</v>
      </c>
    </row>
    <row r="59" ht="14.25" customHeight="1">
      <c r="A59" s="21" t="s">
        <v>190</v>
      </c>
      <c r="B59" s="22"/>
      <c r="C59" s="22"/>
      <c r="D59" s="23">
        <v>1.477</v>
      </c>
      <c r="E59" s="23">
        <v>0.765</v>
      </c>
      <c r="F59" s="23">
        <v>0.295</v>
      </c>
      <c r="G59" s="23">
        <v>0.427</v>
      </c>
      <c r="H59" s="23">
        <v>0.555</v>
      </c>
      <c r="I59" s="23">
        <v>0.45</v>
      </c>
      <c r="J59" s="23">
        <v>0.412</v>
      </c>
      <c r="M59" s="23">
        <v>0.489</v>
      </c>
      <c r="O59" s="23">
        <v>0.29</v>
      </c>
      <c r="P59" s="23">
        <v>0.457</v>
      </c>
      <c r="Q59" s="23">
        <v>0.166</v>
      </c>
      <c r="S59" s="23">
        <v>0.245</v>
      </c>
      <c r="T59" s="23">
        <v>0.304</v>
      </c>
      <c r="U59" s="23">
        <v>0.213</v>
      </c>
      <c r="V59" s="23">
        <v>0.343</v>
      </c>
      <c r="W59" s="23">
        <v>0.311</v>
      </c>
      <c r="X59" s="23">
        <v>0.405</v>
      </c>
      <c r="Y59" s="23">
        <v>0.337</v>
      </c>
      <c r="Z59" s="23">
        <v>0.41</v>
      </c>
      <c r="AA59" s="23">
        <v>0.647</v>
      </c>
      <c r="AB59" s="23">
        <v>0.299</v>
      </c>
      <c r="AC59" s="23">
        <v>0.328</v>
      </c>
      <c r="AD59" s="23">
        <v>0.881</v>
      </c>
      <c r="AE59" s="23">
        <v>0.872</v>
      </c>
      <c r="AF59" s="23">
        <v>0.149</v>
      </c>
      <c r="AG59" s="23">
        <v>0.563</v>
      </c>
      <c r="AH59" s="23">
        <v>0.124</v>
      </c>
      <c r="AJ59" s="23">
        <v>0.37</v>
      </c>
      <c r="AK59" s="23">
        <v>0.383</v>
      </c>
      <c r="AL59" s="23">
        <v>0.138</v>
      </c>
      <c r="AM59" s="23">
        <v>0.377</v>
      </c>
      <c r="AN59" s="23">
        <v>0.137</v>
      </c>
      <c r="AO59" s="23">
        <v>0.413</v>
      </c>
      <c r="AP59" s="23">
        <v>0.156</v>
      </c>
      <c r="AQ59" s="23">
        <v>0.437</v>
      </c>
      <c r="AR59" s="23">
        <v>0.135</v>
      </c>
      <c r="AS59" s="23">
        <v>0.463</v>
      </c>
      <c r="AT59" s="23">
        <v>0.151</v>
      </c>
      <c r="AU59" s="23">
        <v>0.825</v>
      </c>
      <c r="AV59" s="23">
        <v>0.223</v>
      </c>
      <c r="AW59" s="23">
        <v>0.97</v>
      </c>
      <c r="AX59" s="23">
        <v>0.332</v>
      </c>
      <c r="AY59" s="23">
        <v>0.422</v>
      </c>
      <c r="AZ59" s="23">
        <v>0.328</v>
      </c>
      <c r="BA59" s="23">
        <v>0.199</v>
      </c>
      <c r="BB59" s="23">
        <v>0.053</v>
      </c>
      <c r="BC59" s="23">
        <v>0.748</v>
      </c>
      <c r="BD59" s="23">
        <v>0.662</v>
      </c>
      <c r="BE59" s="23">
        <v>0.191</v>
      </c>
      <c r="BF59" s="23">
        <v>0.712</v>
      </c>
      <c r="BG59" s="23">
        <v>0.986</v>
      </c>
      <c r="BH59" s="23">
        <v>0.314</v>
      </c>
      <c r="BI59" s="23">
        <v>1.282</v>
      </c>
      <c r="BJ59" s="23">
        <v>0.386</v>
      </c>
      <c r="BK59" s="23">
        <v>0.088</v>
      </c>
      <c r="BL59" s="23">
        <v>0.486</v>
      </c>
      <c r="BM59" s="23">
        <v>0.409</v>
      </c>
      <c r="BN59" s="23">
        <v>0.516</v>
      </c>
      <c r="BO59" s="23">
        <v>0.295</v>
      </c>
      <c r="BP59" s="23">
        <v>0.304</v>
      </c>
      <c r="BQ59" s="23">
        <v>0.24</v>
      </c>
      <c r="BR59" s="23">
        <v>0.172</v>
      </c>
      <c r="BS59" s="23">
        <v>0.705</v>
      </c>
      <c r="BV59" s="23">
        <v>0.558</v>
      </c>
      <c r="BW59" s="23">
        <v>0.197</v>
      </c>
      <c r="BX59" s="23">
        <v>0.608</v>
      </c>
      <c r="BY59" s="23">
        <v>0.56</v>
      </c>
      <c r="BZ59" s="23">
        <v>0.019</v>
      </c>
      <c r="CA59" s="23">
        <v>0.9</v>
      </c>
      <c r="CB59" s="23">
        <v>0.674</v>
      </c>
      <c r="CC59" s="23">
        <v>1.033</v>
      </c>
      <c r="CD59" s="23">
        <v>0.708</v>
      </c>
    </row>
    <row r="60" ht="14.25" customHeight="1">
      <c r="A60" s="21" t="s">
        <v>191</v>
      </c>
      <c r="B60" s="22"/>
      <c r="C60" s="22"/>
      <c r="D60" s="23">
        <v>2.07</v>
      </c>
      <c r="E60" s="23">
        <v>1.13</v>
      </c>
      <c r="F60" s="23">
        <v>0.453</v>
      </c>
      <c r="G60" s="23">
        <v>0.617</v>
      </c>
      <c r="H60" s="23">
        <v>0.808</v>
      </c>
      <c r="I60" s="23">
        <v>0.64</v>
      </c>
      <c r="J60" s="23">
        <v>0.557</v>
      </c>
      <c r="M60" s="23">
        <v>0.722</v>
      </c>
      <c r="O60" s="23">
        <v>0.397</v>
      </c>
      <c r="P60" s="23">
        <v>0.66</v>
      </c>
      <c r="Q60" s="23">
        <v>0.24</v>
      </c>
      <c r="S60" s="23">
        <v>0.348</v>
      </c>
      <c r="T60" s="23">
        <v>0.433</v>
      </c>
      <c r="U60" s="23">
        <v>0.309</v>
      </c>
      <c r="V60" s="23">
        <v>0.526</v>
      </c>
      <c r="W60" s="23">
        <v>0.433</v>
      </c>
      <c r="X60" s="23">
        <v>0.56</v>
      </c>
      <c r="Y60" s="23">
        <v>0.496</v>
      </c>
      <c r="Z60" s="23">
        <v>0.542</v>
      </c>
      <c r="AA60" s="23">
        <v>0.827</v>
      </c>
      <c r="AB60" s="23">
        <v>0.442</v>
      </c>
      <c r="AC60" s="23">
        <v>0.486</v>
      </c>
      <c r="AD60" s="23">
        <v>1.448</v>
      </c>
      <c r="AE60" s="23">
        <v>1.576</v>
      </c>
      <c r="AF60" s="23">
        <v>0.27</v>
      </c>
      <c r="AG60" s="23">
        <v>1.217</v>
      </c>
      <c r="AH60" s="23">
        <v>0.302</v>
      </c>
      <c r="AJ60" s="23">
        <v>0.547</v>
      </c>
      <c r="AK60" s="23">
        <v>0.621</v>
      </c>
      <c r="AL60" s="23">
        <v>0.224</v>
      </c>
      <c r="AM60" s="23">
        <v>0.611</v>
      </c>
      <c r="AN60" s="23">
        <v>0.222</v>
      </c>
      <c r="AO60" s="23">
        <v>0.67</v>
      </c>
      <c r="AP60" s="23">
        <v>0.253</v>
      </c>
      <c r="AQ60" s="23">
        <v>0.702</v>
      </c>
      <c r="AR60" s="23">
        <v>0.217</v>
      </c>
      <c r="AS60" s="23">
        <v>0.743</v>
      </c>
      <c r="AT60" s="23">
        <v>0.242</v>
      </c>
      <c r="AU60" s="23">
        <v>1.419</v>
      </c>
      <c r="AV60" s="23">
        <v>0.384</v>
      </c>
      <c r="AW60" s="23">
        <v>1.308</v>
      </c>
      <c r="AX60" s="23">
        <v>0.549</v>
      </c>
      <c r="AY60" s="23">
        <v>0.677</v>
      </c>
      <c r="AZ60" s="23">
        <v>0.464</v>
      </c>
      <c r="BA60" s="23">
        <v>0.323</v>
      </c>
      <c r="BB60" s="23">
        <v>0.086</v>
      </c>
      <c r="BC60" s="23">
        <v>1.133</v>
      </c>
      <c r="BD60" s="23">
        <v>1.003</v>
      </c>
      <c r="BE60" s="23">
        <v>0.289</v>
      </c>
      <c r="BF60" s="23">
        <v>1.078</v>
      </c>
      <c r="BG60" s="23">
        <v>0.726</v>
      </c>
      <c r="BH60" s="23">
        <v>0.231</v>
      </c>
      <c r="BI60" s="23">
        <v>0.71</v>
      </c>
      <c r="BJ60" s="23">
        <v>0.619</v>
      </c>
      <c r="BK60" s="23">
        <v>0.141</v>
      </c>
      <c r="BL60" s="23">
        <v>0.779</v>
      </c>
      <c r="BM60" s="23">
        <v>0.655</v>
      </c>
      <c r="BN60" s="23">
        <v>0.776</v>
      </c>
      <c r="BO60" s="23">
        <v>0.244</v>
      </c>
      <c r="BP60" s="23">
        <v>0.252</v>
      </c>
      <c r="BQ60" s="23">
        <v>0.199</v>
      </c>
      <c r="BR60" s="23">
        <v>0.219</v>
      </c>
      <c r="BS60" s="23">
        <v>0.655</v>
      </c>
      <c r="BV60" s="23">
        <v>0.519</v>
      </c>
      <c r="BW60" s="23">
        <v>0.183</v>
      </c>
      <c r="BX60" s="23">
        <v>0.565</v>
      </c>
      <c r="BY60" s="23">
        <v>0.465</v>
      </c>
      <c r="BZ60" s="23">
        <v>0.02</v>
      </c>
      <c r="CA60" s="23">
        <v>0.836</v>
      </c>
      <c r="CB60" s="23">
        <v>0.626</v>
      </c>
      <c r="CC60" s="23">
        <v>0.743</v>
      </c>
      <c r="CD60" s="23">
        <v>0.519</v>
      </c>
    </row>
    <row r="61" ht="14.25" customHeight="1">
      <c r="A61" s="21" t="s">
        <v>192</v>
      </c>
      <c r="B61" s="22"/>
      <c r="C61" s="22"/>
      <c r="D61" s="23">
        <v>3.995</v>
      </c>
      <c r="E61" s="23">
        <v>2.874</v>
      </c>
      <c r="F61" s="23">
        <v>1.871</v>
      </c>
      <c r="G61" s="23">
        <v>4.743</v>
      </c>
      <c r="H61" s="23">
        <v>4.946</v>
      </c>
      <c r="I61" s="23">
        <v>3.998</v>
      </c>
      <c r="J61" s="23">
        <v>3.663</v>
      </c>
      <c r="M61" s="23">
        <v>4.328</v>
      </c>
      <c r="O61" s="23">
        <v>2.958</v>
      </c>
      <c r="P61" s="23">
        <v>5.073</v>
      </c>
      <c r="Q61" s="23">
        <v>1.847</v>
      </c>
      <c r="S61" s="23">
        <v>2.06</v>
      </c>
      <c r="T61" s="23">
        <v>2.618</v>
      </c>
      <c r="U61" s="23">
        <v>1.894</v>
      </c>
      <c r="V61" s="23">
        <v>2.843</v>
      </c>
      <c r="W61" s="23">
        <v>2.75</v>
      </c>
      <c r="X61" s="23">
        <v>2.294</v>
      </c>
      <c r="Y61" s="23">
        <v>2.457</v>
      </c>
      <c r="Z61" s="23">
        <v>2.527</v>
      </c>
      <c r="AA61" s="23">
        <v>3.139</v>
      </c>
      <c r="AB61" s="23">
        <v>2.603</v>
      </c>
      <c r="AC61" s="23">
        <v>2.861</v>
      </c>
      <c r="AD61" s="23">
        <v>3.712</v>
      </c>
      <c r="AE61" s="23">
        <v>3.748</v>
      </c>
      <c r="AF61" s="23">
        <v>0.642</v>
      </c>
      <c r="AG61" s="23">
        <v>2.83</v>
      </c>
      <c r="AH61" s="23">
        <v>0.623</v>
      </c>
      <c r="AJ61" s="23">
        <v>3.162</v>
      </c>
      <c r="AK61" s="23">
        <v>1.288</v>
      </c>
      <c r="AL61" s="23">
        <v>0.464</v>
      </c>
      <c r="AM61" s="23">
        <v>1.268</v>
      </c>
      <c r="AN61" s="23">
        <v>0.46</v>
      </c>
      <c r="AO61" s="23">
        <v>1.389</v>
      </c>
      <c r="AP61" s="23">
        <v>0.524</v>
      </c>
      <c r="AQ61" s="23">
        <v>1.528</v>
      </c>
      <c r="AR61" s="23">
        <v>0.472</v>
      </c>
      <c r="AS61" s="23">
        <v>1.618</v>
      </c>
      <c r="AT61" s="23">
        <v>0.526</v>
      </c>
      <c r="AU61" s="23">
        <v>2.565</v>
      </c>
      <c r="AV61" s="23">
        <v>0.695</v>
      </c>
      <c r="AW61" s="23">
        <v>1.854</v>
      </c>
      <c r="AX61" s="23">
        <v>1.097</v>
      </c>
      <c r="AY61" s="23">
        <v>1.473</v>
      </c>
      <c r="AZ61" s="23">
        <v>2.703</v>
      </c>
      <c r="BA61" s="23">
        <v>0.67</v>
      </c>
      <c r="BB61" s="23">
        <v>0.177</v>
      </c>
      <c r="BC61" s="23">
        <v>2.046</v>
      </c>
      <c r="BD61" s="23">
        <v>1.811</v>
      </c>
      <c r="BE61" s="23">
        <v>0.522</v>
      </c>
      <c r="BF61" s="23">
        <v>1.948</v>
      </c>
      <c r="BG61" s="23">
        <v>2.396</v>
      </c>
      <c r="BH61" s="23">
        <v>0.763</v>
      </c>
      <c r="BI61" s="23">
        <v>2.599</v>
      </c>
      <c r="BJ61" s="23">
        <v>2.588</v>
      </c>
      <c r="BK61" s="23">
        <v>0.591</v>
      </c>
      <c r="BL61" s="23">
        <v>3.261</v>
      </c>
      <c r="BM61" s="23">
        <v>2.741</v>
      </c>
      <c r="BN61" s="23">
        <v>1.825</v>
      </c>
      <c r="BO61" s="23">
        <v>0.636</v>
      </c>
      <c r="BP61" s="23">
        <v>0.655</v>
      </c>
      <c r="BQ61" s="23">
        <v>0.518</v>
      </c>
      <c r="BR61" s="23">
        <v>0.438</v>
      </c>
      <c r="BS61" s="23">
        <v>1.768</v>
      </c>
      <c r="BV61" s="23">
        <v>1.4</v>
      </c>
      <c r="BW61" s="23">
        <v>0.493</v>
      </c>
      <c r="BX61" s="23">
        <v>1.525</v>
      </c>
      <c r="BY61" s="23">
        <v>1.455</v>
      </c>
      <c r="BZ61" s="23">
        <v>0.053</v>
      </c>
      <c r="CA61" s="23">
        <v>2.255</v>
      </c>
      <c r="CB61" s="23">
        <v>1.689</v>
      </c>
      <c r="CC61" s="23">
        <v>2.439</v>
      </c>
      <c r="CD61" s="23">
        <v>1.626</v>
      </c>
    </row>
    <row r="62" ht="14.25" customHeight="1">
      <c r="A62" s="21" t="s">
        <v>193</v>
      </c>
      <c r="B62" s="22"/>
      <c r="C62" s="22"/>
      <c r="D62" s="23">
        <v>1.424</v>
      </c>
      <c r="E62" s="23">
        <v>0.898</v>
      </c>
      <c r="F62" s="23">
        <v>0.306</v>
      </c>
      <c r="G62" s="23">
        <v>0.495</v>
      </c>
      <c r="H62" s="23">
        <v>0.621</v>
      </c>
      <c r="I62" s="23">
        <v>0.528</v>
      </c>
      <c r="J62" s="23">
        <v>0.455</v>
      </c>
      <c r="M62" s="23">
        <v>0.569</v>
      </c>
      <c r="O62" s="23">
        <v>0.33</v>
      </c>
      <c r="P62" s="23">
        <v>0.53</v>
      </c>
      <c r="Q62" s="23">
        <v>0.193</v>
      </c>
      <c r="S62" s="23">
        <v>0.262</v>
      </c>
      <c r="T62" s="23">
        <v>0.333</v>
      </c>
      <c r="U62" s="23">
        <v>0.242</v>
      </c>
      <c r="V62" s="23">
        <v>0.346</v>
      </c>
      <c r="W62" s="23">
        <v>0.334</v>
      </c>
      <c r="X62" s="23">
        <v>0.416</v>
      </c>
      <c r="Y62" s="23">
        <v>0.333</v>
      </c>
      <c r="Z62" s="23">
        <v>0.426</v>
      </c>
      <c r="AA62" s="23">
        <v>0.68</v>
      </c>
      <c r="AB62" s="23">
        <v>0.302</v>
      </c>
      <c r="AC62" s="23">
        <v>0.331</v>
      </c>
      <c r="AD62" s="23">
        <v>0.841</v>
      </c>
      <c r="AE62" s="23">
        <v>0.947</v>
      </c>
      <c r="AF62" s="23">
        <v>0.162</v>
      </c>
      <c r="AG62" s="23">
        <v>0.642</v>
      </c>
      <c r="AH62" s="23">
        <v>0.147</v>
      </c>
      <c r="AJ62" s="23">
        <v>0.395</v>
      </c>
      <c r="AK62" s="23">
        <v>0.301</v>
      </c>
      <c r="AL62" s="23">
        <v>0.108</v>
      </c>
      <c r="AM62" s="23">
        <v>0.296</v>
      </c>
      <c r="AN62" s="23">
        <v>0.108</v>
      </c>
      <c r="AO62" s="23">
        <v>0.325</v>
      </c>
      <c r="AP62" s="23">
        <v>0.122</v>
      </c>
      <c r="AQ62" s="23">
        <v>0.369</v>
      </c>
      <c r="AR62" s="23">
        <v>0.114</v>
      </c>
      <c r="AS62" s="23">
        <v>0.391</v>
      </c>
      <c r="AT62" s="23">
        <v>0.127</v>
      </c>
      <c r="AU62" s="23">
        <v>0.672</v>
      </c>
      <c r="AV62" s="23">
        <v>0.182</v>
      </c>
      <c r="AW62" s="23">
        <v>0.875</v>
      </c>
      <c r="AX62" s="23">
        <v>0.267</v>
      </c>
      <c r="AY62" s="23">
        <v>0.356</v>
      </c>
      <c r="AZ62" s="23">
        <v>0.344</v>
      </c>
      <c r="BA62" s="23">
        <v>0.157</v>
      </c>
      <c r="BB62" s="23">
        <v>0.041</v>
      </c>
      <c r="BC62" s="23">
        <v>1.031</v>
      </c>
      <c r="BD62" s="23">
        <v>0.912</v>
      </c>
      <c r="BE62" s="23">
        <v>0.263</v>
      </c>
      <c r="BF62" s="23">
        <v>0.981</v>
      </c>
      <c r="BG62" s="23">
        <v>0.287</v>
      </c>
      <c r="BH62" s="23">
        <v>0.092</v>
      </c>
      <c r="BI62" s="23">
        <v>0.271</v>
      </c>
      <c r="BJ62" s="23">
        <v>0.359</v>
      </c>
      <c r="BK62" s="23">
        <v>0.082</v>
      </c>
      <c r="BL62" s="23">
        <v>0.452</v>
      </c>
      <c r="BM62" s="23">
        <v>0.38</v>
      </c>
      <c r="BN62" s="23">
        <v>0.44</v>
      </c>
      <c r="BO62" s="23">
        <v>0.127</v>
      </c>
      <c r="BP62" s="23">
        <v>0.131</v>
      </c>
      <c r="BQ62" s="23">
        <v>0.103</v>
      </c>
      <c r="BR62" s="23">
        <v>0.085</v>
      </c>
      <c r="BS62" s="23">
        <v>0.386</v>
      </c>
      <c r="BV62" s="23">
        <v>0.306</v>
      </c>
      <c r="BW62" s="23">
        <v>0.108</v>
      </c>
      <c r="BX62" s="23">
        <v>0.333</v>
      </c>
      <c r="BY62" s="23">
        <v>0.217</v>
      </c>
      <c r="BZ62" s="23">
        <v>0.009</v>
      </c>
      <c r="CA62" s="23">
        <v>0.492</v>
      </c>
      <c r="CB62" s="23">
        <v>0.369</v>
      </c>
      <c r="CC62" s="23">
        <v>0.346</v>
      </c>
      <c r="CD62" s="23">
        <v>0.293</v>
      </c>
    </row>
    <row r="63" ht="14.25" customHeight="1">
      <c r="A63" s="21" t="s">
        <v>194</v>
      </c>
      <c r="B63" s="22"/>
      <c r="C63" s="22"/>
      <c r="D63" s="23">
        <v>1.231</v>
      </c>
      <c r="E63" s="23">
        <v>0.882</v>
      </c>
      <c r="F63" s="23">
        <v>0.674</v>
      </c>
      <c r="G63" s="23">
        <v>1.459</v>
      </c>
      <c r="H63" s="23">
        <v>1.68</v>
      </c>
      <c r="I63" s="23">
        <v>1.289</v>
      </c>
      <c r="J63" s="23">
        <v>1.166</v>
      </c>
      <c r="M63" s="23">
        <v>2.075</v>
      </c>
      <c r="O63" s="23">
        <v>1.01</v>
      </c>
      <c r="P63" s="23">
        <v>1.561</v>
      </c>
      <c r="Q63" s="23">
        <v>0.568</v>
      </c>
      <c r="S63" s="23">
        <v>0.682</v>
      </c>
      <c r="T63" s="23">
        <v>0.869</v>
      </c>
      <c r="U63" s="23">
        <v>0.626</v>
      </c>
      <c r="V63" s="23">
        <v>0.971</v>
      </c>
      <c r="W63" s="23">
        <v>0.918</v>
      </c>
      <c r="X63" s="23">
        <v>0.804</v>
      </c>
      <c r="Y63" s="23">
        <v>0.965</v>
      </c>
      <c r="Z63" s="23">
        <v>0.851</v>
      </c>
      <c r="AA63" s="23">
        <v>1.014</v>
      </c>
      <c r="AB63" s="23">
        <v>0.909</v>
      </c>
      <c r="AC63" s="23">
        <v>0.999</v>
      </c>
      <c r="AD63" s="23">
        <v>0.934</v>
      </c>
      <c r="AE63" s="23">
        <v>0.982</v>
      </c>
      <c r="AF63" s="23">
        <v>0.168</v>
      </c>
      <c r="AG63" s="23">
        <v>0.451</v>
      </c>
      <c r="AH63" s="23">
        <v>0.096</v>
      </c>
      <c r="AJ63" s="23">
        <v>1.055</v>
      </c>
      <c r="AK63" s="23">
        <v>0.311</v>
      </c>
      <c r="AL63" s="23">
        <v>0.112</v>
      </c>
      <c r="AM63" s="23">
        <v>0.306</v>
      </c>
      <c r="AN63" s="23">
        <v>0.111</v>
      </c>
      <c r="AO63" s="23">
        <v>0.335</v>
      </c>
      <c r="AP63" s="23">
        <v>0.127</v>
      </c>
      <c r="AQ63" s="23">
        <v>0.352</v>
      </c>
      <c r="AR63" s="23">
        <v>0.109</v>
      </c>
      <c r="AS63" s="23">
        <v>0.372</v>
      </c>
      <c r="AT63" s="23">
        <v>0.121</v>
      </c>
      <c r="AU63" s="23">
        <v>0.519</v>
      </c>
      <c r="AV63" s="23">
        <v>0.14</v>
      </c>
      <c r="AW63" s="23">
        <v>0.668</v>
      </c>
      <c r="AX63" s="23">
        <v>0.278</v>
      </c>
      <c r="AY63" s="23">
        <v>0.339</v>
      </c>
      <c r="AZ63" s="23">
        <v>0.91</v>
      </c>
      <c r="BA63" s="23">
        <v>0.162</v>
      </c>
      <c r="BB63" s="23">
        <v>0.043</v>
      </c>
      <c r="BC63" s="23">
        <v>0.507</v>
      </c>
      <c r="BD63" s="23">
        <v>0.449</v>
      </c>
      <c r="BE63" s="23">
        <v>0.129</v>
      </c>
      <c r="BF63" s="23">
        <v>0.482</v>
      </c>
      <c r="BG63" s="23">
        <v>0.877</v>
      </c>
      <c r="BH63" s="23">
        <v>0.279</v>
      </c>
      <c r="BI63" s="23">
        <v>0.911</v>
      </c>
      <c r="BJ63" s="23">
        <v>1.178</v>
      </c>
      <c r="BK63" s="23">
        <v>0.269</v>
      </c>
      <c r="BL63" s="23">
        <v>1.484</v>
      </c>
      <c r="BM63" s="23">
        <v>1.247</v>
      </c>
      <c r="BN63" s="23">
        <v>1.123</v>
      </c>
      <c r="BO63" s="23">
        <v>0.292</v>
      </c>
      <c r="BP63" s="23">
        <v>0.301</v>
      </c>
      <c r="BQ63" s="23">
        <v>0.238</v>
      </c>
      <c r="BR63" s="23">
        <v>0.181</v>
      </c>
      <c r="BS63" s="23">
        <v>0.822</v>
      </c>
      <c r="BV63" s="23">
        <v>0.651</v>
      </c>
      <c r="BW63" s="23">
        <v>0.229</v>
      </c>
      <c r="BX63" s="23">
        <v>0.709</v>
      </c>
      <c r="BY63" s="23">
        <v>0.746</v>
      </c>
      <c r="BZ63" s="23">
        <v>0.024</v>
      </c>
      <c r="CA63" s="23">
        <v>1.048</v>
      </c>
      <c r="CB63" s="23">
        <v>0.785</v>
      </c>
      <c r="CC63" s="23">
        <v>0.852</v>
      </c>
      <c r="CD63" s="23">
        <v>0.608</v>
      </c>
    </row>
    <row r="64" ht="14.25" customHeight="1">
      <c r="A64" s="21" t="s">
        <v>195</v>
      </c>
      <c r="B64" s="22"/>
      <c r="C64" s="22"/>
      <c r="D64" s="23">
        <v>1.102</v>
      </c>
      <c r="E64" s="23">
        <v>0.684</v>
      </c>
      <c r="F64" s="23">
        <v>0.341</v>
      </c>
      <c r="G64" s="23">
        <v>0.667</v>
      </c>
      <c r="H64" s="23">
        <v>0.663</v>
      </c>
      <c r="I64" s="23">
        <v>0.586</v>
      </c>
      <c r="J64" s="23">
        <v>0.54</v>
      </c>
      <c r="M64" s="23">
        <v>0.62</v>
      </c>
      <c r="O64" s="23">
        <v>0.413</v>
      </c>
      <c r="P64" s="23">
        <v>0.713</v>
      </c>
      <c r="Q64" s="23">
        <v>0.26</v>
      </c>
      <c r="S64" s="23">
        <v>0.31</v>
      </c>
      <c r="T64" s="23">
        <v>0.402</v>
      </c>
      <c r="U64" s="23">
        <v>0.283</v>
      </c>
      <c r="V64" s="23">
        <v>0.468</v>
      </c>
      <c r="W64" s="23">
        <v>0.419</v>
      </c>
      <c r="X64" s="23">
        <v>0.458</v>
      </c>
      <c r="Y64" s="23">
        <v>0.434</v>
      </c>
      <c r="Z64" s="23">
        <v>0.484</v>
      </c>
      <c r="AA64" s="23">
        <v>0.681</v>
      </c>
      <c r="AB64" s="23">
        <v>0.417</v>
      </c>
      <c r="AC64" s="23">
        <v>0.458</v>
      </c>
      <c r="AD64" s="23">
        <v>0.75</v>
      </c>
      <c r="AE64" s="23">
        <v>0.89</v>
      </c>
      <c r="AF64" s="23">
        <v>0.152</v>
      </c>
      <c r="AG64" s="23">
        <v>0.705</v>
      </c>
      <c r="AH64" s="23">
        <v>0.151</v>
      </c>
      <c r="AJ64" s="23">
        <v>0.502</v>
      </c>
      <c r="AK64" s="23">
        <v>0.347</v>
      </c>
      <c r="AL64" s="23">
        <v>0.125</v>
      </c>
      <c r="AM64" s="23">
        <v>0.342</v>
      </c>
      <c r="AN64" s="23">
        <v>0.124</v>
      </c>
      <c r="AO64" s="23">
        <v>0.375</v>
      </c>
      <c r="AP64" s="23">
        <v>0.141</v>
      </c>
      <c r="AQ64" s="23">
        <v>0.388</v>
      </c>
      <c r="AR64" s="23">
        <v>0.12</v>
      </c>
      <c r="AS64" s="23">
        <v>0.411</v>
      </c>
      <c r="AT64" s="23">
        <v>0.134</v>
      </c>
      <c r="AU64" s="23">
        <v>0.778</v>
      </c>
      <c r="AV64" s="23">
        <v>0.211</v>
      </c>
      <c r="AW64" s="23">
        <v>0.662</v>
      </c>
      <c r="AX64" s="23">
        <v>0.31</v>
      </c>
      <c r="AY64" s="23">
        <v>0.374</v>
      </c>
      <c r="AZ64" s="23">
        <v>0.433</v>
      </c>
      <c r="BA64" s="23">
        <v>0.181</v>
      </c>
      <c r="BB64" s="23">
        <v>0.048</v>
      </c>
      <c r="BC64" s="23">
        <v>0.685</v>
      </c>
      <c r="BD64" s="23">
        <v>0.606</v>
      </c>
      <c r="BE64" s="23">
        <v>0.175</v>
      </c>
      <c r="BF64" s="23">
        <v>0.652</v>
      </c>
      <c r="BG64" s="23">
        <v>0.644</v>
      </c>
      <c r="BH64" s="23">
        <v>0.205</v>
      </c>
      <c r="BI64" s="23">
        <v>0.782</v>
      </c>
      <c r="BJ64" s="23">
        <v>0.418</v>
      </c>
      <c r="BK64" s="23">
        <v>0.095</v>
      </c>
      <c r="BL64" s="23">
        <v>0.527</v>
      </c>
      <c r="BM64" s="23">
        <v>0.443</v>
      </c>
      <c r="BN64" s="23">
        <v>0.465</v>
      </c>
      <c r="BO64" s="23">
        <v>0.153</v>
      </c>
      <c r="BP64" s="23">
        <v>0.158</v>
      </c>
      <c r="BQ64" s="23">
        <v>0.125</v>
      </c>
      <c r="BR64" s="23">
        <v>0.156</v>
      </c>
      <c r="BS64" s="23">
        <v>0.447</v>
      </c>
      <c r="BV64" s="23">
        <v>0.354</v>
      </c>
      <c r="BW64" s="23">
        <v>0.125</v>
      </c>
      <c r="BX64" s="23">
        <v>0.386</v>
      </c>
      <c r="BY64" s="23">
        <v>0.341</v>
      </c>
      <c r="BZ64" s="23">
        <v>0.012</v>
      </c>
      <c r="CA64" s="23">
        <v>0.571</v>
      </c>
      <c r="CB64" s="23">
        <v>0.428</v>
      </c>
      <c r="CC64" s="23">
        <v>0.462</v>
      </c>
      <c r="CD64" s="23">
        <v>0.384</v>
      </c>
    </row>
    <row r="65" ht="14.25" customHeight="1">
      <c r="A65" s="21"/>
      <c r="B65" s="22"/>
      <c r="C65" s="22"/>
    </row>
    <row r="66" ht="14.25" customHeight="1">
      <c r="A66" s="36" t="s">
        <v>196</v>
      </c>
      <c r="B66" s="37"/>
      <c r="C66" s="38"/>
    </row>
    <row r="67" ht="14.25" customHeight="1">
      <c r="A67" s="39"/>
      <c r="C67" s="40"/>
    </row>
    <row r="68" ht="14.25" customHeight="1">
      <c r="A68" s="39"/>
      <c r="C68" s="40"/>
    </row>
    <row r="69" ht="14.25" customHeight="1">
      <c r="A69" s="39"/>
      <c r="C69" s="40"/>
    </row>
    <row r="70" ht="14.25" customHeight="1">
      <c r="A70" s="41"/>
      <c r="B70" s="42"/>
      <c r="C70" s="43"/>
    </row>
    <row r="71" ht="14.25" customHeight="1">
      <c r="A71" s="44" t="s">
        <v>197</v>
      </c>
      <c r="B71" s="21"/>
      <c r="C71" s="21"/>
    </row>
    <row r="72" ht="14.25" customHeight="1">
      <c r="A72" s="44" t="s">
        <v>198</v>
      </c>
      <c r="B72" s="21"/>
      <c r="C72" s="21"/>
    </row>
    <row r="73" ht="14.25" customHeight="1">
      <c r="A73" s="21"/>
      <c r="B73" s="21"/>
      <c r="C73" s="21"/>
    </row>
    <row r="74" ht="15.0" customHeight="1">
      <c r="A74" s="36" t="s">
        <v>199</v>
      </c>
      <c r="B74" s="37"/>
      <c r="C74" s="38"/>
    </row>
    <row r="75" ht="15.0" customHeight="1">
      <c r="A75" s="41"/>
      <c r="B75" s="42"/>
      <c r="C75" s="43"/>
    </row>
    <row r="76" ht="15.0" customHeight="1">
      <c r="A76" s="44" t="s">
        <v>200</v>
      </c>
      <c r="B76" s="22"/>
      <c r="C76" s="22"/>
    </row>
    <row r="77" ht="14.25" customHeight="1">
      <c r="B77" s="22"/>
      <c r="C77" s="22"/>
    </row>
    <row r="78" ht="14.25" customHeight="1">
      <c r="A78" s="45" t="s">
        <v>201</v>
      </c>
      <c r="B78" s="37"/>
      <c r="C78" s="38"/>
    </row>
    <row r="79" ht="14.25" customHeight="1">
      <c r="A79" s="39"/>
      <c r="C79" s="40"/>
    </row>
    <row r="80" ht="14.25" customHeight="1">
      <c r="A80" s="41"/>
      <c r="B80" s="42"/>
      <c r="C80" s="43"/>
    </row>
    <row r="81" ht="14.25" customHeight="1">
      <c r="A81" s="44" t="s">
        <v>202</v>
      </c>
      <c r="B81" s="22"/>
      <c r="C81" s="22"/>
    </row>
    <row r="82" ht="14.25" customHeight="1">
      <c r="A82" s="21"/>
      <c r="B82" s="22"/>
      <c r="C82" s="22"/>
    </row>
    <row r="83" ht="14.25" customHeight="1">
      <c r="A83" s="21"/>
      <c r="B83" s="22"/>
      <c r="C83" s="22"/>
    </row>
    <row r="84" ht="14.25" customHeight="1">
      <c r="A84" s="21"/>
      <c r="B84" s="22"/>
      <c r="C84" s="22"/>
    </row>
    <row r="85" ht="14.25" customHeight="1">
      <c r="A85" s="21"/>
      <c r="B85" s="22"/>
      <c r="C85" s="22"/>
    </row>
    <row r="86" ht="14.25" customHeight="1">
      <c r="A86" s="21"/>
      <c r="B86" s="22"/>
      <c r="C86" s="22"/>
    </row>
    <row r="87" ht="14.25" customHeight="1">
      <c r="A87" s="21"/>
      <c r="B87" s="22"/>
      <c r="C87" s="22"/>
    </row>
    <row r="88" ht="14.25" customHeight="1">
      <c r="A88" s="21"/>
      <c r="B88" s="22"/>
      <c r="C88" s="22"/>
    </row>
    <row r="89" ht="14.25" customHeight="1">
      <c r="A89" s="21"/>
      <c r="B89" s="22"/>
      <c r="C89" s="22"/>
    </row>
    <row r="90" ht="14.25" customHeight="1">
      <c r="A90" s="21"/>
      <c r="B90" s="22"/>
      <c r="C90" s="22"/>
    </row>
    <row r="91" ht="14.25" customHeight="1">
      <c r="A91" s="21"/>
      <c r="B91" s="22"/>
      <c r="C91" s="22"/>
    </row>
    <row r="92" ht="14.25" customHeight="1">
      <c r="A92" s="21"/>
      <c r="B92" s="22"/>
      <c r="C92" s="22"/>
    </row>
    <row r="93" ht="14.25" customHeight="1">
      <c r="A93" s="21"/>
      <c r="B93" s="22"/>
      <c r="C93" s="22"/>
    </row>
    <row r="94" ht="14.25" customHeight="1">
      <c r="A94" s="21"/>
      <c r="B94" s="22"/>
      <c r="C94" s="22"/>
    </row>
    <row r="95" ht="14.25" customHeight="1">
      <c r="A95" s="21"/>
      <c r="B95" s="22"/>
      <c r="C95" s="22"/>
    </row>
    <row r="96" ht="14.25" customHeight="1">
      <c r="A96" s="21"/>
      <c r="B96" s="22"/>
      <c r="C96" s="22"/>
    </row>
    <row r="97" ht="14.25" customHeight="1">
      <c r="A97" s="21"/>
      <c r="B97" s="22"/>
      <c r="C97" s="22"/>
    </row>
    <row r="98" ht="14.25" customHeight="1">
      <c r="A98" s="21"/>
      <c r="B98" s="22"/>
      <c r="C98" s="22"/>
    </row>
    <row r="99" ht="14.25" customHeight="1">
      <c r="A99" s="21"/>
      <c r="B99" s="22"/>
      <c r="C99" s="22"/>
    </row>
    <row r="100" ht="14.25" customHeight="1">
      <c r="A100" s="21"/>
      <c r="B100" s="22"/>
      <c r="C100" s="22"/>
    </row>
    <row r="101" ht="14.25" customHeight="1">
      <c r="A101" s="21"/>
      <c r="B101" s="22"/>
      <c r="C101" s="22"/>
    </row>
    <row r="102" ht="14.25" customHeight="1">
      <c r="A102" s="21"/>
      <c r="B102" s="22"/>
      <c r="C102" s="22"/>
    </row>
    <row r="103" ht="14.25" customHeight="1">
      <c r="A103" s="21"/>
      <c r="B103" s="22"/>
      <c r="C103" s="22"/>
    </row>
    <row r="104" ht="14.25" customHeight="1">
      <c r="A104" s="21"/>
      <c r="B104" s="22"/>
      <c r="C104" s="22"/>
    </row>
    <row r="105" ht="14.25" customHeight="1">
      <c r="A105" s="21"/>
      <c r="B105" s="22"/>
      <c r="C105" s="22"/>
    </row>
    <row r="106" ht="14.25" customHeight="1">
      <c r="A106" s="21"/>
      <c r="B106" s="22"/>
      <c r="C106" s="22"/>
    </row>
    <row r="107" ht="14.25" customHeight="1">
      <c r="A107" s="21"/>
      <c r="B107" s="22"/>
      <c r="C107" s="22"/>
    </row>
    <row r="108" ht="14.25" customHeight="1">
      <c r="A108" s="21"/>
      <c r="B108" s="22"/>
      <c r="C108" s="22"/>
    </row>
    <row r="109" ht="14.25" customHeight="1">
      <c r="A109" s="21"/>
      <c r="B109" s="22"/>
      <c r="C109" s="22"/>
    </row>
    <row r="110" ht="14.25" customHeight="1">
      <c r="A110" s="21"/>
      <c r="B110" s="22"/>
      <c r="C110" s="22"/>
    </row>
    <row r="111" ht="14.25" customHeight="1">
      <c r="A111" s="21"/>
      <c r="B111" s="22"/>
      <c r="C111" s="22"/>
    </row>
    <row r="112" ht="14.25" customHeight="1">
      <c r="A112" s="21"/>
      <c r="B112" s="22"/>
      <c r="C112" s="22"/>
    </row>
    <row r="113" ht="14.25" customHeight="1">
      <c r="A113" s="21"/>
      <c r="B113" s="22"/>
      <c r="C113" s="22"/>
    </row>
    <row r="114" ht="14.25" customHeight="1">
      <c r="A114" s="21"/>
      <c r="B114" s="22"/>
      <c r="C114" s="22"/>
    </row>
    <row r="115" ht="14.25" customHeight="1">
      <c r="A115" s="21"/>
      <c r="B115" s="22"/>
      <c r="C115" s="22"/>
    </row>
    <row r="116" ht="14.25" customHeight="1">
      <c r="A116" s="21"/>
      <c r="B116" s="22"/>
      <c r="C116" s="22"/>
    </row>
    <row r="117" ht="14.25" customHeight="1">
      <c r="A117" s="21"/>
      <c r="B117" s="22"/>
      <c r="C117" s="22"/>
    </row>
    <row r="118" ht="14.25" customHeight="1">
      <c r="A118" s="21"/>
      <c r="B118" s="22"/>
      <c r="C118" s="22"/>
    </row>
    <row r="119" ht="14.25" customHeight="1">
      <c r="A119" s="21"/>
      <c r="B119" s="22"/>
      <c r="C119" s="22"/>
    </row>
    <row r="120" ht="14.25" customHeight="1">
      <c r="A120" s="21"/>
      <c r="B120" s="22"/>
      <c r="C120" s="22"/>
    </row>
    <row r="121" ht="14.25" customHeight="1">
      <c r="A121" s="21"/>
      <c r="B121" s="22"/>
      <c r="C121" s="22"/>
    </row>
    <row r="122" ht="14.25" customHeight="1">
      <c r="A122" s="21"/>
      <c r="B122" s="22"/>
      <c r="C122" s="22"/>
    </row>
    <row r="123" ht="14.25" customHeight="1">
      <c r="A123" s="21"/>
      <c r="B123" s="22"/>
      <c r="C123" s="22"/>
    </row>
    <row r="124" ht="14.25" customHeight="1">
      <c r="A124" s="21"/>
      <c r="B124" s="22"/>
      <c r="C124" s="22"/>
    </row>
    <row r="125" ht="14.25" customHeight="1">
      <c r="A125" s="21"/>
      <c r="B125" s="22"/>
      <c r="C125" s="22"/>
    </row>
    <row r="126" ht="14.25" customHeight="1">
      <c r="A126" s="21"/>
      <c r="B126" s="22"/>
      <c r="C126" s="22"/>
    </row>
    <row r="127" ht="14.25" customHeight="1">
      <c r="A127" s="21"/>
      <c r="B127" s="22"/>
      <c r="C127" s="22"/>
    </row>
    <row r="128" ht="14.25" customHeight="1">
      <c r="A128" s="21"/>
      <c r="B128" s="22"/>
      <c r="C128" s="22"/>
    </row>
    <row r="129" ht="14.25" customHeight="1">
      <c r="A129" s="21"/>
      <c r="B129" s="22"/>
      <c r="C129" s="22"/>
    </row>
    <row r="130" ht="14.25" customHeight="1">
      <c r="A130" s="21"/>
      <c r="B130" s="22"/>
      <c r="C130" s="22"/>
    </row>
    <row r="131" ht="14.25" customHeight="1">
      <c r="A131" s="21"/>
      <c r="B131" s="22"/>
      <c r="C131" s="22"/>
    </row>
    <row r="132" ht="14.25" customHeight="1">
      <c r="A132" s="21"/>
      <c r="B132" s="22"/>
      <c r="C132" s="22"/>
    </row>
    <row r="133" ht="14.25" customHeight="1">
      <c r="A133" s="21"/>
      <c r="B133" s="22"/>
      <c r="C133" s="22"/>
    </row>
    <row r="134" ht="14.25" customHeight="1">
      <c r="A134" s="21"/>
      <c r="B134" s="22"/>
      <c r="C134" s="22"/>
    </row>
    <row r="135" ht="14.25" customHeight="1">
      <c r="A135" s="21"/>
      <c r="B135" s="22"/>
      <c r="C135" s="22"/>
    </row>
    <row r="136" ht="14.25" customHeight="1">
      <c r="A136" s="21"/>
      <c r="B136" s="22"/>
      <c r="C136" s="22"/>
    </row>
    <row r="137" ht="14.25" customHeight="1">
      <c r="A137" s="21"/>
      <c r="B137" s="22"/>
      <c r="C137" s="22"/>
    </row>
    <row r="138" ht="14.25" customHeight="1">
      <c r="A138" s="21"/>
      <c r="B138" s="22"/>
      <c r="C138" s="22"/>
    </row>
    <row r="139" ht="14.25" customHeight="1">
      <c r="A139" s="21"/>
      <c r="B139" s="22"/>
      <c r="C139" s="22"/>
    </row>
    <row r="140" ht="14.25" customHeight="1">
      <c r="A140" s="21"/>
      <c r="B140" s="22"/>
      <c r="C140" s="22"/>
    </row>
    <row r="141" ht="14.25" customHeight="1">
      <c r="A141" s="21"/>
      <c r="B141" s="22"/>
      <c r="C141" s="22"/>
    </row>
    <row r="142" ht="14.25" customHeight="1">
      <c r="A142" s="21"/>
      <c r="B142" s="22"/>
      <c r="C142" s="22"/>
    </row>
    <row r="143" ht="14.25" customHeight="1">
      <c r="A143" s="21"/>
      <c r="B143" s="22"/>
      <c r="C143" s="22"/>
    </row>
    <row r="144" ht="14.25" customHeight="1">
      <c r="A144" s="21"/>
      <c r="B144" s="22"/>
      <c r="C144" s="22"/>
    </row>
    <row r="145" ht="14.25" customHeight="1">
      <c r="A145" s="21"/>
      <c r="B145" s="22"/>
      <c r="C145" s="22"/>
    </row>
    <row r="146" ht="14.25" customHeight="1">
      <c r="A146" s="21"/>
      <c r="B146" s="22"/>
      <c r="C146" s="22"/>
    </row>
    <row r="147" ht="14.25" customHeight="1">
      <c r="A147" s="21"/>
      <c r="B147" s="22"/>
      <c r="C147" s="22"/>
    </row>
    <row r="148" ht="14.25" customHeight="1">
      <c r="A148" s="21"/>
      <c r="B148" s="22"/>
      <c r="C148" s="22"/>
    </row>
    <row r="149" ht="14.25" customHeight="1">
      <c r="A149" s="21"/>
      <c r="B149" s="22"/>
      <c r="C149" s="22"/>
    </row>
    <row r="150" ht="14.25" customHeight="1">
      <c r="A150" s="21"/>
      <c r="B150" s="22"/>
      <c r="C150" s="22"/>
    </row>
    <row r="151" ht="14.25" customHeight="1">
      <c r="A151" s="21"/>
      <c r="B151" s="22"/>
      <c r="C151" s="22"/>
    </row>
    <row r="152" ht="14.25" customHeight="1">
      <c r="A152" s="21"/>
      <c r="B152" s="22"/>
      <c r="C152" s="22"/>
    </row>
    <row r="153" ht="14.25" customHeight="1">
      <c r="A153" s="21"/>
      <c r="B153" s="22"/>
      <c r="C153" s="22"/>
    </row>
    <row r="154" ht="14.25" customHeight="1">
      <c r="A154" s="21"/>
      <c r="B154" s="22"/>
      <c r="C154" s="22"/>
    </row>
    <row r="155" ht="14.25" customHeight="1">
      <c r="A155" s="21"/>
      <c r="B155" s="22"/>
      <c r="C155" s="22"/>
    </row>
    <row r="156" ht="14.25" customHeight="1">
      <c r="A156" s="21"/>
      <c r="B156" s="22"/>
      <c r="C156" s="22"/>
    </row>
    <row r="157" ht="14.25" customHeight="1">
      <c r="A157" s="21"/>
      <c r="B157" s="22"/>
      <c r="C157" s="22"/>
    </row>
    <row r="158" ht="14.25" customHeight="1">
      <c r="A158" s="21"/>
      <c r="B158" s="22"/>
      <c r="C158" s="22"/>
    </row>
    <row r="159" ht="14.25" customHeight="1">
      <c r="A159" s="21"/>
      <c r="B159" s="22"/>
      <c r="C159" s="22"/>
    </row>
    <row r="160" ht="14.25" customHeight="1">
      <c r="A160" s="21"/>
      <c r="B160" s="22"/>
      <c r="C160" s="22"/>
    </row>
    <row r="161" ht="14.25" customHeight="1">
      <c r="A161" s="21"/>
      <c r="B161" s="22"/>
      <c r="C161" s="22"/>
    </row>
    <row r="162" ht="14.25" customHeight="1">
      <c r="A162" s="21"/>
      <c r="B162" s="22"/>
      <c r="C162" s="22"/>
    </row>
    <row r="163" ht="14.25" customHeight="1">
      <c r="A163" s="21"/>
      <c r="B163" s="22"/>
      <c r="C163" s="22"/>
    </row>
    <row r="164" ht="14.25" customHeight="1">
      <c r="A164" s="21"/>
      <c r="B164" s="22"/>
      <c r="C164" s="22"/>
    </row>
    <row r="165" ht="14.25" customHeight="1">
      <c r="A165" s="21"/>
      <c r="B165" s="22"/>
      <c r="C165" s="22"/>
    </row>
    <row r="166" ht="14.25" customHeight="1">
      <c r="A166" s="21"/>
      <c r="B166" s="22"/>
      <c r="C166" s="22"/>
    </row>
    <row r="167" ht="14.25" customHeight="1">
      <c r="A167" s="21"/>
      <c r="B167" s="22"/>
      <c r="C167" s="22"/>
    </row>
    <row r="168" ht="14.25" customHeight="1">
      <c r="A168" s="21"/>
      <c r="B168" s="22"/>
      <c r="C168" s="22"/>
    </row>
    <row r="169" ht="14.25" customHeight="1">
      <c r="A169" s="21"/>
      <c r="B169" s="22"/>
      <c r="C169" s="22"/>
    </row>
    <row r="170" ht="14.25" customHeight="1">
      <c r="A170" s="21"/>
      <c r="B170" s="22"/>
      <c r="C170" s="22"/>
    </row>
    <row r="171" ht="14.25" customHeight="1">
      <c r="A171" s="21"/>
      <c r="B171" s="22"/>
      <c r="C171" s="22"/>
    </row>
    <row r="172" ht="14.25" customHeight="1">
      <c r="A172" s="21"/>
      <c r="B172" s="22"/>
      <c r="C172" s="22"/>
    </row>
    <row r="173" ht="14.25" customHeight="1">
      <c r="A173" s="21"/>
      <c r="B173" s="22"/>
      <c r="C173" s="22"/>
    </row>
    <row r="174" ht="14.25" customHeight="1">
      <c r="A174" s="21"/>
      <c r="B174" s="22"/>
      <c r="C174" s="22"/>
    </row>
    <row r="175" ht="14.25" customHeight="1">
      <c r="A175" s="21"/>
      <c r="B175" s="22"/>
      <c r="C175" s="22"/>
    </row>
    <row r="176" ht="14.25" customHeight="1">
      <c r="A176" s="21"/>
      <c r="B176" s="22"/>
      <c r="C176" s="22"/>
    </row>
    <row r="177" ht="14.25" customHeight="1">
      <c r="A177" s="21"/>
      <c r="B177" s="22"/>
      <c r="C177" s="22"/>
    </row>
    <row r="178" ht="14.25" customHeight="1">
      <c r="A178" s="21"/>
      <c r="B178" s="22"/>
      <c r="C178" s="22"/>
    </row>
    <row r="179" ht="14.25" customHeight="1">
      <c r="A179" s="21"/>
      <c r="B179" s="22"/>
      <c r="C179" s="22"/>
    </row>
    <row r="180" ht="14.25" customHeight="1">
      <c r="A180" s="21"/>
      <c r="B180" s="22"/>
      <c r="C180" s="22"/>
    </row>
    <row r="181" ht="14.25" customHeight="1">
      <c r="A181" s="21"/>
      <c r="B181" s="22"/>
      <c r="C181" s="22"/>
    </row>
    <row r="182" ht="14.25" customHeight="1">
      <c r="A182" s="21"/>
      <c r="B182" s="22"/>
      <c r="C182" s="22"/>
    </row>
    <row r="183" ht="14.25" customHeight="1">
      <c r="A183" s="21"/>
      <c r="B183" s="22"/>
      <c r="C183" s="22"/>
    </row>
    <row r="184" ht="14.25" customHeight="1">
      <c r="A184" s="21"/>
      <c r="B184" s="22"/>
      <c r="C184" s="22"/>
    </row>
    <row r="185" ht="14.25" customHeight="1">
      <c r="A185" s="21"/>
      <c r="B185" s="22"/>
      <c r="C185" s="22"/>
    </row>
    <row r="186" ht="14.25" customHeight="1">
      <c r="A186" s="21"/>
      <c r="B186" s="22"/>
      <c r="C186" s="22"/>
    </row>
    <row r="187" ht="14.25" customHeight="1">
      <c r="A187" s="21"/>
      <c r="B187" s="22"/>
      <c r="C187" s="22"/>
    </row>
    <row r="188" ht="14.25" customHeight="1">
      <c r="A188" s="21"/>
      <c r="B188" s="22"/>
      <c r="C188" s="22"/>
    </row>
    <row r="189" ht="14.25" customHeight="1">
      <c r="A189" s="21"/>
      <c r="B189" s="22"/>
      <c r="C189" s="22"/>
    </row>
    <row r="190" ht="14.25" customHeight="1">
      <c r="A190" s="21"/>
      <c r="B190" s="22"/>
      <c r="C190" s="22"/>
    </row>
    <row r="191" ht="14.25" customHeight="1">
      <c r="A191" s="21"/>
      <c r="B191" s="22"/>
      <c r="C191" s="22"/>
    </row>
    <row r="192" ht="14.25" customHeight="1">
      <c r="A192" s="21"/>
      <c r="B192" s="22"/>
      <c r="C192" s="22"/>
    </row>
    <row r="193" ht="14.25" customHeight="1">
      <c r="A193" s="21"/>
      <c r="B193" s="22"/>
      <c r="C193" s="22"/>
    </row>
    <row r="194" ht="14.25" customHeight="1">
      <c r="A194" s="21"/>
      <c r="B194" s="22"/>
      <c r="C194" s="22"/>
    </row>
    <row r="195" ht="14.25" customHeight="1">
      <c r="A195" s="21"/>
      <c r="B195" s="22"/>
      <c r="C195" s="22"/>
    </row>
    <row r="196" ht="14.25" customHeight="1">
      <c r="A196" s="21"/>
      <c r="B196" s="22"/>
      <c r="C196" s="22"/>
    </row>
    <row r="197" ht="14.25" customHeight="1">
      <c r="A197" s="21"/>
      <c r="B197" s="22"/>
      <c r="C197" s="22"/>
    </row>
    <row r="198" ht="14.25" customHeight="1">
      <c r="A198" s="21"/>
      <c r="B198" s="22"/>
      <c r="C198" s="22"/>
    </row>
    <row r="199" ht="14.25" customHeight="1">
      <c r="A199" s="21"/>
      <c r="B199" s="22"/>
      <c r="C199" s="22"/>
    </row>
    <row r="200" ht="14.25" customHeight="1">
      <c r="A200" s="21"/>
      <c r="B200" s="22"/>
      <c r="C200" s="22"/>
    </row>
    <row r="201" ht="14.25" customHeight="1">
      <c r="A201" s="21"/>
      <c r="B201" s="22"/>
      <c r="C201" s="22"/>
    </row>
    <row r="202" ht="14.25" customHeight="1">
      <c r="A202" s="21"/>
      <c r="B202" s="22"/>
      <c r="C202" s="22"/>
    </row>
    <row r="203" ht="14.25" customHeight="1">
      <c r="A203" s="21"/>
      <c r="B203" s="22"/>
      <c r="C203" s="22"/>
    </row>
    <row r="204" ht="14.25" customHeight="1">
      <c r="A204" s="21"/>
      <c r="B204" s="22"/>
      <c r="C204" s="22"/>
    </row>
    <row r="205" ht="14.25" customHeight="1">
      <c r="A205" s="21"/>
      <c r="B205" s="22"/>
      <c r="C205" s="22"/>
    </row>
    <row r="206" ht="14.25" customHeight="1">
      <c r="A206" s="21"/>
      <c r="B206" s="22"/>
      <c r="C206" s="22"/>
    </row>
    <row r="207" ht="14.25" customHeight="1">
      <c r="A207" s="21"/>
      <c r="B207" s="22"/>
      <c r="C207" s="22"/>
    </row>
    <row r="208" ht="14.25" customHeight="1">
      <c r="A208" s="21"/>
      <c r="B208" s="22"/>
      <c r="C208" s="22"/>
    </row>
    <row r="209" ht="14.25" customHeight="1">
      <c r="A209" s="21"/>
      <c r="B209" s="22"/>
      <c r="C209" s="22"/>
    </row>
    <row r="210" ht="14.25" customHeight="1">
      <c r="A210" s="21"/>
      <c r="B210" s="22"/>
      <c r="C210" s="22"/>
    </row>
    <row r="211" ht="14.25" customHeight="1">
      <c r="A211" s="21"/>
      <c r="B211" s="22"/>
      <c r="C211" s="22"/>
    </row>
    <row r="212" ht="14.25" customHeight="1">
      <c r="A212" s="21"/>
      <c r="B212" s="22"/>
      <c r="C212" s="22"/>
    </row>
    <row r="213" ht="14.25" customHeight="1">
      <c r="A213" s="21"/>
      <c r="B213" s="22"/>
      <c r="C213" s="22"/>
    </row>
    <row r="214" ht="14.25" customHeight="1">
      <c r="A214" s="21"/>
      <c r="B214" s="22"/>
      <c r="C214" s="22"/>
    </row>
    <row r="215" ht="14.25" customHeight="1">
      <c r="A215" s="21"/>
      <c r="B215" s="22"/>
      <c r="C215" s="22"/>
    </row>
    <row r="216" ht="14.25" customHeight="1">
      <c r="A216" s="21"/>
      <c r="B216" s="22"/>
      <c r="C216" s="22"/>
    </row>
    <row r="217" ht="14.25" customHeight="1">
      <c r="A217" s="21"/>
      <c r="B217" s="22"/>
      <c r="C217" s="22"/>
    </row>
    <row r="218" ht="14.25" customHeight="1">
      <c r="A218" s="21"/>
      <c r="B218" s="22"/>
      <c r="C218" s="22"/>
    </row>
    <row r="219" ht="14.25" customHeight="1">
      <c r="A219" s="21"/>
      <c r="B219" s="22"/>
      <c r="C219" s="22"/>
    </row>
    <row r="220" ht="14.25" customHeight="1">
      <c r="A220" s="21"/>
      <c r="B220" s="22"/>
      <c r="C220" s="22"/>
    </row>
    <row r="221" ht="14.25" customHeight="1">
      <c r="A221" s="21"/>
      <c r="B221" s="22"/>
      <c r="C221" s="22"/>
    </row>
    <row r="222" ht="14.25" customHeight="1">
      <c r="A222" s="21"/>
      <c r="B222" s="22"/>
      <c r="C222" s="22"/>
    </row>
    <row r="223" ht="14.25" customHeight="1">
      <c r="A223" s="21"/>
      <c r="B223" s="22"/>
      <c r="C223" s="22"/>
    </row>
    <row r="224" ht="14.25" customHeight="1">
      <c r="A224" s="21"/>
      <c r="B224" s="22"/>
      <c r="C224" s="22"/>
    </row>
    <row r="225" ht="14.25" customHeight="1">
      <c r="A225" s="21"/>
      <c r="B225" s="22"/>
      <c r="C225" s="22"/>
    </row>
    <row r="226" ht="14.25" customHeight="1">
      <c r="A226" s="21"/>
      <c r="B226" s="22"/>
      <c r="C226" s="22"/>
    </row>
    <row r="227" ht="14.25" customHeight="1">
      <c r="A227" s="21"/>
      <c r="B227" s="22"/>
      <c r="C227" s="22"/>
    </row>
    <row r="228" ht="14.25" customHeight="1">
      <c r="A228" s="21"/>
      <c r="B228" s="22"/>
      <c r="C228" s="22"/>
    </row>
    <row r="229" ht="14.25" customHeight="1">
      <c r="A229" s="21"/>
      <c r="B229" s="22"/>
      <c r="C229" s="22"/>
    </row>
    <row r="230" ht="14.25" customHeight="1">
      <c r="A230" s="21"/>
      <c r="B230" s="22"/>
      <c r="C230" s="22"/>
    </row>
    <row r="231" ht="14.25" customHeight="1">
      <c r="A231" s="21"/>
      <c r="B231" s="22"/>
      <c r="C231" s="22"/>
    </row>
    <row r="232" ht="14.25" customHeight="1">
      <c r="A232" s="21"/>
      <c r="B232" s="22"/>
      <c r="C232" s="22"/>
    </row>
    <row r="233" ht="14.25" customHeight="1">
      <c r="A233" s="21"/>
      <c r="B233" s="22"/>
      <c r="C233" s="22"/>
    </row>
    <row r="234" ht="14.25" customHeight="1">
      <c r="A234" s="21"/>
      <c r="B234" s="22"/>
      <c r="C234" s="22"/>
    </row>
    <row r="235" ht="14.25" customHeight="1">
      <c r="A235" s="21"/>
      <c r="B235" s="22"/>
      <c r="C235" s="22"/>
    </row>
    <row r="236" ht="14.25" customHeight="1">
      <c r="A236" s="21"/>
      <c r="B236" s="22"/>
      <c r="C236" s="22"/>
    </row>
    <row r="237" ht="14.25" customHeight="1">
      <c r="A237" s="21"/>
      <c r="B237" s="22"/>
      <c r="C237" s="22"/>
    </row>
    <row r="238" ht="14.25" customHeight="1">
      <c r="A238" s="21"/>
      <c r="B238" s="22"/>
      <c r="C238" s="22"/>
    </row>
    <row r="239" ht="14.25" customHeight="1">
      <c r="A239" s="21"/>
      <c r="B239" s="22"/>
      <c r="C239" s="22"/>
    </row>
    <row r="240" ht="14.25" customHeight="1">
      <c r="A240" s="21"/>
      <c r="B240" s="22"/>
      <c r="C240" s="22"/>
    </row>
    <row r="241" ht="14.25" customHeight="1">
      <c r="A241" s="21"/>
      <c r="B241" s="22"/>
      <c r="C241" s="22"/>
    </row>
    <row r="242" ht="14.25" customHeight="1">
      <c r="A242" s="21"/>
      <c r="B242" s="22"/>
      <c r="C242" s="22"/>
    </row>
    <row r="243" ht="14.25" customHeight="1">
      <c r="A243" s="21"/>
      <c r="B243" s="22"/>
      <c r="C243" s="22"/>
    </row>
    <row r="244" ht="14.25" customHeight="1">
      <c r="A244" s="21"/>
      <c r="B244" s="22"/>
      <c r="C244" s="22"/>
    </row>
    <row r="245" ht="14.25" customHeight="1">
      <c r="A245" s="21"/>
      <c r="B245" s="22"/>
      <c r="C245" s="22"/>
    </row>
    <row r="246" ht="14.25" customHeight="1">
      <c r="A246" s="21"/>
      <c r="B246" s="22"/>
      <c r="C246" s="22"/>
    </row>
    <row r="247" ht="14.25" customHeight="1">
      <c r="A247" s="21"/>
      <c r="B247" s="22"/>
      <c r="C247" s="22"/>
    </row>
    <row r="248" ht="14.25" customHeight="1">
      <c r="A248" s="21"/>
      <c r="B248" s="22"/>
      <c r="C248" s="22"/>
    </row>
    <row r="249" ht="14.25" customHeight="1">
      <c r="A249" s="21"/>
      <c r="B249" s="22"/>
      <c r="C249" s="22"/>
    </row>
    <row r="250" ht="14.25" customHeight="1">
      <c r="A250" s="21"/>
      <c r="B250" s="22"/>
      <c r="C250" s="22"/>
    </row>
    <row r="251" ht="14.25" customHeight="1">
      <c r="A251" s="21"/>
      <c r="B251" s="22"/>
      <c r="C251" s="22"/>
    </row>
    <row r="252" ht="14.25" customHeight="1">
      <c r="A252" s="21"/>
      <c r="B252" s="22"/>
      <c r="C252" s="22"/>
    </row>
    <row r="253" ht="14.25" customHeight="1">
      <c r="A253" s="21"/>
      <c r="B253" s="22"/>
      <c r="C253" s="22"/>
    </row>
    <row r="254" ht="14.25" customHeight="1">
      <c r="A254" s="21"/>
      <c r="B254" s="22"/>
      <c r="C254" s="22"/>
    </row>
    <row r="255" ht="14.25" customHeight="1">
      <c r="A255" s="21"/>
      <c r="B255" s="22"/>
      <c r="C255" s="22"/>
    </row>
    <row r="256" ht="14.25" customHeight="1">
      <c r="A256" s="21"/>
      <c r="B256" s="22"/>
      <c r="C256" s="22"/>
    </row>
    <row r="257" ht="14.25" customHeight="1">
      <c r="A257" s="21"/>
      <c r="B257" s="22"/>
      <c r="C257" s="22"/>
    </row>
    <row r="258" ht="14.25" customHeight="1">
      <c r="A258" s="21"/>
      <c r="B258" s="22"/>
      <c r="C258" s="22"/>
    </row>
    <row r="259" ht="14.25" customHeight="1">
      <c r="A259" s="21"/>
      <c r="B259" s="22"/>
      <c r="C259" s="22"/>
    </row>
    <row r="260" ht="14.25" customHeight="1">
      <c r="A260" s="21"/>
      <c r="B260" s="22"/>
      <c r="C260" s="22"/>
    </row>
    <row r="261" ht="14.25" customHeight="1">
      <c r="A261" s="21"/>
      <c r="B261" s="22"/>
      <c r="C261" s="22"/>
    </row>
    <row r="262" ht="14.25" customHeight="1">
      <c r="A262" s="21"/>
      <c r="B262" s="22"/>
      <c r="C262" s="22"/>
    </row>
    <row r="263" ht="14.25" customHeight="1">
      <c r="A263" s="21"/>
      <c r="B263" s="22"/>
      <c r="C263" s="22"/>
    </row>
    <row r="264" ht="14.25" customHeight="1">
      <c r="A264" s="21"/>
      <c r="B264" s="22"/>
      <c r="C264" s="22"/>
    </row>
    <row r="265" ht="14.25" customHeight="1">
      <c r="A265" s="21"/>
      <c r="B265" s="22"/>
      <c r="C265" s="22"/>
    </row>
    <row r="266" ht="14.25" customHeight="1">
      <c r="A266" s="21"/>
      <c r="B266" s="22"/>
      <c r="C266" s="22"/>
    </row>
    <row r="267" ht="14.25" customHeight="1">
      <c r="A267" s="21"/>
      <c r="B267" s="22"/>
      <c r="C267" s="22"/>
    </row>
    <row r="268" ht="14.25" customHeight="1">
      <c r="A268" s="21"/>
      <c r="B268" s="22"/>
      <c r="C268" s="22"/>
    </row>
    <row r="269" ht="14.25" customHeight="1">
      <c r="A269" s="21"/>
      <c r="B269" s="22"/>
      <c r="C269" s="22"/>
    </row>
    <row r="270" ht="14.25" customHeight="1">
      <c r="A270" s="21"/>
      <c r="B270" s="22"/>
      <c r="C270" s="22"/>
    </row>
    <row r="271" ht="14.25" customHeight="1">
      <c r="A271" s="21"/>
      <c r="B271" s="22"/>
      <c r="C271" s="22"/>
    </row>
    <row r="272" ht="14.25" customHeight="1">
      <c r="A272" s="21"/>
      <c r="B272" s="22"/>
      <c r="C272" s="22"/>
    </row>
    <row r="273" ht="14.25" customHeight="1">
      <c r="A273" s="21"/>
      <c r="B273" s="22"/>
      <c r="C273" s="22"/>
    </row>
    <row r="274" ht="14.25" customHeight="1">
      <c r="A274" s="21"/>
      <c r="B274" s="22"/>
      <c r="C274" s="22"/>
    </row>
    <row r="275" ht="14.25" customHeight="1">
      <c r="A275" s="21"/>
      <c r="B275" s="22"/>
      <c r="C275" s="22"/>
    </row>
    <row r="276" ht="14.25" customHeight="1">
      <c r="A276" s="21"/>
      <c r="B276" s="22"/>
      <c r="C276" s="22"/>
    </row>
    <row r="277" ht="14.25" customHeight="1">
      <c r="A277" s="21"/>
      <c r="B277" s="22"/>
      <c r="C277" s="22"/>
    </row>
    <row r="278" ht="14.25" customHeight="1">
      <c r="A278" s="21"/>
      <c r="B278" s="22"/>
      <c r="C278" s="22"/>
    </row>
    <row r="279" ht="14.25" customHeight="1">
      <c r="A279" s="21"/>
      <c r="B279" s="22"/>
      <c r="C279" s="22"/>
    </row>
    <row r="280" ht="14.25" customHeight="1">
      <c r="A280" s="21"/>
      <c r="B280" s="22"/>
      <c r="C280" s="22"/>
    </row>
    <row r="281" ht="14.25" customHeight="1">
      <c r="A281" s="21"/>
      <c r="B281" s="22"/>
      <c r="C281" s="22"/>
    </row>
    <row r="282" ht="14.25" customHeight="1">
      <c r="A282" s="21"/>
      <c r="B282" s="22"/>
      <c r="C282" s="22"/>
    </row>
    <row r="283" ht="14.25" customHeight="1">
      <c r="A283" s="21"/>
      <c r="B283" s="22"/>
      <c r="C283" s="22"/>
    </row>
    <row r="284" ht="14.25" customHeight="1">
      <c r="A284" s="21"/>
      <c r="B284" s="22"/>
      <c r="C284" s="22"/>
    </row>
    <row r="285" ht="14.25" customHeight="1">
      <c r="A285" s="21"/>
      <c r="B285" s="22"/>
      <c r="C285" s="22"/>
    </row>
    <row r="286" ht="14.25" customHeight="1">
      <c r="A286" s="21"/>
      <c r="B286" s="22"/>
      <c r="C286" s="22"/>
    </row>
    <row r="287" ht="14.25" customHeight="1">
      <c r="A287" s="21"/>
      <c r="B287" s="22"/>
      <c r="C287" s="22"/>
    </row>
    <row r="288" ht="14.25" customHeight="1">
      <c r="A288" s="21"/>
      <c r="B288" s="22"/>
      <c r="C288" s="22"/>
    </row>
    <row r="289" ht="14.25" customHeight="1">
      <c r="A289" s="21"/>
      <c r="B289" s="22"/>
      <c r="C289" s="22"/>
    </row>
    <row r="290" ht="14.25" customHeight="1">
      <c r="A290" s="21"/>
      <c r="B290" s="22"/>
      <c r="C290" s="22"/>
    </row>
    <row r="291" ht="14.25" customHeight="1">
      <c r="A291" s="21"/>
      <c r="B291" s="22"/>
      <c r="C291" s="22"/>
    </row>
    <row r="292" ht="14.25" customHeight="1">
      <c r="A292" s="21"/>
      <c r="B292" s="22"/>
      <c r="C292" s="22"/>
    </row>
    <row r="293" ht="14.25" customHeight="1">
      <c r="A293" s="21"/>
      <c r="B293" s="22"/>
      <c r="C293" s="22"/>
    </row>
    <row r="294" ht="14.25" customHeight="1">
      <c r="A294" s="21"/>
      <c r="B294" s="22"/>
      <c r="C294" s="22"/>
    </row>
    <row r="295" ht="14.25" customHeight="1">
      <c r="A295" s="21"/>
      <c r="B295" s="22"/>
      <c r="C295" s="22"/>
    </row>
    <row r="296" ht="14.25" customHeight="1">
      <c r="A296" s="21"/>
      <c r="B296" s="22"/>
      <c r="C296" s="22"/>
    </row>
    <row r="297" ht="14.25" customHeight="1">
      <c r="A297" s="21"/>
      <c r="B297" s="22"/>
      <c r="C297" s="22"/>
    </row>
    <row r="298" ht="14.25" customHeight="1">
      <c r="A298" s="21"/>
      <c r="B298" s="22"/>
      <c r="C298" s="22"/>
    </row>
    <row r="299" ht="14.25" customHeight="1">
      <c r="A299" s="21"/>
      <c r="B299" s="22"/>
      <c r="C299" s="22"/>
    </row>
    <row r="300" ht="14.25" customHeight="1">
      <c r="A300" s="21"/>
      <c r="B300" s="22"/>
      <c r="C300" s="22"/>
    </row>
    <row r="301" ht="14.25" customHeight="1">
      <c r="A301" s="21"/>
      <c r="B301" s="22"/>
      <c r="C301" s="22"/>
    </row>
    <row r="302" ht="14.25" customHeight="1">
      <c r="A302" s="21"/>
      <c r="B302" s="22"/>
      <c r="C302" s="22"/>
    </row>
    <row r="303" ht="14.25" customHeight="1">
      <c r="A303" s="21"/>
      <c r="B303" s="22"/>
      <c r="C303" s="22"/>
    </row>
    <row r="304" ht="14.25" customHeight="1">
      <c r="A304" s="21"/>
      <c r="B304" s="22"/>
      <c r="C304" s="22"/>
    </row>
    <row r="305" ht="14.25" customHeight="1">
      <c r="A305" s="21"/>
      <c r="B305" s="22"/>
      <c r="C305" s="22"/>
    </row>
    <row r="306" ht="14.25" customHeight="1">
      <c r="A306" s="21"/>
      <c r="B306" s="22"/>
      <c r="C306" s="22"/>
    </row>
    <row r="307" ht="14.25" customHeight="1">
      <c r="A307" s="21"/>
      <c r="B307" s="22"/>
      <c r="C307" s="22"/>
    </row>
    <row r="308" ht="14.25" customHeight="1">
      <c r="A308" s="21"/>
      <c r="B308" s="22"/>
      <c r="C308" s="22"/>
    </row>
    <row r="309" ht="14.25" customHeight="1">
      <c r="A309" s="21"/>
      <c r="B309" s="22"/>
      <c r="C309" s="22"/>
    </row>
    <row r="310" ht="14.25" customHeight="1">
      <c r="A310" s="21"/>
      <c r="B310" s="22"/>
      <c r="C310" s="22"/>
    </row>
    <row r="311" ht="14.25" customHeight="1">
      <c r="A311" s="21"/>
      <c r="B311" s="22"/>
      <c r="C311" s="22"/>
    </row>
    <row r="312" ht="14.25" customHeight="1">
      <c r="A312" s="21"/>
      <c r="B312" s="22"/>
      <c r="C312" s="22"/>
    </row>
    <row r="313" ht="14.25" customHeight="1">
      <c r="A313" s="21"/>
      <c r="B313" s="22"/>
      <c r="C313" s="22"/>
    </row>
    <row r="314" ht="14.25" customHeight="1">
      <c r="A314" s="21"/>
      <c r="B314" s="22"/>
      <c r="C314" s="22"/>
    </row>
    <row r="315" ht="14.25" customHeight="1">
      <c r="A315" s="21"/>
      <c r="B315" s="22"/>
      <c r="C315" s="22"/>
    </row>
    <row r="316" ht="14.25" customHeight="1">
      <c r="A316" s="21"/>
      <c r="B316" s="22"/>
      <c r="C316" s="22"/>
    </row>
    <row r="317" ht="14.25" customHeight="1">
      <c r="A317" s="21"/>
      <c r="B317" s="22"/>
      <c r="C317" s="22"/>
    </row>
    <row r="318" ht="14.25" customHeight="1">
      <c r="A318" s="21"/>
      <c r="B318" s="22"/>
      <c r="C318" s="22"/>
    </row>
    <row r="319" ht="14.25" customHeight="1">
      <c r="A319" s="21"/>
      <c r="B319" s="22"/>
      <c r="C319" s="22"/>
    </row>
    <row r="320" ht="14.25" customHeight="1">
      <c r="A320" s="21"/>
      <c r="B320" s="22"/>
      <c r="C320" s="22"/>
    </row>
    <row r="321" ht="14.25" customHeight="1">
      <c r="A321" s="21"/>
      <c r="B321" s="22"/>
      <c r="C321" s="22"/>
    </row>
    <row r="322" ht="14.25" customHeight="1">
      <c r="A322" s="21"/>
      <c r="B322" s="22"/>
      <c r="C322" s="22"/>
    </row>
    <row r="323" ht="14.25" customHeight="1">
      <c r="A323" s="21"/>
      <c r="B323" s="22"/>
      <c r="C323" s="22"/>
    </row>
    <row r="324" ht="14.25" customHeight="1">
      <c r="A324" s="21"/>
      <c r="B324" s="22"/>
      <c r="C324" s="22"/>
    </row>
    <row r="325" ht="14.25" customHeight="1">
      <c r="A325" s="21"/>
      <c r="B325" s="22"/>
      <c r="C325" s="22"/>
    </row>
    <row r="326" ht="14.25" customHeight="1">
      <c r="A326" s="21"/>
      <c r="B326" s="22"/>
      <c r="C326" s="22"/>
    </row>
    <row r="327" ht="14.25" customHeight="1">
      <c r="A327" s="21"/>
      <c r="B327" s="22"/>
      <c r="C327" s="22"/>
    </row>
    <row r="328" ht="14.25" customHeight="1">
      <c r="A328" s="21"/>
      <c r="B328" s="22"/>
      <c r="C328" s="22"/>
    </row>
    <row r="329" ht="14.25" customHeight="1">
      <c r="A329" s="21"/>
      <c r="B329" s="22"/>
      <c r="C329" s="22"/>
    </row>
    <row r="330" ht="14.25" customHeight="1">
      <c r="A330" s="21"/>
      <c r="B330" s="22"/>
      <c r="C330" s="22"/>
    </row>
    <row r="331" ht="14.25" customHeight="1">
      <c r="A331" s="21"/>
      <c r="B331" s="22"/>
      <c r="C331" s="22"/>
    </row>
    <row r="332" ht="14.25" customHeight="1">
      <c r="A332" s="21"/>
      <c r="B332" s="22"/>
      <c r="C332" s="22"/>
    </row>
    <row r="333" ht="14.25" customHeight="1">
      <c r="A333" s="21"/>
      <c r="B333" s="22"/>
      <c r="C333" s="22"/>
    </row>
    <row r="334" ht="14.25" customHeight="1">
      <c r="A334" s="21"/>
      <c r="B334" s="22"/>
      <c r="C334" s="22"/>
    </row>
    <row r="335" ht="14.25" customHeight="1">
      <c r="A335" s="21"/>
      <c r="B335" s="22"/>
      <c r="C335" s="22"/>
    </row>
    <row r="336" ht="14.25" customHeight="1">
      <c r="A336" s="21"/>
      <c r="B336" s="22"/>
      <c r="C336" s="22"/>
    </row>
    <row r="337" ht="14.25" customHeight="1">
      <c r="A337" s="21"/>
      <c r="B337" s="22"/>
      <c r="C337" s="22"/>
    </row>
    <row r="338" ht="14.25" customHeight="1">
      <c r="A338" s="21"/>
      <c r="B338" s="22"/>
      <c r="C338" s="22"/>
    </row>
    <row r="339" ht="14.25" customHeight="1">
      <c r="A339" s="21"/>
      <c r="B339" s="22"/>
      <c r="C339" s="22"/>
    </row>
    <row r="340" ht="14.25" customHeight="1">
      <c r="A340" s="21"/>
      <c r="B340" s="22"/>
      <c r="C340" s="22"/>
    </row>
    <row r="341" ht="14.25" customHeight="1">
      <c r="A341" s="21"/>
      <c r="B341" s="22"/>
      <c r="C341" s="22"/>
    </row>
    <row r="342" ht="14.25" customHeight="1">
      <c r="A342" s="21"/>
      <c r="B342" s="22"/>
      <c r="C342" s="22"/>
    </row>
    <row r="343" ht="14.25" customHeight="1">
      <c r="A343" s="21"/>
      <c r="B343" s="22"/>
      <c r="C343" s="22"/>
    </row>
    <row r="344" ht="14.25" customHeight="1">
      <c r="A344" s="21"/>
      <c r="B344" s="22"/>
      <c r="C344" s="22"/>
    </row>
    <row r="345" ht="14.25" customHeight="1">
      <c r="A345" s="21"/>
      <c r="B345" s="22"/>
      <c r="C345" s="22"/>
    </row>
    <row r="346" ht="14.25" customHeight="1">
      <c r="A346" s="21"/>
      <c r="B346" s="22"/>
      <c r="C346" s="22"/>
    </row>
    <row r="347" ht="14.25" customHeight="1">
      <c r="A347" s="21"/>
      <c r="B347" s="22"/>
      <c r="C347" s="22"/>
    </row>
    <row r="348" ht="14.25" customHeight="1">
      <c r="A348" s="21"/>
      <c r="B348" s="22"/>
      <c r="C348" s="22"/>
    </row>
    <row r="349" ht="14.25" customHeight="1">
      <c r="A349" s="21"/>
      <c r="B349" s="22"/>
      <c r="C349" s="22"/>
    </row>
    <row r="350" ht="14.25" customHeight="1">
      <c r="A350" s="21"/>
      <c r="B350" s="22"/>
      <c r="C350" s="22"/>
    </row>
    <row r="351" ht="14.25" customHeight="1">
      <c r="A351" s="21"/>
      <c r="B351" s="22"/>
      <c r="C351" s="22"/>
    </row>
    <row r="352" ht="14.25" customHeight="1">
      <c r="A352" s="21"/>
      <c r="B352" s="22"/>
      <c r="C352" s="22"/>
    </row>
    <row r="353" ht="14.25" customHeight="1">
      <c r="A353" s="21"/>
      <c r="B353" s="22"/>
      <c r="C353" s="22"/>
    </row>
    <row r="354" ht="14.25" customHeight="1">
      <c r="A354" s="21"/>
      <c r="B354" s="22"/>
      <c r="C354" s="22"/>
    </row>
    <row r="355" ht="14.25" customHeight="1">
      <c r="A355" s="21"/>
      <c r="B355" s="22"/>
      <c r="C355" s="22"/>
    </row>
    <row r="356" ht="14.25" customHeight="1">
      <c r="A356" s="21"/>
      <c r="B356" s="22"/>
      <c r="C356" s="22"/>
    </row>
    <row r="357" ht="14.25" customHeight="1">
      <c r="A357" s="21"/>
      <c r="B357" s="22"/>
      <c r="C357" s="22"/>
    </row>
    <row r="358" ht="14.25" customHeight="1">
      <c r="A358" s="21"/>
      <c r="B358" s="22"/>
      <c r="C358" s="22"/>
    </row>
    <row r="359" ht="14.25" customHeight="1">
      <c r="A359" s="21"/>
      <c r="B359" s="22"/>
      <c r="C359" s="22"/>
    </row>
    <row r="360" ht="14.25" customHeight="1">
      <c r="A360" s="21"/>
      <c r="B360" s="22"/>
      <c r="C360" s="22"/>
    </row>
    <row r="361" ht="14.25" customHeight="1">
      <c r="A361" s="21"/>
      <c r="B361" s="22"/>
      <c r="C361" s="22"/>
    </row>
    <row r="362" ht="14.25" customHeight="1">
      <c r="A362" s="21"/>
      <c r="B362" s="22"/>
      <c r="C362" s="22"/>
    </row>
    <row r="363" ht="14.25" customHeight="1">
      <c r="A363" s="21"/>
      <c r="B363" s="22"/>
      <c r="C363" s="22"/>
    </row>
    <row r="364" ht="14.25" customHeight="1">
      <c r="A364" s="21"/>
      <c r="B364" s="22"/>
      <c r="C364" s="22"/>
    </row>
    <row r="365" ht="14.25" customHeight="1">
      <c r="A365" s="21"/>
      <c r="B365" s="22"/>
      <c r="C365" s="22"/>
    </row>
    <row r="366" ht="14.25" customHeight="1">
      <c r="A366" s="21"/>
      <c r="B366" s="22"/>
      <c r="C366" s="22"/>
    </row>
    <row r="367" ht="14.25" customHeight="1">
      <c r="A367" s="21"/>
      <c r="B367" s="22"/>
      <c r="C367" s="22"/>
    </row>
    <row r="368" ht="14.25" customHeight="1">
      <c r="A368" s="21"/>
      <c r="B368" s="22"/>
      <c r="C368" s="22"/>
    </row>
    <row r="369" ht="14.25" customHeight="1">
      <c r="A369" s="21"/>
      <c r="B369" s="22"/>
      <c r="C369" s="22"/>
    </row>
    <row r="370" ht="14.25" customHeight="1">
      <c r="A370" s="21"/>
      <c r="B370" s="22"/>
      <c r="C370" s="22"/>
    </row>
    <row r="371" ht="14.25" customHeight="1">
      <c r="A371" s="21"/>
      <c r="B371" s="22"/>
      <c r="C371" s="22"/>
    </row>
    <row r="372" ht="14.25" customHeight="1">
      <c r="A372" s="21"/>
      <c r="B372" s="22"/>
      <c r="C372" s="22"/>
    </row>
    <row r="373" ht="14.25" customHeight="1">
      <c r="A373" s="21"/>
      <c r="B373" s="22"/>
      <c r="C373" s="22"/>
    </row>
    <row r="374" ht="14.25" customHeight="1">
      <c r="A374" s="21"/>
      <c r="B374" s="22"/>
      <c r="C374" s="22"/>
    </row>
    <row r="375" ht="14.25" customHeight="1">
      <c r="A375" s="21"/>
      <c r="B375" s="22"/>
      <c r="C375" s="22"/>
    </row>
    <row r="376" ht="14.25" customHeight="1">
      <c r="A376" s="21"/>
      <c r="B376" s="22"/>
      <c r="C376" s="22"/>
    </row>
    <row r="377" ht="14.25" customHeight="1">
      <c r="A377" s="21"/>
      <c r="B377" s="22"/>
      <c r="C377" s="22"/>
    </row>
    <row r="378" ht="14.25" customHeight="1">
      <c r="A378" s="21"/>
      <c r="B378" s="22"/>
      <c r="C378" s="22"/>
    </row>
    <row r="379" ht="14.25" customHeight="1">
      <c r="A379" s="21"/>
      <c r="B379" s="22"/>
      <c r="C379" s="22"/>
    </row>
    <row r="380" ht="14.25" customHeight="1">
      <c r="A380" s="21"/>
      <c r="B380" s="22"/>
      <c r="C380" s="22"/>
    </row>
    <row r="381" ht="14.25" customHeight="1">
      <c r="A381" s="21"/>
      <c r="B381" s="22"/>
      <c r="C381" s="22"/>
    </row>
    <row r="382" ht="14.25" customHeight="1">
      <c r="A382" s="21"/>
      <c r="B382" s="22"/>
      <c r="C382" s="22"/>
    </row>
    <row r="383" ht="14.25" customHeight="1">
      <c r="A383" s="21"/>
      <c r="B383" s="22"/>
      <c r="C383" s="22"/>
    </row>
    <row r="384" ht="14.25" customHeight="1">
      <c r="A384" s="21"/>
      <c r="B384" s="22"/>
      <c r="C384" s="22"/>
    </row>
    <row r="385" ht="14.25" customHeight="1">
      <c r="A385" s="21"/>
      <c r="B385" s="22"/>
      <c r="C385" s="22"/>
    </row>
    <row r="386" ht="14.25" customHeight="1">
      <c r="A386" s="21"/>
      <c r="B386" s="22"/>
      <c r="C386" s="22"/>
    </row>
    <row r="387" ht="14.25" customHeight="1">
      <c r="A387" s="21"/>
      <c r="B387" s="22"/>
      <c r="C387" s="22"/>
    </row>
    <row r="388" ht="14.25" customHeight="1">
      <c r="A388" s="21"/>
      <c r="B388" s="22"/>
      <c r="C388" s="22"/>
    </row>
    <row r="389" ht="14.25" customHeight="1">
      <c r="A389" s="21"/>
      <c r="B389" s="22"/>
      <c r="C389" s="22"/>
    </row>
    <row r="390" ht="14.25" customHeight="1">
      <c r="A390" s="21"/>
      <c r="B390" s="22"/>
      <c r="C390" s="22"/>
    </row>
    <row r="391" ht="14.25" customHeight="1">
      <c r="A391" s="21"/>
      <c r="B391" s="22"/>
      <c r="C391" s="22"/>
    </row>
    <row r="392" ht="14.25" customHeight="1">
      <c r="A392" s="21"/>
      <c r="B392" s="22"/>
      <c r="C392" s="22"/>
    </row>
    <row r="393" ht="14.25" customHeight="1">
      <c r="A393" s="21"/>
      <c r="B393" s="22"/>
      <c r="C393" s="22"/>
    </row>
    <row r="394" ht="14.25" customHeight="1">
      <c r="A394" s="21"/>
      <c r="B394" s="22"/>
      <c r="C394" s="22"/>
    </row>
    <row r="395" ht="14.25" customHeight="1">
      <c r="A395" s="21"/>
      <c r="B395" s="22"/>
      <c r="C395" s="22"/>
    </row>
    <row r="396" ht="14.25" customHeight="1">
      <c r="A396" s="21"/>
      <c r="B396" s="22"/>
      <c r="C396" s="22"/>
    </row>
    <row r="397" ht="14.25" customHeight="1">
      <c r="A397" s="21"/>
      <c r="B397" s="22"/>
      <c r="C397" s="22"/>
    </row>
    <row r="398" ht="14.25" customHeight="1">
      <c r="A398" s="21"/>
      <c r="B398" s="22"/>
      <c r="C398" s="22"/>
    </row>
    <row r="399" ht="14.25" customHeight="1">
      <c r="A399" s="21"/>
      <c r="B399" s="22"/>
      <c r="C399" s="22"/>
    </row>
    <row r="400" ht="14.25" customHeight="1">
      <c r="A400" s="21"/>
      <c r="B400" s="22"/>
      <c r="C400" s="22"/>
    </row>
    <row r="401" ht="14.25" customHeight="1">
      <c r="A401" s="21"/>
      <c r="B401" s="22"/>
      <c r="C401" s="22"/>
    </row>
    <row r="402" ht="14.25" customHeight="1">
      <c r="A402" s="21"/>
      <c r="B402" s="22"/>
      <c r="C402" s="22"/>
    </row>
    <row r="403" ht="14.25" customHeight="1">
      <c r="A403" s="21"/>
      <c r="B403" s="22"/>
      <c r="C403" s="22"/>
    </row>
    <row r="404" ht="14.25" customHeight="1">
      <c r="A404" s="21"/>
      <c r="B404" s="22"/>
      <c r="C404" s="22"/>
    </row>
    <row r="405" ht="14.25" customHeight="1">
      <c r="A405" s="21"/>
      <c r="B405" s="22"/>
      <c r="C405" s="22"/>
    </row>
    <row r="406" ht="14.25" customHeight="1">
      <c r="A406" s="21"/>
      <c r="B406" s="22"/>
      <c r="C406" s="22"/>
    </row>
    <row r="407" ht="14.25" customHeight="1">
      <c r="A407" s="21"/>
      <c r="B407" s="22"/>
      <c r="C407" s="22"/>
    </row>
    <row r="408" ht="14.25" customHeight="1">
      <c r="A408" s="21"/>
      <c r="B408" s="22"/>
      <c r="C408" s="22"/>
    </row>
    <row r="409" ht="14.25" customHeight="1">
      <c r="A409" s="21"/>
      <c r="B409" s="22"/>
      <c r="C409" s="22"/>
    </row>
    <row r="410" ht="14.25" customHeight="1">
      <c r="A410" s="21"/>
      <c r="B410" s="22"/>
      <c r="C410" s="22"/>
    </row>
    <row r="411" ht="14.25" customHeight="1">
      <c r="A411" s="21"/>
      <c r="B411" s="22"/>
      <c r="C411" s="22"/>
    </row>
    <row r="412" ht="14.25" customHeight="1">
      <c r="A412" s="21"/>
      <c r="B412" s="22"/>
      <c r="C412" s="22"/>
    </row>
    <row r="413" ht="14.25" customHeight="1">
      <c r="A413" s="21"/>
      <c r="B413" s="22"/>
      <c r="C413" s="22"/>
    </row>
    <row r="414" ht="14.25" customHeight="1">
      <c r="A414" s="21"/>
      <c r="B414" s="22"/>
      <c r="C414" s="22"/>
    </row>
    <row r="415" ht="14.25" customHeight="1">
      <c r="A415" s="21"/>
      <c r="B415" s="22"/>
      <c r="C415" s="22"/>
    </row>
    <row r="416" ht="14.25" customHeight="1">
      <c r="A416" s="21"/>
      <c r="B416" s="22"/>
      <c r="C416" s="22"/>
    </row>
    <row r="417" ht="14.25" customHeight="1">
      <c r="A417" s="21"/>
      <c r="B417" s="22"/>
      <c r="C417" s="22"/>
    </row>
    <row r="418" ht="14.25" customHeight="1">
      <c r="A418" s="21"/>
      <c r="B418" s="22"/>
      <c r="C418" s="22"/>
    </row>
    <row r="419" ht="14.25" customHeight="1">
      <c r="A419" s="21"/>
      <c r="B419" s="22"/>
      <c r="C419" s="22"/>
    </row>
    <row r="420" ht="14.25" customHeight="1">
      <c r="A420" s="21"/>
      <c r="B420" s="22"/>
      <c r="C420" s="22"/>
    </row>
    <row r="421" ht="14.25" customHeight="1">
      <c r="A421" s="21"/>
      <c r="B421" s="22"/>
      <c r="C421" s="22"/>
    </row>
    <row r="422" ht="14.25" customHeight="1">
      <c r="A422" s="21"/>
      <c r="B422" s="22"/>
      <c r="C422" s="22"/>
    </row>
    <row r="423" ht="14.25" customHeight="1">
      <c r="A423" s="21"/>
      <c r="B423" s="22"/>
      <c r="C423" s="22"/>
    </row>
    <row r="424" ht="14.25" customHeight="1">
      <c r="A424" s="21"/>
      <c r="B424" s="22"/>
      <c r="C424" s="22"/>
    </row>
    <row r="425" ht="14.25" customHeight="1">
      <c r="A425" s="21"/>
      <c r="B425" s="22"/>
      <c r="C425" s="22"/>
    </row>
    <row r="426" ht="14.25" customHeight="1">
      <c r="A426" s="21"/>
      <c r="B426" s="22"/>
      <c r="C426" s="22"/>
    </row>
    <row r="427" ht="14.25" customHeight="1">
      <c r="A427" s="21"/>
      <c r="B427" s="22"/>
      <c r="C427" s="22"/>
    </row>
    <row r="428" ht="14.25" customHeight="1">
      <c r="A428" s="21"/>
      <c r="B428" s="22"/>
      <c r="C428" s="22"/>
    </row>
    <row r="429" ht="14.25" customHeight="1">
      <c r="A429" s="21"/>
      <c r="B429" s="22"/>
      <c r="C429" s="22"/>
    </row>
    <row r="430" ht="14.25" customHeight="1">
      <c r="A430" s="21"/>
      <c r="B430" s="22"/>
      <c r="C430" s="22"/>
    </row>
    <row r="431" ht="14.25" customHeight="1">
      <c r="A431" s="21"/>
      <c r="B431" s="22"/>
      <c r="C431" s="22"/>
    </row>
    <row r="432" ht="14.25" customHeight="1">
      <c r="A432" s="21"/>
      <c r="B432" s="22"/>
      <c r="C432" s="22"/>
    </row>
    <row r="433" ht="14.25" customHeight="1">
      <c r="A433" s="21"/>
      <c r="B433" s="22"/>
      <c r="C433" s="22"/>
    </row>
    <row r="434" ht="14.25" customHeight="1">
      <c r="A434" s="21"/>
      <c r="B434" s="22"/>
      <c r="C434" s="22"/>
    </row>
    <row r="435" ht="14.25" customHeight="1">
      <c r="A435" s="21"/>
      <c r="B435" s="22"/>
      <c r="C435" s="22"/>
    </row>
    <row r="436" ht="14.25" customHeight="1">
      <c r="A436" s="21"/>
      <c r="B436" s="22"/>
      <c r="C436" s="22"/>
    </row>
    <row r="437" ht="14.25" customHeight="1">
      <c r="A437" s="21"/>
      <c r="B437" s="22"/>
      <c r="C437" s="22"/>
    </row>
    <row r="438" ht="14.25" customHeight="1">
      <c r="A438" s="21"/>
      <c r="B438" s="22"/>
      <c r="C438" s="22"/>
    </row>
    <row r="439" ht="14.25" customHeight="1">
      <c r="A439" s="21"/>
      <c r="B439" s="22"/>
      <c r="C439" s="22"/>
    </row>
    <row r="440" ht="14.25" customHeight="1">
      <c r="A440" s="21"/>
      <c r="B440" s="22"/>
      <c r="C440" s="22"/>
    </row>
    <row r="441" ht="14.25" customHeight="1">
      <c r="A441" s="21"/>
      <c r="B441" s="22"/>
      <c r="C441" s="22"/>
    </row>
    <row r="442" ht="14.25" customHeight="1">
      <c r="A442" s="21"/>
      <c r="B442" s="22"/>
      <c r="C442" s="22"/>
    </row>
    <row r="443" ht="14.25" customHeight="1">
      <c r="A443" s="21"/>
      <c r="B443" s="22"/>
      <c r="C443" s="22"/>
    </row>
    <row r="444" ht="14.25" customHeight="1">
      <c r="A444" s="21"/>
      <c r="B444" s="22"/>
      <c r="C444" s="22"/>
    </row>
    <row r="445" ht="14.25" customHeight="1">
      <c r="A445" s="21"/>
      <c r="B445" s="22"/>
      <c r="C445" s="22"/>
    </row>
    <row r="446" ht="14.25" customHeight="1">
      <c r="A446" s="21"/>
      <c r="B446" s="22"/>
      <c r="C446" s="22"/>
    </row>
    <row r="447" ht="14.25" customHeight="1">
      <c r="A447" s="21"/>
      <c r="B447" s="22"/>
      <c r="C447" s="22"/>
    </row>
    <row r="448" ht="14.25" customHeight="1">
      <c r="A448" s="21"/>
      <c r="B448" s="22"/>
      <c r="C448" s="22"/>
    </row>
    <row r="449" ht="14.25" customHeight="1">
      <c r="A449" s="21"/>
      <c r="B449" s="22"/>
      <c r="C449" s="22"/>
    </row>
    <row r="450" ht="14.25" customHeight="1">
      <c r="A450" s="21"/>
      <c r="B450" s="22"/>
      <c r="C450" s="22"/>
    </row>
    <row r="451" ht="14.25" customHeight="1">
      <c r="A451" s="21"/>
      <c r="B451" s="22"/>
      <c r="C451" s="22"/>
    </row>
    <row r="452" ht="14.25" customHeight="1">
      <c r="A452" s="21"/>
      <c r="B452" s="22"/>
      <c r="C452" s="22"/>
    </row>
    <row r="453" ht="14.25" customHeight="1">
      <c r="A453" s="21"/>
      <c r="B453" s="22"/>
      <c r="C453" s="22"/>
    </row>
    <row r="454" ht="14.25" customHeight="1">
      <c r="A454" s="21"/>
      <c r="B454" s="22"/>
      <c r="C454" s="22"/>
    </row>
    <row r="455" ht="14.25" customHeight="1">
      <c r="A455" s="21"/>
      <c r="B455" s="22"/>
      <c r="C455" s="22"/>
    </row>
    <row r="456" ht="14.25" customHeight="1">
      <c r="A456" s="21"/>
      <c r="B456" s="22"/>
      <c r="C456" s="22"/>
    </row>
    <row r="457" ht="14.25" customHeight="1">
      <c r="A457" s="21"/>
      <c r="B457" s="22"/>
      <c r="C457" s="22"/>
    </row>
    <row r="458" ht="14.25" customHeight="1">
      <c r="A458" s="21"/>
      <c r="B458" s="22"/>
      <c r="C458" s="22"/>
    </row>
    <row r="459" ht="14.25" customHeight="1">
      <c r="A459" s="21"/>
      <c r="B459" s="22"/>
      <c r="C459" s="22"/>
    </row>
    <row r="460" ht="14.25" customHeight="1">
      <c r="A460" s="21"/>
      <c r="B460" s="22"/>
      <c r="C460" s="22"/>
    </row>
    <row r="461" ht="14.25" customHeight="1">
      <c r="A461" s="21"/>
      <c r="B461" s="22"/>
      <c r="C461" s="22"/>
    </row>
    <row r="462" ht="14.25" customHeight="1">
      <c r="A462" s="21"/>
      <c r="B462" s="22"/>
      <c r="C462" s="22"/>
    </row>
    <row r="463" ht="14.25" customHeight="1">
      <c r="A463" s="21"/>
      <c r="B463" s="22"/>
      <c r="C463" s="22"/>
    </row>
    <row r="464" ht="14.25" customHeight="1">
      <c r="A464" s="21"/>
      <c r="B464" s="22"/>
      <c r="C464" s="22"/>
    </row>
    <row r="465" ht="14.25" customHeight="1">
      <c r="A465" s="21"/>
      <c r="B465" s="22"/>
      <c r="C465" s="22"/>
    </row>
    <row r="466" ht="14.25" customHeight="1">
      <c r="A466" s="21"/>
      <c r="B466" s="22"/>
      <c r="C466" s="22"/>
    </row>
    <row r="467" ht="14.25" customHeight="1">
      <c r="A467" s="21"/>
      <c r="B467" s="22"/>
      <c r="C467" s="22"/>
    </row>
    <row r="468" ht="14.25" customHeight="1">
      <c r="A468" s="21"/>
      <c r="B468" s="22"/>
      <c r="C468" s="22"/>
    </row>
    <row r="469" ht="14.25" customHeight="1">
      <c r="A469" s="21"/>
      <c r="B469" s="22"/>
      <c r="C469" s="22"/>
    </row>
    <row r="470" ht="14.25" customHeight="1">
      <c r="A470" s="21"/>
      <c r="B470" s="22"/>
      <c r="C470" s="22"/>
    </row>
    <row r="471" ht="14.25" customHeight="1">
      <c r="A471" s="21"/>
      <c r="B471" s="22"/>
      <c r="C471" s="22"/>
    </row>
    <row r="472" ht="14.25" customHeight="1">
      <c r="A472" s="21"/>
      <c r="B472" s="22"/>
      <c r="C472" s="22"/>
    </row>
    <row r="473" ht="14.25" customHeight="1">
      <c r="A473" s="21"/>
      <c r="B473" s="22"/>
      <c r="C473" s="22"/>
    </row>
    <row r="474" ht="14.25" customHeight="1">
      <c r="A474" s="21"/>
      <c r="B474" s="22"/>
      <c r="C474" s="22"/>
    </row>
    <row r="475" ht="14.25" customHeight="1">
      <c r="A475" s="21"/>
      <c r="B475" s="22"/>
      <c r="C475" s="22"/>
    </row>
    <row r="476" ht="14.25" customHeight="1">
      <c r="A476" s="21"/>
      <c r="B476" s="22"/>
      <c r="C476" s="22"/>
    </row>
    <row r="477" ht="14.25" customHeight="1">
      <c r="A477" s="21"/>
      <c r="B477" s="22"/>
      <c r="C477" s="22"/>
    </row>
    <row r="478" ht="14.25" customHeight="1">
      <c r="A478" s="21"/>
      <c r="B478" s="22"/>
      <c r="C478" s="22"/>
    </row>
    <row r="479" ht="14.25" customHeight="1">
      <c r="A479" s="21"/>
      <c r="B479" s="22"/>
      <c r="C479" s="22"/>
    </row>
    <row r="480" ht="14.25" customHeight="1">
      <c r="A480" s="21"/>
      <c r="B480" s="22"/>
      <c r="C480" s="22"/>
    </row>
    <row r="481" ht="14.25" customHeight="1">
      <c r="A481" s="21"/>
      <c r="B481" s="22"/>
      <c r="C481" s="22"/>
    </row>
    <row r="482" ht="14.25" customHeight="1">
      <c r="A482" s="21"/>
      <c r="B482" s="22"/>
      <c r="C482" s="22"/>
    </row>
    <row r="483" ht="14.25" customHeight="1">
      <c r="A483" s="21"/>
      <c r="B483" s="22"/>
      <c r="C483" s="22"/>
    </row>
    <row r="484" ht="14.25" customHeight="1">
      <c r="A484" s="21"/>
      <c r="B484" s="22"/>
      <c r="C484" s="22"/>
    </row>
    <row r="485" ht="14.25" customHeight="1">
      <c r="A485" s="21"/>
      <c r="B485" s="22"/>
      <c r="C485" s="22"/>
    </row>
    <row r="486" ht="14.25" customHeight="1">
      <c r="A486" s="21"/>
      <c r="B486" s="22"/>
      <c r="C486" s="22"/>
    </row>
    <row r="487" ht="14.25" customHeight="1">
      <c r="A487" s="21"/>
      <c r="B487" s="22"/>
      <c r="C487" s="22"/>
    </row>
    <row r="488" ht="14.25" customHeight="1">
      <c r="A488" s="21"/>
      <c r="B488" s="22"/>
      <c r="C488" s="22"/>
    </row>
    <row r="489" ht="14.25" customHeight="1">
      <c r="A489" s="21"/>
      <c r="B489" s="22"/>
      <c r="C489" s="22"/>
    </row>
    <row r="490" ht="14.25" customHeight="1">
      <c r="A490" s="21"/>
      <c r="B490" s="22"/>
      <c r="C490" s="22"/>
    </row>
    <row r="491" ht="14.25" customHeight="1">
      <c r="A491" s="21"/>
      <c r="B491" s="22"/>
      <c r="C491" s="22"/>
    </row>
    <row r="492" ht="14.25" customHeight="1">
      <c r="A492" s="21"/>
      <c r="B492" s="22"/>
      <c r="C492" s="22"/>
    </row>
    <row r="493" ht="14.25" customHeight="1">
      <c r="A493" s="21"/>
      <c r="B493" s="22"/>
      <c r="C493" s="22"/>
    </row>
    <row r="494" ht="14.25" customHeight="1">
      <c r="A494" s="21"/>
      <c r="B494" s="22"/>
      <c r="C494" s="22"/>
    </row>
    <row r="495" ht="14.25" customHeight="1">
      <c r="A495" s="21"/>
      <c r="B495" s="22"/>
      <c r="C495" s="22"/>
    </row>
    <row r="496" ht="14.25" customHeight="1">
      <c r="A496" s="21"/>
      <c r="B496" s="22"/>
      <c r="C496" s="22"/>
    </row>
    <row r="497" ht="14.25" customHeight="1">
      <c r="A497" s="21"/>
      <c r="B497" s="22"/>
      <c r="C497" s="22"/>
    </row>
    <row r="498" ht="14.25" customHeight="1">
      <c r="A498" s="21"/>
      <c r="B498" s="22"/>
      <c r="C498" s="22"/>
    </row>
    <row r="499" ht="14.25" customHeight="1">
      <c r="A499" s="21"/>
      <c r="B499" s="22"/>
      <c r="C499" s="22"/>
    </row>
    <row r="500" ht="14.25" customHeight="1">
      <c r="A500" s="21"/>
      <c r="B500" s="22"/>
      <c r="C500" s="22"/>
    </row>
    <row r="501" ht="14.25" customHeight="1">
      <c r="A501" s="21"/>
      <c r="B501" s="22"/>
      <c r="C501" s="22"/>
    </row>
    <row r="502" ht="14.25" customHeight="1">
      <c r="A502" s="21"/>
      <c r="B502" s="22"/>
      <c r="C502" s="22"/>
    </row>
    <row r="503" ht="14.25" customHeight="1">
      <c r="A503" s="21"/>
      <c r="B503" s="22"/>
      <c r="C503" s="22"/>
    </row>
    <row r="504" ht="14.25" customHeight="1">
      <c r="A504" s="21"/>
      <c r="B504" s="22"/>
      <c r="C504" s="22"/>
    </row>
    <row r="505" ht="14.25" customHeight="1">
      <c r="A505" s="21"/>
      <c r="B505" s="22"/>
      <c r="C505" s="22"/>
    </row>
    <row r="506" ht="14.25" customHeight="1">
      <c r="A506" s="21"/>
      <c r="B506" s="22"/>
      <c r="C506" s="22"/>
    </row>
    <row r="507" ht="14.25" customHeight="1">
      <c r="A507" s="21"/>
      <c r="B507" s="22"/>
      <c r="C507" s="22"/>
    </row>
    <row r="508" ht="14.25" customHeight="1">
      <c r="A508" s="21"/>
      <c r="B508" s="22"/>
      <c r="C508" s="22"/>
    </row>
    <row r="509" ht="14.25" customHeight="1">
      <c r="A509" s="21"/>
      <c r="B509" s="22"/>
      <c r="C509" s="22"/>
    </row>
    <row r="510" ht="14.25" customHeight="1">
      <c r="A510" s="21"/>
      <c r="B510" s="22"/>
      <c r="C510" s="22"/>
    </row>
    <row r="511" ht="14.25" customHeight="1">
      <c r="A511" s="21"/>
      <c r="B511" s="22"/>
      <c r="C511" s="22"/>
    </row>
    <row r="512" ht="14.25" customHeight="1">
      <c r="A512" s="21"/>
      <c r="B512" s="22"/>
      <c r="C512" s="22"/>
    </row>
    <row r="513" ht="14.25" customHeight="1">
      <c r="A513" s="21"/>
      <c r="B513" s="22"/>
      <c r="C513" s="22"/>
    </row>
    <row r="514" ht="14.25" customHeight="1">
      <c r="A514" s="21"/>
      <c r="B514" s="22"/>
      <c r="C514" s="22"/>
    </row>
    <row r="515" ht="14.25" customHeight="1">
      <c r="A515" s="21"/>
      <c r="B515" s="22"/>
      <c r="C515" s="22"/>
    </row>
    <row r="516" ht="14.25" customHeight="1">
      <c r="A516" s="21"/>
      <c r="B516" s="22"/>
      <c r="C516" s="22"/>
    </row>
    <row r="517" ht="14.25" customHeight="1">
      <c r="A517" s="21"/>
      <c r="B517" s="22"/>
      <c r="C517" s="22"/>
    </row>
    <row r="518" ht="14.25" customHeight="1">
      <c r="A518" s="21"/>
      <c r="B518" s="22"/>
      <c r="C518" s="22"/>
    </row>
    <row r="519" ht="14.25" customHeight="1">
      <c r="A519" s="21"/>
      <c r="B519" s="22"/>
      <c r="C519" s="22"/>
    </row>
    <row r="520" ht="14.25" customHeight="1">
      <c r="A520" s="21"/>
      <c r="B520" s="22"/>
      <c r="C520" s="22"/>
    </row>
    <row r="521" ht="14.25" customHeight="1">
      <c r="A521" s="21"/>
      <c r="B521" s="22"/>
      <c r="C521" s="22"/>
    </row>
    <row r="522" ht="14.25" customHeight="1">
      <c r="A522" s="21"/>
      <c r="B522" s="22"/>
      <c r="C522" s="22"/>
    </row>
    <row r="523" ht="14.25" customHeight="1">
      <c r="A523" s="21"/>
      <c r="B523" s="22"/>
      <c r="C523" s="22"/>
    </row>
    <row r="524" ht="14.25" customHeight="1">
      <c r="A524" s="21"/>
      <c r="B524" s="22"/>
      <c r="C524" s="22"/>
    </row>
    <row r="525" ht="14.25" customHeight="1">
      <c r="A525" s="21"/>
      <c r="B525" s="22"/>
      <c r="C525" s="22"/>
    </row>
    <row r="526" ht="14.25" customHeight="1">
      <c r="A526" s="21"/>
      <c r="B526" s="22"/>
      <c r="C526" s="22"/>
    </row>
    <row r="527" ht="14.25" customHeight="1">
      <c r="A527" s="21"/>
      <c r="B527" s="22"/>
      <c r="C527" s="22"/>
    </row>
    <row r="528" ht="14.25" customHeight="1">
      <c r="A528" s="21"/>
      <c r="B528" s="22"/>
      <c r="C528" s="22"/>
    </row>
    <row r="529" ht="14.25" customHeight="1">
      <c r="A529" s="21"/>
      <c r="B529" s="22"/>
      <c r="C529" s="22"/>
    </row>
    <row r="530" ht="14.25" customHeight="1">
      <c r="A530" s="21"/>
      <c r="B530" s="22"/>
      <c r="C530" s="22"/>
    </row>
    <row r="531" ht="14.25" customHeight="1">
      <c r="A531" s="21"/>
      <c r="B531" s="22"/>
      <c r="C531" s="22"/>
    </row>
    <row r="532" ht="14.25" customHeight="1">
      <c r="A532" s="21"/>
      <c r="B532" s="22"/>
      <c r="C532" s="22"/>
    </row>
    <row r="533" ht="14.25" customHeight="1">
      <c r="A533" s="21"/>
      <c r="B533" s="22"/>
      <c r="C533" s="22"/>
    </row>
    <row r="534" ht="14.25" customHeight="1">
      <c r="A534" s="21"/>
      <c r="B534" s="22"/>
      <c r="C534" s="22"/>
    </row>
    <row r="535" ht="14.25" customHeight="1">
      <c r="A535" s="21"/>
      <c r="B535" s="22"/>
      <c r="C535" s="22"/>
    </row>
    <row r="536" ht="14.25" customHeight="1">
      <c r="A536" s="21"/>
      <c r="B536" s="22"/>
      <c r="C536" s="22"/>
    </row>
    <row r="537" ht="14.25" customHeight="1">
      <c r="A537" s="21"/>
      <c r="B537" s="22"/>
      <c r="C537" s="22"/>
    </row>
    <row r="538" ht="14.25" customHeight="1">
      <c r="A538" s="21"/>
      <c r="B538" s="22"/>
      <c r="C538" s="22"/>
    </row>
    <row r="539" ht="14.25" customHeight="1">
      <c r="A539" s="21"/>
      <c r="B539" s="22"/>
      <c r="C539" s="22"/>
    </row>
    <row r="540" ht="14.25" customHeight="1">
      <c r="A540" s="21"/>
      <c r="B540" s="22"/>
      <c r="C540" s="22"/>
    </row>
    <row r="541" ht="14.25" customHeight="1">
      <c r="A541" s="21"/>
      <c r="B541" s="22"/>
      <c r="C541" s="22"/>
    </row>
    <row r="542" ht="14.25" customHeight="1">
      <c r="A542" s="21"/>
      <c r="B542" s="22"/>
      <c r="C542" s="22"/>
    </row>
    <row r="543" ht="14.25" customHeight="1">
      <c r="A543" s="21"/>
      <c r="B543" s="22"/>
      <c r="C543" s="22"/>
    </row>
    <row r="544" ht="14.25" customHeight="1">
      <c r="A544" s="21"/>
      <c r="B544" s="22"/>
      <c r="C544" s="22"/>
    </row>
    <row r="545" ht="14.25" customHeight="1">
      <c r="A545" s="21"/>
      <c r="B545" s="22"/>
      <c r="C545" s="22"/>
    </row>
    <row r="546" ht="14.25" customHeight="1">
      <c r="A546" s="21"/>
      <c r="B546" s="22"/>
      <c r="C546" s="22"/>
    </row>
    <row r="547" ht="14.25" customHeight="1">
      <c r="A547" s="21"/>
      <c r="B547" s="22"/>
      <c r="C547" s="22"/>
    </row>
    <row r="548" ht="14.25" customHeight="1">
      <c r="A548" s="21"/>
      <c r="B548" s="22"/>
      <c r="C548" s="22"/>
    </row>
    <row r="549" ht="14.25" customHeight="1">
      <c r="A549" s="21"/>
      <c r="B549" s="22"/>
      <c r="C549" s="22"/>
    </row>
    <row r="550" ht="14.25" customHeight="1">
      <c r="A550" s="21"/>
      <c r="B550" s="22"/>
      <c r="C550" s="22"/>
    </row>
    <row r="551" ht="14.25" customHeight="1">
      <c r="A551" s="21"/>
      <c r="B551" s="22"/>
      <c r="C551" s="22"/>
    </row>
    <row r="552" ht="14.25" customHeight="1">
      <c r="A552" s="21"/>
      <c r="B552" s="22"/>
      <c r="C552" s="22"/>
    </row>
    <row r="553" ht="14.25" customHeight="1">
      <c r="A553" s="21"/>
      <c r="B553" s="22"/>
      <c r="C553" s="22"/>
    </row>
    <row r="554" ht="14.25" customHeight="1">
      <c r="A554" s="21"/>
      <c r="B554" s="22"/>
      <c r="C554" s="22"/>
    </row>
    <row r="555" ht="14.25" customHeight="1">
      <c r="A555" s="21"/>
      <c r="B555" s="22"/>
      <c r="C555" s="22"/>
    </row>
    <row r="556" ht="14.25" customHeight="1">
      <c r="A556" s="21"/>
      <c r="B556" s="22"/>
      <c r="C556" s="22"/>
    </row>
    <row r="557" ht="14.25" customHeight="1">
      <c r="A557" s="21"/>
      <c r="B557" s="22"/>
      <c r="C557" s="22"/>
    </row>
    <row r="558" ht="14.25" customHeight="1">
      <c r="A558" s="21"/>
      <c r="B558" s="22"/>
      <c r="C558" s="22"/>
    </row>
    <row r="559" ht="14.25" customHeight="1">
      <c r="A559" s="21"/>
      <c r="B559" s="22"/>
      <c r="C559" s="22"/>
    </row>
    <row r="560" ht="14.25" customHeight="1">
      <c r="A560" s="21"/>
      <c r="B560" s="22"/>
      <c r="C560" s="22"/>
    </row>
    <row r="561" ht="14.25" customHeight="1">
      <c r="A561" s="21"/>
      <c r="B561" s="22"/>
      <c r="C561" s="22"/>
    </row>
    <row r="562" ht="14.25" customHeight="1">
      <c r="A562" s="21"/>
      <c r="B562" s="22"/>
      <c r="C562" s="22"/>
    </row>
    <row r="563" ht="14.25" customHeight="1">
      <c r="A563" s="21"/>
      <c r="B563" s="22"/>
      <c r="C563" s="22"/>
    </row>
    <row r="564" ht="14.25" customHeight="1">
      <c r="A564" s="21"/>
      <c r="B564" s="22"/>
      <c r="C564" s="22"/>
    </row>
    <row r="565" ht="14.25" customHeight="1">
      <c r="A565" s="21"/>
      <c r="B565" s="22"/>
      <c r="C565" s="22"/>
    </row>
    <row r="566" ht="14.25" customHeight="1">
      <c r="A566" s="21"/>
      <c r="B566" s="22"/>
      <c r="C566" s="22"/>
    </row>
    <row r="567" ht="14.25" customHeight="1">
      <c r="A567" s="21"/>
      <c r="B567" s="22"/>
      <c r="C567" s="22"/>
    </row>
    <row r="568" ht="14.25" customHeight="1">
      <c r="A568" s="21"/>
      <c r="B568" s="22"/>
      <c r="C568" s="22"/>
    </row>
    <row r="569" ht="14.25" customHeight="1">
      <c r="A569" s="21"/>
      <c r="B569" s="22"/>
      <c r="C569" s="22"/>
    </row>
    <row r="570" ht="14.25" customHeight="1">
      <c r="A570" s="21"/>
      <c r="B570" s="22"/>
      <c r="C570" s="22"/>
    </row>
    <row r="571" ht="14.25" customHeight="1">
      <c r="A571" s="21"/>
      <c r="B571" s="22"/>
      <c r="C571" s="22"/>
    </row>
    <row r="572" ht="14.25" customHeight="1">
      <c r="A572" s="21"/>
      <c r="B572" s="22"/>
      <c r="C572" s="22"/>
    </row>
    <row r="573" ht="14.25" customHeight="1">
      <c r="A573" s="21"/>
      <c r="B573" s="22"/>
      <c r="C573" s="22"/>
    </row>
    <row r="574" ht="14.25" customHeight="1">
      <c r="A574" s="21"/>
      <c r="B574" s="22"/>
      <c r="C574" s="22"/>
    </row>
    <row r="575" ht="14.25" customHeight="1">
      <c r="A575" s="21"/>
      <c r="B575" s="22"/>
      <c r="C575" s="22"/>
    </row>
    <row r="576" ht="14.25" customHeight="1">
      <c r="A576" s="21"/>
      <c r="B576" s="22"/>
      <c r="C576" s="22"/>
    </row>
    <row r="577" ht="14.25" customHeight="1">
      <c r="A577" s="21"/>
      <c r="B577" s="22"/>
      <c r="C577" s="22"/>
    </row>
    <row r="578" ht="14.25" customHeight="1">
      <c r="A578" s="21"/>
      <c r="B578" s="22"/>
      <c r="C578" s="22"/>
    </row>
    <row r="579" ht="14.25" customHeight="1">
      <c r="A579" s="21"/>
      <c r="B579" s="22"/>
      <c r="C579" s="22"/>
    </row>
    <row r="580" ht="14.25" customHeight="1">
      <c r="A580" s="21"/>
      <c r="B580" s="22"/>
      <c r="C580" s="22"/>
    </row>
    <row r="581" ht="14.25" customHeight="1">
      <c r="A581" s="21"/>
      <c r="B581" s="22"/>
      <c r="C581" s="22"/>
    </row>
    <row r="582" ht="14.25" customHeight="1">
      <c r="A582" s="21"/>
      <c r="B582" s="22"/>
      <c r="C582" s="22"/>
    </row>
    <row r="583" ht="14.25" customHeight="1">
      <c r="A583" s="21"/>
      <c r="B583" s="22"/>
      <c r="C583" s="22"/>
    </row>
    <row r="584" ht="14.25" customHeight="1">
      <c r="A584" s="21"/>
      <c r="B584" s="22"/>
      <c r="C584" s="22"/>
    </row>
    <row r="585" ht="14.25" customHeight="1">
      <c r="A585" s="21"/>
      <c r="B585" s="22"/>
      <c r="C585" s="22"/>
    </row>
    <row r="586" ht="14.25" customHeight="1">
      <c r="A586" s="21"/>
      <c r="B586" s="22"/>
      <c r="C586" s="22"/>
    </row>
    <row r="587" ht="14.25" customHeight="1">
      <c r="A587" s="21"/>
      <c r="B587" s="22"/>
      <c r="C587" s="22"/>
    </row>
    <row r="588" ht="14.25" customHeight="1">
      <c r="A588" s="21"/>
      <c r="B588" s="22"/>
      <c r="C588" s="22"/>
    </row>
    <row r="589" ht="14.25" customHeight="1">
      <c r="A589" s="21"/>
      <c r="B589" s="22"/>
      <c r="C589" s="22"/>
    </row>
    <row r="590" ht="14.25" customHeight="1">
      <c r="A590" s="21"/>
      <c r="B590" s="22"/>
      <c r="C590" s="22"/>
    </row>
    <row r="591" ht="14.25" customHeight="1">
      <c r="A591" s="21"/>
      <c r="B591" s="22"/>
      <c r="C591" s="22"/>
    </row>
    <row r="592" ht="14.25" customHeight="1">
      <c r="A592" s="21"/>
      <c r="B592" s="22"/>
      <c r="C592" s="22"/>
    </row>
    <row r="593" ht="14.25" customHeight="1">
      <c r="A593" s="21"/>
      <c r="B593" s="22"/>
      <c r="C593" s="22"/>
    </row>
    <row r="594" ht="14.25" customHeight="1">
      <c r="A594" s="21"/>
      <c r="B594" s="22"/>
      <c r="C594" s="22"/>
    </row>
    <row r="595" ht="14.25" customHeight="1">
      <c r="A595" s="21"/>
      <c r="B595" s="22"/>
      <c r="C595" s="22"/>
    </row>
    <row r="596" ht="14.25" customHeight="1">
      <c r="A596" s="21"/>
      <c r="B596" s="22"/>
      <c r="C596" s="22"/>
    </row>
    <row r="597" ht="14.25" customHeight="1">
      <c r="A597" s="21"/>
      <c r="B597" s="22"/>
      <c r="C597" s="22"/>
    </row>
    <row r="598" ht="14.25" customHeight="1">
      <c r="A598" s="21"/>
      <c r="B598" s="22"/>
      <c r="C598" s="22"/>
    </row>
    <row r="599" ht="14.25" customHeight="1">
      <c r="A599" s="21"/>
      <c r="B599" s="22"/>
      <c r="C599" s="22"/>
    </row>
    <row r="600" ht="14.25" customHeight="1">
      <c r="A600" s="21"/>
      <c r="B600" s="22"/>
      <c r="C600" s="22"/>
    </row>
    <row r="601" ht="14.25" customHeight="1">
      <c r="A601" s="21"/>
      <c r="B601" s="22"/>
      <c r="C601" s="22"/>
    </row>
    <row r="602" ht="14.25" customHeight="1">
      <c r="A602" s="21"/>
      <c r="B602" s="22"/>
      <c r="C602" s="22"/>
    </row>
    <row r="603" ht="14.25" customHeight="1">
      <c r="A603" s="21"/>
      <c r="B603" s="22"/>
      <c r="C603" s="22"/>
    </row>
    <row r="604" ht="14.25" customHeight="1">
      <c r="A604" s="21"/>
      <c r="B604" s="22"/>
      <c r="C604" s="22"/>
    </row>
    <row r="605" ht="14.25" customHeight="1">
      <c r="A605" s="21"/>
      <c r="B605" s="22"/>
      <c r="C605" s="22"/>
    </row>
    <row r="606" ht="14.25" customHeight="1">
      <c r="A606" s="21"/>
      <c r="B606" s="22"/>
      <c r="C606" s="22"/>
    </row>
    <row r="607" ht="14.25" customHeight="1">
      <c r="A607" s="21"/>
      <c r="B607" s="22"/>
      <c r="C607" s="22"/>
    </row>
    <row r="608" ht="14.25" customHeight="1">
      <c r="A608" s="21"/>
      <c r="B608" s="22"/>
      <c r="C608" s="22"/>
    </row>
    <row r="609" ht="14.25" customHeight="1">
      <c r="A609" s="21"/>
      <c r="B609" s="22"/>
      <c r="C609" s="22"/>
    </row>
    <row r="610" ht="14.25" customHeight="1">
      <c r="A610" s="21"/>
      <c r="B610" s="22"/>
      <c r="C610" s="22"/>
    </row>
    <row r="611" ht="14.25" customHeight="1">
      <c r="A611" s="21"/>
      <c r="B611" s="22"/>
      <c r="C611" s="22"/>
    </row>
    <row r="612" ht="14.25" customHeight="1">
      <c r="A612" s="21"/>
      <c r="B612" s="22"/>
      <c r="C612" s="22"/>
    </row>
    <row r="613" ht="14.25" customHeight="1">
      <c r="A613" s="21"/>
      <c r="B613" s="22"/>
      <c r="C613" s="22"/>
    </row>
    <row r="614" ht="14.25" customHeight="1">
      <c r="A614" s="21"/>
      <c r="B614" s="22"/>
      <c r="C614" s="22"/>
    </row>
    <row r="615" ht="14.25" customHeight="1">
      <c r="A615" s="21"/>
      <c r="B615" s="22"/>
      <c r="C615" s="22"/>
    </row>
    <row r="616" ht="14.25" customHeight="1">
      <c r="A616" s="21"/>
      <c r="B616" s="22"/>
      <c r="C616" s="22"/>
    </row>
    <row r="617" ht="14.25" customHeight="1">
      <c r="A617" s="21"/>
      <c r="B617" s="22"/>
      <c r="C617" s="22"/>
    </row>
    <row r="618" ht="14.25" customHeight="1">
      <c r="A618" s="21"/>
      <c r="B618" s="22"/>
      <c r="C618" s="22"/>
    </row>
    <row r="619" ht="14.25" customHeight="1">
      <c r="A619" s="21"/>
      <c r="B619" s="22"/>
      <c r="C619" s="22"/>
    </row>
    <row r="620" ht="14.25" customHeight="1">
      <c r="A620" s="21"/>
      <c r="B620" s="22"/>
      <c r="C620" s="22"/>
    </row>
    <row r="621" ht="14.25" customHeight="1">
      <c r="A621" s="21"/>
      <c r="B621" s="22"/>
      <c r="C621" s="22"/>
    </row>
    <row r="622" ht="14.25" customHeight="1">
      <c r="A622" s="21"/>
      <c r="B622" s="22"/>
      <c r="C622" s="22"/>
    </row>
    <row r="623" ht="14.25" customHeight="1">
      <c r="A623" s="21"/>
      <c r="B623" s="22"/>
      <c r="C623" s="22"/>
    </row>
    <row r="624" ht="14.25" customHeight="1">
      <c r="A624" s="21"/>
      <c r="B624" s="22"/>
      <c r="C624" s="22"/>
    </row>
    <row r="625" ht="14.25" customHeight="1">
      <c r="A625" s="21"/>
      <c r="B625" s="22"/>
      <c r="C625" s="22"/>
    </row>
    <row r="626" ht="14.25" customHeight="1">
      <c r="A626" s="21"/>
      <c r="B626" s="22"/>
      <c r="C626" s="22"/>
    </row>
    <row r="627" ht="14.25" customHeight="1">
      <c r="A627" s="21"/>
      <c r="B627" s="22"/>
      <c r="C627" s="22"/>
    </row>
    <row r="628" ht="14.25" customHeight="1">
      <c r="A628" s="21"/>
      <c r="B628" s="22"/>
      <c r="C628" s="22"/>
    </row>
    <row r="629" ht="14.25" customHeight="1">
      <c r="A629" s="21"/>
      <c r="B629" s="22"/>
      <c r="C629" s="22"/>
    </row>
    <row r="630" ht="14.25" customHeight="1">
      <c r="A630" s="21"/>
      <c r="B630" s="22"/>
      <c r="C630" s="22"/>
    </row>
    <row r="631" ht="14.25" customHeight="1">
      <c r="A631" s="21"/>
      <c r="B631" s="22"/>
      <c r="C631" s="22"/>
    </row>
    <row r="632" ht="14.25" customHeight="1">
      <c r="A632" s="21"/>
      <c r="B632" s="22"/>
      <c r="C632" s="22"/>
    </row>
    <row r="633" ht="14.25" customHeight="1">
      <c r="A633" s="21"/>
      <c r="B633" s="22"/>
      <c r="C633" s="22"/>
    </row>
    <row r="634" ht="14.25" customHeight="1">
      <c r="A634" s="21"/>
      <c r="B634" s="22"/>
      <c r="C634" s="22"/>
    </row>
    <row r="635" ht="14.25" customHeight="1">
      <c r="A635" s="21"/>
      <c r="B635" s="22"/>
      <c r="C635" s="22"/>
    </row>
    <row r="636" ht="14.25" customHeight="1">
      <c r="A636" s="21"/>
      <c r="B636" s="22"/>
      <c r="C636" s="22"/>
    </row>
    <row r="637" ht="14.25" customHeight="1">
      <c r="A637" s="21"/>
      <c r="B637" s="22"/>
      <c r="C637" s="22"/>
    </row>
    <row r="638" ht="14.25" customHeight="1">
      <c r="A638" s="21"/>
      <c r="B638" s="22"/>
      <c r="C638" s="22"/>
    </row>
    <row r="639" ht="14.25" customHeight="1">
      <c r="A639" s="21"/>
      <c r="B639" s="22"/>
      <c r="C639" s="22"/>
    </row>
    <row r="640" ht="14.25" customHeight="1">
      <c r="A640" s="21"/>
      <c r="B640" s="22"/>
      <c r="C640" s="22"/>
    </row>
    <row r="641" ht="14.25" customHeight="1">
      <c r="A641" s="21"/>
      <c r="B641" s="22"/>
      <c r="C641" s="22"/>
    </row>
    <row r="642" ht="14.25" customHeight="1">
      <c r="A642" s="21"/>
      <c r="B642" s="22"/>
      <c r="C642" s="22"/>
    </row>
    <row r="643" ht="14.25" customHeight="1">
      <c r="A643" s="21"/>
      <c r="B643" s="22"/>
      <c r="C643" s="22"/>
    </row>
    <row r="644" ht="14.25" customHeight="1">
      <c r="A644" s="21"/>
      <c r="B644" s="22"/>
      <c r="C644" s="22"/>
    </row>
    <row r="645" ht="14.25" customHeight="1">
      <c r="A645" s="21"/>
      <c r="B645" s="22"/>
      <c r="C645" s="22"/>
    </row>
    <row r="646" ht="14.25" customHeight="1">
      <c r="A646" s="21"/>
      <c r="B646" s="22"/>
      <c r="C646" s="22"/>
    </row>
    <row r="647" ht="14.25" customHeight="1">
      <c r="A647" s="21"/>
      <c r="B647" s="22"/>
      <c r="C647" s="22"/>
    </row>
    <row r="648" ht="14.25" customHeight="1">
      <c r="A648" s="21"/>
      <c r="B648" s="22"/>
      <c r="C648" s="22"/>
    </row>
    <row r="649" ht="14.25" customHeight="1">
      <c r="A649" s="21"/>
      <c r="B649" s="22"/>
      <c r="C649" s="22"/>
    </row>
    <row r="650" ht="14.25" customHeight="1">
      <c r="A650" s="21"/>
      <c r="B650" s="22"/>
      <c r="C650" s="22"/>
    </row>
    <row r="651" ht="14.25" customHeight="1">
      <c r="A651" s="21"/>
      <c r="B651" s="22"/>
      <c r="C651" s="22"/>
    </row>
    <row r="652" ht="14.25" customHeight="1">
      <c r="A652" s="21"/>
      <c r="B652" s="22"/>
      <c r="C652" s="22"/>
    </row>
    <row r="653" ht="14.25" customHeight="1">
      <c r="A653" s="21"/>
      <c r="B653" s="22"/>
      <c r="C653" s="22"/>
    </row>
    <row r="654" ht="14.25" customHeight="1">
      <c r="A654" s="21"/>
      <c r="B654" s="22"/>
      <c r="C654" s="22"/>
    </row>
    <row r="655" ht="14.25" customHeight="1">
      <c r="A655" s="21"/>
      <c r="B655" s="22"/>
      <c r="C655" s="22"/>
    </row>
    <row r="656" ht="14.25" customHeight="1">
      <c r="A656" s="21"/>
      <c r="B656" s="22"/>
      <c r="C656" s="22"/>
    </row>
    <row r="657" ht="14.25" customHeight="1">
      <c r="A657" s="21"/>
      <c r="B657" s="22"/>
      <c r="C657" s="22"/>
    </row>
    <row r="658" ht="14.25" customHeight="1">
      <c r="A658" s="21"/>
      <c r="B658" s="22"/>
      <c r="C658" s="22"/>
    </row>
    <row r="659" ht="14.25" customHeight="1">
      <c r="A659" s="21"/>
      <c r="B659" s="22"/>
      <c r="C659" s="22"/>
    </row>
    <row r="660" ht="14.25" customHeight="1">
      <c r="A660" s="21"/>
      <c r="B660" s="22"/>
      <c r="C660" s="22"/>
    </row>
    <row r="661" ht="14.25" customHeight="1">
      <c r="A661" s="21"/>
      <c r="B661" s="22"/>
      <c r="C661" s="22"/>
    </row>
    <row r="662" ht="14.25" customHeight="1">
      <c r="A662" s="21"/>
      <c r="B662" s="22"/>
      <c r="C662" s="22"/>
    </row>
    <row r="663" ht="14.25" customHeight="1">
      <c r="A663" s="21"/>
      <c r="B663" s="22"/>
      <c r="C663" s="22"/>
    </row>
    <row r="664" ht="14.25" customHeight="1">
      <c r="A664" s="21"/>
      <c r="B664" s="22"/>
      <c r="C664" s="22"/>
    </row>
    <row r="665" ht="14.25" customHeight="1">
      <c r="A665" s="21"/>
      <c r="B665" s="22"/>
      <c r="C665" s="22"/>
    </row>
    <row r="666" ht="14.25" customHeight="1">
      <c r="A666" s="21"/>
      <c r="B666" s="22"/>
      <c r="C666" s="22"/>
    </row>
    <row r="667" ht="14.25" customHeight="1">
      <c r="A667" s="21"/>
      <c r="B667" s="22"/>
      <c r="C667" s="22"/>
    </row>
    <row r="668" ht="14.25" customHeight="1">
      <c r="A668" s="21"/>
      <c r="B668" s="22"/>
      <c r="C668" s="22"/>
    </row>
    <row r="669" ht="14.25" customHeight="1">
      <c r="A669" s="21"/>
      <c r="B669" s="22"/>
      <c r="C669" s="22"/>
    </row>
    <row r="670" ht="14.25" customHeight="1">
      <c r="A670" s="21"/>
      <c r="B670" s="22"/>
      <c r="C670" s="22"/>
    </row>
    <row r="671" ht="14.25" customHeight="1">
      <c r="A671" s="21"/>
      <c r="B671" s="22"/>
      <c r="C671" s="22"/>
    </row>
    <row r="672" ht="14.25" customHeight="1">
      <c r="A672" s="21"/>
      <c r="B672" s="22"/>
      <c r="C672" s="22"/>
    </row>
    <row r="673" ht="14.25" customHeight="1">
      <c r="A673" s="21"/>
      <c r="B673" s="22"/>
      <c r="C673" s="22"/>
    </row>
    <row r="674" ht="14.25" customHeight="1">
      <c r="A674" s="21"/>
      <c r="B674" s="22"/>
      <c r="C674" s="22"/>
    </row>
    <row r="675" ht="14.25" customHeight="1">
      <c r="A675" s="21"/>
      <c r="B675" s="22"/>
      <c r="C675" s="22"/>
    </row>
    <row r="676" ht="14.25" customHeight="1">
      <c r="A676" s="21"/>
      <c r="B676" s="22"/>
      <c r="C676" s="22"/>
    </row>
    <row r="677" ht="14.25" customHeight="1">
      <c r="A677" s="21"/>
      <c r="B677" s="22"/>
      <c r="C677" s="22"/>
    </row>
    <row r="678" ht="14.25" customHeight="1">
      <c r="A678" s="21"/>
      <c r="B678" s="22"/>
      <c r="C678" s="22"/>
    </row>
    <row r="679" ht="14.25" customHeight="1">
      <c r="A679" s="21"/>
      <c r="B679" s="22"/>
      <c r="C679" s="22"/>
    </row>
    <row r="680" ht="14.25" customHeight="1">
      <c r="A680" s="21"/>
      <c r="B680" s="22"/>
      <c r="C680" s="22"/>
    </row>
    <row r="681" ht="14.25" customHeight="1">
      <c r="A681" s="21"/>
      <c r="B681" s="22"/>
      <c r="C681" s="22"/>
    </row>
    <row r="682" ht="14.25" customHeight="1">
      <c r="A682" s="21"/>
      <c r="B682" s="22"/>
      <c r="C682" s="22"/>
    </row>
    <row r="683" ht="14.25" customHeight="1">
      <c r="A683" s="21"/>
      <c r="B683" s="22"/>
      <c r="C683" s="22"/>
    </row>
    <row r="684" ht="14.25" customHeight="1">
      <c r="A684" s="21"/>
      <c r="B684" s="22"/>
      <c r="C684" s="22"/>
    </row>
    <row r="685" ht="14.25" customHeight="1">
      <c r="A685" s="21"/>
      <c r="B685" s="22"/>
      <c r="C685" s="22"/>
    </row>
    <row r="686" ht="14.25" customHeight="1">
      <c r="A686" s="21"/>
      <c r="B686" s="22"/>
      <c r="C686" s="22"/>
    </row>
    <row r="687" ht="14.25" customHeight="1">
      <c r="A687" s="21"/>
      <c r="B687" s="22"/>
      <c r="C687" s="22"/>
    </row>
    <row r="688" ht="14.25" customHeight="1">
      <c r="A688" s="21"/>
      <c r="B688" s="22"/>
      <c r="C688" s="22"/>
    </row>
    <row r="689" ht="14.25" customHeight="1">
      <c r="A689" s="21"/>
      <c r="B689" s="22"/>
      <c r="C689" s="22"/>
    </row>
    <row r="690" ht="14.25" customHeight="1">
      <c r="A690" s="21"/>
      <c r="B690" s="22"/>
      <c r="C690" s="22"/>
    </row>
    <row r="691" ht="14.25" customHeight="1">
      <c r="A691" s="21"/>
      <c r="B691" s="22"/>
      <c r="C691" s="22"/>
    </row>
    <row r="692" ht="14.25" customHeight="1">
      <c r="A692" s="21"/>
      <c r="B692" s="22"/>
      <c r="C692" s="22"/>
    </row>
    <row r="693" ht="14.25" customHeight="1">
      <c r="A693" s="21"/>
      <c r="B693" s="22"/>
      <c r="C693" s="22"/>
    </row>
    <row r="694" ht="14.25" customHeight="1">
      <c r="A694" s="21"/>
      <c r="B694" s="22"/>
      <c r="C694" s="22"/>
    </row>
    <row r="695" ht="14.25" customHeight="1">
      <c r="A695" s="21"/>
      <c r="B695" s="22"/>
      <c r="C695" s="22"/>
    </row>
    <row r="696" ht="14.25" customHeight="1">
      <c r="A696" s="21"/>
      <c r="B696" s="22"/>
      <c r="C696" s="22"/>
    </row>
    <row r="697" ht="14.25" customHeight="1">
      <c r="A697" s="21"/>
      <c r="B697" s="22"/>
      <c r="C697" s="22"/>
    </row>
    <row r="698" ht="14.25" customHeight="1">
      <c r="A698" s="21"/>
      <c r="B698" s="22"/>
      <c r="C698" s="22"/>
    </row>
    <row r="699" ht="14.25" customHeight="1">
      <c r="A699" s="21"/>
      <c r="B699" s="22"/>
      <c r="C699" s="22"/>
    </row>
    <row r="700" ht="14.25" customHeight="1">
      <c r="A700" s="21"/>
      <c r="B700" s="22"/>
      <c r="C700" s="22"/>
    </row>
    <row r="701" ht="14.25" customHeight="1">
      <c r="A701" s="21"/>
      <c r="B701" s="22"/>
      <c r="C701" s="22"/>
    </row>
    <row r="702" ht="14.25" customHeight="1">
      <c r="A702" s="21"/>
      <c r="B702" s="22"/>
      <c r="C702" s="22"/>
    </row>
    <row r="703" ht="14.25" customHeight="1">
      <c r="A703" s="21"/>
      <c r="B703" s="22"/>
      <c r="C703" s="22"/>
    </row>
    <row r="704" ht="14.25" customHeight="1">
      <c r="A704" s="21"/>
      <c r="B704" s="22"/>
      <c r="C704" s="22"/>
    </row>
    <row r="705" ht="14.25" customHeight="1">
      <c r="A705" s="21"/>
      <c r="B705" s="22"/>
      <c r="C705" s="22"/>
    </row>
    <row r="706" ht="14.25" customHeight="1">
      <c r="A706" s="21"/>
      <c r="B706" s="22"/>
      <c r="C706" s="22"/>
    </row>
    <row r="707" ht="14.25" customHeight="1">
      <c r="A707" s="21"/>
      <c r="B707" s="22"/>
      <c r="C707" s="22"/>
    </row>
    <row r="708" ht="14.25" customHeight="1">
      <c r="A708" s="21"/>
      <c r="B708" s="22"/>
      <c r="C708" s="22"/>
    </row>
    <row r="709" ht="14.25" customHeight="1">
      <c r="A709" s="21"/>
      <c r="B709" s="22"/>
      <c r="C709" s="22"/>
    </row>
    <row r="710" ht="14.25" customHeight="1">
      <c r="A710" s="21"/>
      <c r="B710" s="22"/>
      <c r="C710" s="22"/>
    </row>
    <row r="711" ht="14.25" customHeight="1">
      <c r="A711" s="21"/>
      <c r="B711" s="22"/>
      <c r="C711" s="22"/>
    </row>
    <row r="712" ht="14.25" customHeight="1">
      <c r="A712" s="21"/>
      <c r="B712" s="22"/>
      <c r="C712" s="22"/>
    </row>
    <row r="713" ht="14.25" customHeight="1">
      <c r="A713" s="21"/>
      <c r="B713" s="22"/>
      <c r="C713" s="22"/>
    </row>
    <row r="714" ht="14.25" customHeight="1">
      <c r="A714" s="21"/>
      <c r="B714" s="22"/>
      <c r="C714" s="22"/>
    </row>
    <row r="715" ht="14.25" customHeight="1">
      <c r="A715" s="21"/>
      <c r="B715" s="22"/>
      <c r="C715" s="22"/>
    </row>
    <row r="716" ht="14.25" customHeight="1">
      <c r="A716" s="21"/>
      <c r="B716" s="22"/>
      <c r="C716" s="22"/>
    </row>
    <row r="717" ht="14.25" customHeight="1">
      <c r="A717" s="21"/>
      <c r="B717" s="22"/>
      <c r="C717" s="22"/>
    </row>
    <row r="718" ht="14.25" customHeight="1">
      <c r="A718" s="21"/>
      <c r="B718" s="22"/>
      <c r="C718" s="22"/>
    </row>
    <row r="719" ht="14.25" customHeight="1">
      <c r="A719" s="21"/>
      <c r="B719" s="22"/>
      <c r="C719" s="22"/>
    </row>
    <row r="720" ht="14.25" customHeight="1">
      <c r="A720" s="21"/>
      <c r="B720" s="22"/>
      <c r="C720" s="22"/>
    </row>
    <row r="721" ht="14.25" customHeight="1">
      <c r="A721" s="21"/>
      <c r="B721" s="22"/>
      <c r="C721" s="22"/>
    </row>
    <row r="722" ht="14.25" customHeight="1">
      <c r="A722" s="21"/>
      <c r="B722" s="22"/>
      <c r="C722" s="22"/>
    </row>
    <row r="723" ht="14.25" customHeight="1">
      <c r="A723" s="21"/>
      <c r="B723" s="22"/>
      <c r="C723" s="22"/>
    </row>
    <row r="724" ht="14.25" customHeight="1">
      <c r="A724" s="21"/>
      <c r="B724" s="22"/>
      <c r="C724" s="22"/>
    </row>
    <row r="725" ht="14.25" customHeight="1">
      <c r="A725" s="21"/>
      <c r="B725" s="22"/>
      <c r="C725" s="22"/>
    </row>
    <row r="726" ht="14.25" customHeight="1">
      <c r="A726" s="21"/>
      <c r="B726" s="22"/>
      <c r="C726" s="22"/>
    </row>
    <row r="727" ht="14.25" customHeight="1">
      <c r="A727" s="21"/>
      <c r="B727" s="22"/>
      <c r="C727" s="22"/>
    </row>
    <row r="728" ht="14.25" customHeight="1">
      <c r="A728" s="21"/>
      <c r="B728" s="22"/>
      <c r="C728" s="22"/>
    </row>
    <row r="729" ht="14.25" customHeight="1">
      <c r="A729" s="21"/>
      <c r="B729" s="22"/>
      <c r="C729" s="22"/>
    </row>
    <row r="730" ht="14.25" customHeight="1">
      <c r="A730" s="21"/>
      <c r="B730" s="22"/>
      <c r="C730" s="22"/>
    </row>
    <row r="731" ht="14.25" customHeight="1">
      <c r="A731" s="21"/>
      <c r="B731" s="22"/>
      <c r="C731" s="22"/>
    </row>
    <row r="732" ht="14.25" customHeight="1">
      <c r="A732" s="21"/>
      <c r="B732" s="22"/>
      <c r="C732" s="22"/>
    </row>
    <row r="733" ht="14.25" customHeight="1">
      <c r="A733" s="21"/>
      <c r="B733" s="22"/>
      <c r="C733" s="22"/>
    </row>
    <row r="734" ht="14.25" customHeight="1">
      <c r="A734" s="21"/>
      <c r="B734" s="22"/>
      <c r="C734" s="22"/>
    </row>
    <row r="735" ht="14.25" customHeight="1">
      <c r="A735" s="21"/>
      <c r="B735" s="22"/>
      <c r="C735" s="22"/>
    </row>
    <row r="736" ht="14.25" customHeight="1">
      <c r="A736" s="21"/>
      <c r="B736" s="22"/>
      <c r="C736" s="22"/>
    </row>
    <row r="737" ht="14.25" customHeight="1">
      <c r="A737" s="21"/>
      <c r="B737" s="22"/>
      <c r="C737" s="22"/>
    </row>
    <row r="738" ht="14.25" customHeight="1">
      <c r="A738" s="21"/>
      <c r="B738" s="22"/>
      <c r="C738" s="22"/>
    </row>
    <row r="739" ht="14.25" customHeight="1">
      <c r="A739" s="21"/>
      <c r="B739" s="22"/>
      <c r="C739" s="22"/>
    </row>
    <row r="740" ht="14.25" customHeight="1">
      <c r="A740" s="21"/>
      <c r="B740" s="22"/>
      <c r="C740" s="22"/>
    </row>
    <row r="741" ht="14.25" customHeight="1">
      <c r="A741" s="21"/>
      <c r="B741" s="22"/>
      <c r="C741" s="22"/>
    </row>
    <row r="742" ht="14.25" customHeight="1">
      <c r="A742" s="21"/>
      <c r="B742" s="22"/>
      <c r="C742" s="22"/>
    </row>
    <row r="743" ht="14.25" customHeight="1">
      <c r="A743" s="21"/>
      <c r="B743" s="22"/>
      <c r="C743" s="22"/>
    </row>
    <row r="744" ht="14.25" customHeight="1">
      <c r="A744" s="21"/>
      <c r="B744" s="22"/>
      <c r="C744" s="22"/>
    </row>
    <row r="745" ht="14.25" customHeight="1">
      <c r="A745" s="21"/>
      <c r="B745" s="22"/>
      <c r="C745" s="22"/>
    </row>
    <row r="746" ht="14.25" customHeight="1">
      <c r="A746" s="21"/>
      <c r="B746" s="22"/>
      <c r="C746" s="22"/>
    </row>
    <row r="747" ht="14.25" customHeight="1">
      <c r="A747" s="21"/>
      <c r="B747" s="22"/>
      <c r="C747" s="22"/>
    </row>
    <row r="748" ht="14.25" customHeight="1">
      <c r="A748" s="21"/>
      <c r="B748" s="22"/>
      <c r="C748" s="22"/>
    </row>
    <row r="749" ht="14.25" customHeight="1">
      <c r="A749" s="21"/>
      <c r="B749" s="22"/>
      <c r="C749" s="22"/>
    </row>
    <row r="750" ht="14.25" customHeight="1">
      <c r="A750" s="21"/>
      <c r="B750" s="22"/>
      <c r="C750" s="22"/>
    </row>
    <row r="751" ht="14.25" customHeight="1">
      <c r="A751" s="21"/>
      <c r="B751" s="22"/>
      <c r="C751" s="22"/>
    </row>
    <row r="752" ht="14.25" customHeight="1">
      <c r="A752" s="21"/>
      <c r="B752" s="22"/>
      <c r="C752" s="22"/>
    </row>
    <row r="753" ht="14.25" customHeight="1">
      <c r="A753" s="21"/>
      <c r="B753" s="22"/>
      <c r="C753" s="22"/>
    </row>
    <row r="754" ht="14.25" customHeight="1">
      <c r="A754" s="21"/>
      <c r="B754" s="22"/>
      <c r="C754" s="22"/>
    </row>
    <row r="755" ht="14.25" customHeight="1">
      <c r="A755" s="21"/>
      <c r="B755" s="22"/>
      <c r="C755" s="22"/>
    </row>
    <row r="756" ht="14.25" customHeight="1">
      <c r="A756" s="21"/>
      <c r="B756" s="22"/>
      <c r="C756" s="22"/>
    </row>
    <row r="757" ht="14.25" customHeight="1">
      <c r="A757" s="21"/>
      <c r="B757" s="22"/>
      <c r="C757" s="22"/>
    </row>
    <row r="758" ht="14.25" customHeight="1">
      <c r="A758" s="21"/>
      <c r="B758" s="22"/>
      <c r="C758" s="22"/>
    </row>
    <row r="759" ht="14.25" customHeight="1">
      <c r="A759" s="21"/>
      <c r="B759" s="22"/>
      <c r="C759" s="22"/>
    </row>
    <row r="760" ht="14.25" customHeight="1">
      <c r="A760" s="21"/>
      <c r="B760" s="22"/>
      <c r="C760" s="22"/>
    </row>
    <row r="761" ht="14.25" customHeight="1">
      <c r="A761" s="21"/>
      <c r="B761" s="22"/>
      <c r="C761" s="22"/>
    </row>
    <row r="762" ht="14.25" customHeight="1">
      <c r="A762" s="21"/>
      <c r="B762" s="22"/>
      <c r="C762" s="22"/>
    </row>
    <row r="763" ht="14.25" customHeight="1">
      <c r="A763" s="21"/>
      <c r="B763" s="22"/>
      <c r="C763" s="22"/>
    </row>
    <row r="764" ht="14.25" customHeight="1">
      <c r="A764" s="21"/>
      <c r="B764" s="22"/>
      <c r="C764" s="22"/>
    </row>
    <row r="765" ht="14.25" customHeight="1">
      <c r="A765" s="21"/>
      <c r="B765" s="22"/>
      <c r="C765" s="22"/>
    </row>
    <row r="766" ht="14.25" customHeight="1">
      <c r="A766" s="21"/>
      <c r="B766" s="22"/>
      <c r="C766" s="22"/>
    </row>
    <row r="767" ht="14.25" customHeight="1">
      <c r="A767" s="21"/>
      <c r="B767" s="22"/>
      <c r="C767" s="22"/>
    </row>
    <row r="768" ht="14.25" customHeight="1">
      <c r="A768" s="21"/>
      <c r="B768" s="22"/>
      <c r="C768" s="22"/>
    </row>
    <row r="769" ht="14.25" customHeight="1">
      <c r="A769" s="21"/>
      <c r="B769" s="22"/>
      <c r="C769" s="22"/>
    </row>
    <row r="770" ht="14.25" customHeight="1">
      <c r="A770" s="21"/>
      <c r="B770" s="22"/>
      <c r="C770" s="22"/>
    </row>
    <row r="771" ht="14.25" customHeight="1">
      <c r="A771" s="21"/>
      <c r="B771" s="22"/>
      <c r="C771" s="22"/>
    </row>
    <row r="772" ht="14.25" customHeight="1">
      <c r="A772" s="21"/>
      <c r="B772" s="22"/>
      <c r="C772" s="22"/>
    </row>
    <row r="773" ht="14.25" customHeight="1">
      <c r="A773" s="21"/>
      <c r="B773" s="22"/>
      <c r="C773" s="22"/>
    </row>
    <row r="774" ht="14.25" customHeight="1">
      <c r="A774" s="21"/>
      <c r="B774" s="22"/>
      <c r="C774" s="22"/>
    </row>
    <row r="775" ht="14.25" customHeight="1">
      <c r="A775" s="21"/>
      <c r="B775" s="22"/>
      <c r="C775" s="22"/>
    </row>
    <row r="776" ht="14.25" customHeight="1">
      <c r="A776" s="21"/>
      <c r="B776" s="22"/>
      <c r="C776" s="22"/>
    </row>
    <row r="777" ht="14.25" customHeight="1">
      <c r="A777" s="21"/>
      <c r="B777" s="22"/>
      <c r="C777" s="22"/>
    </row>
    <row r="778" ht="14.25" customHeight="1">
      <c r="A778" s="21"/>
      <c r="B778" s="22"/>
      <c r="C778" s="22"/>
    </row>
    <row r="779" ht="14.25" customHeight="1">
      <c r="A779" s="21"/>
      <c r="B779" s="22"/>
      <c r="C779" s="22"/>
    </row>
    <row r="780" ht="14.25" customHeight="1">
      <c r="A780" s="21"/>
      <c r="B780" s="22"/>
      <c r="C780" s="22"/>
    </row>
    <row r="781" ht="14.25" customHeight="1">
      <c r="A781" s="21"/>
      <c r="B781" s="22"/>
      <c r="C781" s="22"/>
    </row>
    <row r="782" ht="14.25" customHeight="1">
      <c r="A782" s="21"/>
      <c r="B782" s="22"/>
      <c r="C782" s="22"/>
    </row>
    <row r="783" ht="14.25" customHeight="1">
      <c r="A783" s="21"/>
      <c r="B783" s="22"/>
      <c r="C783" s="22"/>
    </row>
    <row r="784" ht="14.25" customHeight="1">
      <c r="A784" s="21"/>
      <c r="B784" s="22"/>
      <c r="C784" s="22"/>
    </row>
    <row r="785" ht="14.25" customHeight="1">
      <c r="A785" s="21"/>
      <c r="B785" s="22"/>
      <c r="C785" s="22"/>
    </row>
    <row r="786" ht="14.25" customHeight="1">
      <c r="A786" s="21"/>
      <c r="B786" s="22"/>
      <c r="C786" s="22"/>
    </row>
    <row r="787" ht="14.25" customHeight="1">
      <c r="A787" s="21"/>
      <c r="B787" s="22"/>
      <c r="C787" s="22"/>
    </row>
    <row r="788" ht="14.25" customHeight="1">
      <c r="A788" s="21"/>
      <c r="B788" s="22"/>
      <c r="C788" s="22"/>
    </row>
    <row r="789" ht="14.25" customHeight="1">
      <c r="A789" s="21"/>
      <c r="B789" s="22"/>
      <c r="C789" s="22"/>
    </row>
    <row r="790" ht="14.25" customHeight="1">
      <c r="A790" s="21"/>
      <c r="B790" s="22"/>
      <c r="C790" s="22"/>
    </row>
    <row r="791" ht="14.25" customHeight="1">
      <c r="A791" s="21"/>
      <c r="B791" s="22"/>
      <c r="C791" s="22"/>
    </row>
    <row r="792" ht="14.25" customHeight="1">
      <c r="A792" s="21"/>
      <c r="B792" s="22"/>
      <c r="C792" s="22"/>
    </row>
    <row r="793" ht="14.25" customHeight="1">
      <c r="A793" s="21"/>
      <c r="B793" s="22"/>
      <c r="C793" s="22"/>
    </row>
    <row r="794" ht="14.25" customHeight="1">
      <c r="A794" s="21"/>
      <c r="B794" s="22"/>
      <c r="C794" s="22"/>
    </row>
    <row r="795" ht="14.25" customHeight="1">
      <c r="A795" s="21"/>
      <c r="B795" s="22"/>
      <c r="C795" s="22"/>
    </row>
    <row r="796" ht="14.25" customHeight="1">
      <c r="A796" s="21"/>
      <c r="B796" s="22"/>
      <c r="C796" s="22"/>
    </row>
    <row r="797" ht="14.25" customHeight="1">
      <c r="A797" s="21"/>
      <c r="B797" s="22"/>
      <c r="C797" s="22"/>
    </row>
    <row r="798" ht="14.25" customHeight="1">
      <c r="A798" s="21"/>
      <c r="B798" s="22"/>
      <c r="C798" s="22"/>
    </row>
    <row r="799" ht="14.25" customHeight="1">
      <c r="A799" s="21"/>
      <c r="B799" s="22"/>
      <c r="C799" s="22"/>
    </row>
    <row r="800" ht="14.25" customHeight="1">
      <c r="A800" s="21"/>
      <c r="B800" s="22"/>
      <c r="C800" s="22"/>
    </row>
    <row r="801" ht="14.25" customHeight="1">
      <c r="A801" s="21"/>
      <c r="B801" s="22"/>
      <c r="C801" s="22"/>
    </row>
    <row r="802" ht="14.25" customHeight="1">
      <c r="A802" s="21"/>
      <c r="B802" s="22"/>
      <c r="C802" s="22"/>
    </row>
    <row r="803" ht="14.25" customHeight="1">
      <c r="A803" s="21"/>
      <c r="B803" s="22"/>
      <c r="C803" s="22"/>
    </row>
    <row r="804" ht="14.25" customHeight="1">
      <c r="A804" s="21"/>
      <c r="B804" s="22"/>
      <c r="C804" s="22"/>
    </row>
    <row r="805" ht="14.25" customHeight="1">
      <c r="A805" s="21"/>
      <c r="B805" s="22"/>
      <c r="C805" s="22"/>
    </row>
    <row r="806" ht="14.25" customHeight="1">
      <c r="A806" s="21"/>
      <c r="B806" s="22"/>
      <c r="C806" s="22"/>
    </row>
    <row r="807" ht="14.25" customHeight="1">
      <c r="A807" s="21"/>
      <c r="B807" s="22"/>
      <c r="C807" s="22"/>
    </row>
    <row r="808" ht="14.25" customHeight="1">
      <c r="A808" s="21"/>
      <c r="B808" s="22"/>
      <c r="C808" s="22"/>
    </row>
    <row r="809" ht="14.25" customHeight="1">
      <c r="A809" s="21"/>
      <c r="B809" s="22"/>
      <c r="C809" s="22"/>
    </row>
    <row r="810" ht="14.25" customHeight="1">
      <c r="A810" s="21"/>
      <c r="B810" s="22"/>
      <c r="C810" s="22"/>
    </row>
    <row r="811" ht="14.25" customHeight="1">
      <c r="A811" s="21"/>
      <c r="B811" s="22"/>
      <c r="C811" s="22"/>
    </row>
    <row r="812" ht="14.25" customHeight="1">
      <c r="A812" s="21"/>
      <c r="B812" s="22"/>
      <c r="C812" s="22"/>
    </row>
    <row r="813" ht="14.25" customHeight="1">
      <c r="A813" s="21"/>
      <c r="B813" s="22"/>
      <c r="C813" s="22"/>
    </row>
    <row r="814" ht="14.25" customHeight="1">
      <c r="A814" s="21"/>
      <c r="B814" s="22"/>
      <c r="C814" s="22"/>
    </row>
    <row r="815" ht="14.25" customHeight="1">
      <c r="A815" s="21"/>
      <c r="B815" s="22"/>
      <c r="C815" s="22"/>
    </row>
    <row r="816" ht="14.25" customHeight="1">
      <c r="A816" s="21"/>
      <c r="B816" s="22"/>
      <c r="C816" s="22"/>
    </row>
    <row r="817" ht="14.25" customHeight="1">
      <c r="A817" s="21"/>
      <c r="B817" s="22"/>
      <c r="C817" s="22"/>
    </row>
    <row r="818" ht="14.25" customHeight="1">
      <c r="A818" s="21"/>
      <c r="B818" s="22"/>
      <c r="C818" s="22"/>
    </row>
    <row r="819" ht="14.25" customHeight="1">
      <c r="A819" s="21"/>
      <c r="B819" s="22"/>
      <c r="C819" s="22"/>
    </row>
    <row r="820" ht="14.25" customHeight="1">
      <c r="A820" s="21"/>
      <c r="B820" s="22"/>
      <c r="C820" s="22"/>
    </row>
    <row r="821" ht="14.25" customHeight="1">
      <c r="A821" s="21"/>
      <c r="B821" s="22"/>
      <c r="C821" s="22"/>
    </row>
    <row r="822" ht="14.25" customHeight="1">
      <c r="A822" s="21"/>
      <c r="B822" s="22"/>
      <c r="C822" s="22"/>
    </row>
    <row r="823" ht="14.25" customHeight="1">
      <c r="A823" s="21"/>
      <c r="B823" s="22"/>
      <c r="C823" s="22"/>
    </row>
    <row r="824" ht="14.25" customHeight="1">
      <c r="A824" s="21"/>
      <c r="B824" s="22"/>
      <c r="C824" s="22"/>
    </row>
    <row r="825" ht="14.25" customHeight="1">
      <c r="A825" s="21"/>
      <c r="B825" s="22"/>
      <c r="C825" s="22"/>
    </row>
    <row r="826" ht="14.25" customHeight="1">
      <c r="A826" s="21"/>
      <c r="B826" s="22"/>
      <c r="C826" s="22"/>
    </row>
    <row r="827" ht="14.25" customHeight="1">
      <c r="A827" s="21"/>
      <c r="B827" s="22"/>
      <c r="C827" s="22"/>
    </row>
    <row r="828" ht="14.25" customHeight="1">
      <c r="A828" s="21"/>
      <c r="B828" s="22"/>
      <c r="C828" s="22"/>
    </row>
    <row r="829" ht="14.25" customHeight="1">
      <c r="A829" s="21"/>
      <c r="B829" s="22"/>
      <c r="C829" s="22"/>
    </row>
    <row r="830" ht="14.25" customHeight="1">
      <c r="A830" s="21"/>
      <c r="B830" s="22"/>
      <c r="C830" s="22"/>
    </row>
    <row r="831" ht="14.25" customHeight="1">
      <c r="A831" s="21"/>
      <c r="B831" s="22"/>
      <c r="C831" s="22"/>
    </row>
    <row r="832" ht="14.25" customHeight="1">
      <c r="A832" s="21"/>
      <c r="B832" s="22"/>
      <c r="C832" s="22"/>
    </row>
    <row r="833" ht="14.25" customHeight="1">
      <c r="A833" s="21"/>
      <c r="B833" s="22"/>
      <c r="C833" s="22"/>
    </row>
    <row r="834" ht="14.25" customHeight="1">
      <c r="A834" s="21"/>
      <c r="B834" s="22"/>
      <c r="C834" s="22"/>
    </row>
    <row r="835" ht="14.25" customHeight="1">
      <c r="A835" s="21"/>
      <c r="B835" s="22"/>
      <c r="C835" s="22"/>
    </row>
    <row r="836" ht="14.25" customHeight="1">
      <c r="A836" s="21"/>
      <c r="B836" s="22"/>
      <c r="C836" s="22"/>
    </row>
    <row r="837" ht="14.25" customHeight="1">
      <c r="A837" s="21"/>
      <c r="B837" s="22"/>
      <c r="C837" s="22"/>
    </row>
    <row r="838" ht="14.25" customHeight="1">
      <c r="A838" s="21"/>
      <c r="B838" s="22"/>
      <c r="C838" s="22"/>
    </row>
    <row r="839" ht="14.25" customHeight="1">
      <c r="A839" s="21"/>
      <c r="B839" s="22"/>
      <c r="C839" s="22"/>
    </row>
    <row r="840" ht="14.25" customHeight="1">
      <c r="A840" s="21"/>
      <c r="B840" s="22"/>
      <c r="C840" s="22"/>
    </row>
    <row r="841" ht="14.25" customHeight="1">
      <c r="A841" s="21"/>
      <c r="B841" s="22"/>
      <c r="C841" s="22"/>
    </row>
    <row r="842" ht="14.25" customHeight="1">
      <c r="A842" s="21"/>
      <c r="B842" s="22"/>
      <c r="C842" s="22"/>
    </row>
    <row r="843" ht="14.25" customHeight="1">
      <c r="A843" s="21"/>
      <c r="B843" s="22"/>
      <c r="C843" s="22"/>
    </row>
    <row r="844" ht="14.25" customHeight="1">
      <c r="A844" s="21"/>
      <c r="B844" s="22"/>
      <c r="C844" s="22"/>
    </row>
    <row r="845" ht="14.25" customHeight="1">
      <c r="A845" s="21"/>
      <c r="B845" s="22"/>
      <c r="C845" s="22"/>
    </row>
    <row r="846" ht="14.25" customHeight="1">
      <c r="A846" s="21"/>
      <c r="B846" s="22"/>
      <c r="C846" s="22"/>
    </row>
    <row r="847" ht="14.25" customHeight="1">
      <c r="A847" s="21"/>
      <c r="B847" s="22"/>
      <c r="C847" s="22"/>
    </row>
    <row r="848" ht="14.25" customHeight="1">
      <c r="A848" s="21"/>
      <c r="B848" s="22"/>
      <c r="C848" s="22"/>
    </row>
    <row r="849" ht="14.25" customHeight="1">
      <c r="A849" s="21"/>
      <c r="B849" s="22"/>
      <c r="C849" s="22"/>
    </row>
    <row r="850" ht="14.25" customHeight="1">
      <c r="A850" s="21"/>
      <c r="B850" s="22"/>
      <c r="C850" s="22"/>
    </row>
    <row r="851" ht="14.25" customHeight="1">
      <c r="A851" s="21"/>
      <c r="B851" s="22"/>
      <c r="C851" s="22"/>
    </row>
    <row r="852" ht="14.25" customHeight="1">
      <c r="A852" s="21"/>
      <c r="B852" s="22"/>
      <c r="C852" s="22"/>
    </row>
    <row r="853" ht="14.25" customHeight="1">
      <c r="A853" s="21"/>
      <c r="B853" s="22"/>
      <c r="C853" s="22"/>
    </row>
    <row r="854" ht="14.25" customHeight="1">
      <c r="A854" s="21"/>
      <c r="B854" s="22"/>
      <c r="C854" s="22"/>
    </row>
    <row r="855" ht="14.25" customHeight="1">
      <c r="A855" s="21"/>
      <c r="B855" s="22"/>
      <c r="C855" s="22"/>
    </row>
    <row r="856" ht="14.25" customHeight="1">
      <c r="A856" s="21"/>
      <c r="B856" s="22"/>
      <c r="C856" s="22"/>
    </row>
    <row r="857" ht="14.25" customHeight="1">
      <c r="A857" s="21"/>
      <c r="B857" s="22"/>
      <c r="C857" s="22"/>
    </row>
    <row r="858" ht="14.25" customHeight="1">
      <c r="A858" s="21"/>
      <c r="B858" s="22"/>
      <c r="C858" s="22"/>
    </row>
    <row r="859" ht="14.25" customHeight="1">
      <c r="A859" s="21"/>
      <c r="B859" s="22"/>
      <c r="C859" s="22"/>
    </row>
    <row r="860" ht="14.25" customHeight="1">
      <c r="A860" s="21"/>
      <c r="B860" s="22"/>
      <c r="C860" s="22"/>
    </row>
    <row r="861" ht="14.25" customHeight="1">
      <c r="A861" s="21"/>
      <c r="B861" s="22"/>
      <c r="C861" s="22"/>
    </row>
    <row r="862" ht="14.25" customHeight="1">
      <c r="A862" s="21"/>
      <c r="B862" s="22"/>
      <c r="C862" s="22"/>
    </row>
    <row r="863" ht="14.25" customHeight="1">
      <c r="A863" s="21"/>
      <c r="B863" s="22"/>
      <c r="C863" s="22"/>
    </row>
    <row r="864" ht="14.25" customHeight="1">
      <c r="A864" s="21"/>
      <c r="B864" s="22"/>
      <c r="C864" s="22"/>
    </row>
    <row r="865" ht="14.25" customHeight="1">
      <c r="A865" s="21"/>
      <c r="B865" s="22"/>
      <c r="C865" s="22"/>
    </row>
    <row r="866" ht="14.25" customHeight="1">
      <c r="A866" s="21"/>
      <c r="B866" s="22"/>
      <c r="C866" s="22"/>
    </row>
    <row r="867" ht="14.25" customHeight="1">
      <c r="A867" s="21"/>
      <c r="B867" s="22"/>
      <c r="C867" s="22"/>
    </row>
    <row r="868" ht="14.25" customHeight="1">
      <c r="A868" s="21"/>
      <c r="B868" s="22"/>
      <c r="C868" s="22"/>
    </row>
    <row r="869" ht="14.25" customHeight="1">
      <c r="A869" s="21"/>
      <c r="B869" s="22"/>
      <c r="C869" s="22"/>
    </row>
    <row r="870" ht="14.25" customHeight="1">
      <c r="A870" s="21"/>
      <c r="B870" s="22"/>
      <c r="C870" s="22"/>
    </row>
    <row r="871" ht="14.25" customHeight="1">
      <c r="A871" s="21"/>
      <c r="B871" s="22"/>
      <c r="C871" s="22"/>
    </row>
    <row r="872" ht="14.25" customHeight="1">
      <c r="A872" s="21"/>
      <c r="B872" s="22"/>
      <c r="C872" s="22"/>
    </row>
    <row r="873" ht="14.25" customHeight="1">
      <c r="A873" s="21"/>
      <c r="B873" s="22"/>
      <c r="C873" s="22"/>
    </row>
    <row r="874" ht="14.25" customHeight="1">
      <c r="A874" s="21"/>
      <c r="B874" s="22"/>
      <c r="C874" s="22"/>
    </row>
    <row r="875" ht="14.25" customHeight="1">
      <c r="A875" s="21"/>
      <c r="B875" s="22"/>
      <c r="C875" s="22"/>
    </row>
    <row r="876" ht="14.25" customHeight="1">
      <c r="A876" s="21"/>
      <c r="B876" s="22"/>
      <c r="C876" s="22"/>
    </row>
    <row r="877" ht="14.25" customHeight="1">
      <c r="A877" s="21"/>
      <c r="B877" s="22"/>
      <c r="C877" s="22"/>
    </row>
    <row r="878" ht="14.25" customHeight="1">
      <c r="A878" s="21"/>
      <c r="B878" s="22"/>
      <c r="C878" s="22"/>
    </row>
    <row r="879" ht="14.25" customHeight="1">
      <c r="A879" s="21"/>
      <c r="B879" s="22"/>
      <c r="C879" s="22"/>
    </row>
    <row r="880" ht="14.25" customHeight="1">
      <c r="A880" s="21"/>
      <c r="B880" s="22"/>
      <c r="C880" s="22"/>
    </row>
    <row r="881" ht="14.25" customHeight="1">
      <c r="A881" s="21"/>
      <c r="B881" s="22"/>
      <c r="C881" s="22"/>
    </row>
    <row r="882" ht="14.25" customHeight="1">
      <c r="A882" s="21"/>
      <c r="B882" s="22"/>
      <c r="C882" s="22"/>
    </row>
    <row r="883" ht="14.25" customHeight="1">
      <c r="A883" s="21"/>
      <c r="B883" s="22"/>
      <c r="C883" s="22"/>
    </row>
    <row r="884" ht="14.25" customHeight="1">
      <c r="A884" s="21"/>
      <c r="B884" s="22"/>
      <c r="C884" s="22"/>
    </row>
    <row r="885" ht="14.25" customHeight="1">
      <c r="A885" s="21"/>
      <c r="B885" s="22"/>
      <c r="C885" s="22"/>
    </row>
    <row r="886" ht="14.25" customHeight="1">
      <c r="A886" s="21"/>
      <c r="B886" s="22"/>
      <c r="C886" s="22"/>
    </row>
    <row r="887" ht="14.25" customHeight="1">
      <c r="A887" s="21"/>
      <c r="B887" s="22"/>
      <c r="C887" s="22"/>
    </row>
    <row r="888" ht="14.25" customHeight="1">
      <c r="A888" s="21"/>
      <c r="B888" s="22"/>
      <c r="C888" s="22"/>
    </row>
    <row r="889" ht="14.25" customHeight="1">
      <c r="A889" s="21"/>
      <c r="B889" s="22"/>
      <c r="C889" s="22"/>
    </row>
    <row r="890" ht="14.25" customHeight="1">
      <c r="A890" s="21"/>
      <c r="B890" s="22"/>
      <c r="C890" s="22"/>
    </row>
    <row r="891" ht="14.25" customHeight="1">
      <c r="A891" s="21"/>
      <c r="B891" s="22"/>
      <c r="C891" s="22"/>
    </row>
    <row r="892" ht="14.25" customHeight="1">
      <c r="A892" s="21"/>
      <c r="B892" s="22"/>
      <c r="C892" s="22"/>
    </row>
    <row r="893" ht="14.25" customHeight="1">
      <c r="A893" s="21"/>
      <c r="B893" s="22"/>
      <c r="C893" s="22"/>
    </row>
    <row r="894" ht="14.25" customHeight="1">
      <c r="A894" s="21"/>
      <c r="B894" s="22"/>
      <c r="C894" s="22"/>
    </row>
    <row r="895" ht="14.25" customHeight="1">
      <c r="A895" s="21"/>
      <c r="B895" s="22"/>
      <c r="C895" s="22"/>
    </row>
    <row r="896" ht="14.25" customHeight="1">
      <c r="A896" s="21"/>
      <c r="B896" s="22"/>
      <c r="C896" s="22"/>
    </row>
    <row r="897" ht="14.25" customHeight="1">
      <c r="A897" s="21"/>
      <c r="B897" s="22"/>
      <c r="C897" s="22"/>
    </row>
    <row r="898" ht="14.25" customHeight="1">
      <c r="A898" s="21"/>
      <c r="B898" s="22"/>
      <c r="C898" s="22"/>
    </row>
    <row r="899" ht="14.25" customHeight="1">
      <c r="A899" s="21"/>
      <c r="B899" s="22"/>
      <c r="C899" s="22"/>
    </row>
    <row r="900" ht="14.25" customHeight="1">
      <c r="A900" s="21"/>
      <c r="B900" s="22"/>
      <c r="C900" s="22"/>
    </row>
    <row r="901" ht="14.25" customHeight="1">
      <c r="A901" s="21"/>
      <c r="B901" s="22"/>
      <c r="C901" s="22"/>
    </row>
    <row r="902" ht="14.25" customHeight="1">
      <c r="A902" s="21"/>
      <c r="B902" s="22"/>
      <c r="C902" s="22"/>
    </row>
    <row r="903" ht="14.25" customHeight="1">
      <c r="A903" s="21"/>
      <c r="B903" s="22"/>
      <c r="C903" s="22"/>
    </row>
    <row r="904" ht="14.25" customHeight="1">
      <c r="A904" s="21"/>
      <c r="B904" s="22"/>
      <c r="C904" s="22"/>
    </row>
    <row r="905" ht="14.25" customHeight="1">
      <c r="A905" s="21"/>
      <c r="B905" s="22"/>
      <c r="C905" s="22"/>
    </row>
    <row r="906" ht="14.25" customHeight="1">
      <c r="A906" s="21"/>
      <c r="B906" s="22"/>
      <c r="C906" s="22"/>
    </row>
    <row r="907" ht="14.25" customHeight="1">
      <c r="A907" s="21"/>
      <c r="B907" s="22"/>
      <c r="C907" s="22"/>
    </row>
    <row r="908" ht="14.25" customHeight="1">
      <c r="A908" s="21"/>
      <c r="B908" s="22"/>
      <c r="C908" s="22"/>
    </row>
    <row r="909" ht="14.25" customHeight="1">
      <c r="A909" s="21"/>
      <c r="B909" s="22"/>
      <c r="C909" s="22"/>
    </row>
    <row r="910" ht="14.25" customHeight="1">
      <c r="A910" s="21"/>
      <c r="B910" s="22"/>
      <c r="C910" s="22"/>
    </row>
    <row r="911" ht="14.25" customHeight="1">
      <c r="A911" s="21"/>
      <c r="B911" s="22"/>
      <c r="C911" s="22"/>
    </row>
    <row r="912" ht="14.25" customHeight="1">
      <c r="A912" s="21"/>
      <c r="B912" s="22"/>
      <c r="C912" s="22"/>
    </row>
    <row r="913" ht="14.25" customHeight="1">
      <c r="A913" s="21"/>
      <c r="B913" s="22"/>
      <c r="C913" s="22"/>
    </row>
    <row r="914" ht="14.25" customHeight="1">
      <c r="A914" s="21"/>
      <c r="B914" s="22"/>
      <c r="C914" s="22"/>
    </row>
    <row r="915" ht="14.25" customHeight="1">
      <c r="A915" s="21"/>
      <c r="B915" s="22"/>
      <c r="C915" s="22"/>
    </row>
    <row r="916" ht="14.25" customHeight="1">
      <c r="A916" s="21"/>
      <c r="B916" s="22"/>
      <c r="C916" s="22"/>
    </row>
    <row r="917" ht="14.25" customHeight="1">
      <c r="A917" s="21"/>
      <c r="B917" s="22"/>
      <c r="C917" s="22"/>
    </row>
    <row r="918" ht="14.25" customHeight="1">
      <c r="A918" s="21"/>
      <c r="B918" s="22"/>
      <c r="C918" s="22"/>
    </row>
    <row r="919" ht="14.25" customHeight="1">
      <c r="A919" s="21"/>
      <c r="B919" s="22"/>
      <c r="C919" s="22"/>
    </row>
    <row r="920" ht="14.25" customHeight="1">
      <c r="A920" s="21"/>
      <c r="B920" s="22"/>
      <c r="C920" s="22"/>
    </row>
    <row r="921" ht="14.25" customHeight="1">
      <c r="A921" s="21"/>
      <c r="B921" s="22"/>
      <c r="C921" s="22"/>
    </row>
    <row r="922" ht="14.25" customHeight="1">
      <c r="A922" s="21"/>
      <c r="B922" s="22"/>
      <c r="C922" s="22"/>
    </row>
    <row r="923" ht="14.25" customHeight="1">
      <c r="A923" s="21"/>
      <c r="B923" s="22"/>
      <c r="C923" s="22"/>
    </row>
    <row r="924" ht="14.25" customHeight="1">
      <c r="A924" s="21"/>
      <c r="B924" s="22"/>
      <c r="C924" s="22"/>
    </row>
    <row r="925" ht="14.25" customHeight="1">
      <c r="A925" s="21"/>
      <c r="B925" s="22"/>
      <c r="C925" s="22"/>
    </row>
    <row r="926" ht="14.25" customHeight="1">
      <c r="A926" s="21"/>
      <c r="B926" s="22"/>
      <c r="C926" s="22"/>
    </row>
    <row r="927" ht="14.25" customHeight="1">
      <c r="A927" s="21"/>
      <c r="B927" s="22"/>
      <c r="C927" s="22"/>
    </row>
    <row r="928" ht="14.25" customHeight="1">
      <c r="A928" s="21"/>
      <c r="B928" s="22"/>
      <c r="C928" s="22"/>
    </row>
    <row r="929" ht="14.25" customHeight="1">
      <c r="A929" s="21"/>
      <c r="B929" s="22"/>
      <c r="C929" s="22"/>
    </row>
    <row r="930" ht="14.25" customHeight="1">
      <c r="A930" s="21"/>
      <c r="B930" s="22"/>
      <c r="C930" s="22"/>
    </row>
    <row r="931" ht="14.25" customHeight="1">
      <c r="A931" s="21"/>
      <c r="B931" s="22"/>
      <c r="C931" s="22"/>
    </row>
    <row r="932" ht="14.25" customHeight="1">
      <c r="A932" s="21"/>
      <c r="B932" s="22"/>
      <c r="C932" s="22"/>
    </row>
    <row r="933" ht="14.25" customHeight="1">
      <c r="A933" s="21"/>
      <c r="B933" s="22"/>
      <c r="C933" s="22"/>
    </row>
    <row r="934" ht="14.25" customHeight="1">
      <c r="A934" s="21"/>
      <c r="B934" s="22"/>
      <c r="C934" s="22"/>
    </row>
    <row r="935" ht="14.25" customHeight="1">
      <c r="A935" s="21"/>
      <c r="B935" s="22"/>
      <c r="C935" s="22"/>
    </row>
    <row r="936" ht="14.25" customHeight="1">
      <c r="A936" s="21"/>
      <c r="B936" s="22"/>
      <c r="C936" s="22"/>
    </row>
    <row r="937" ht="14.25" customHeight="1">
      <c r="A937" s="21"/>
      <c r="B937" s="22"/>
      <c r="C937" s="22"/>
    </row>
    <row r="938" ht="14.25" customHeight="1">
      <c r="A938" s="21"/>
      <c r="B938" s="22"/>
      <c r="C938" s="22"/>
    </row>
    <row r="939" ht="14.25" customHeight="1">
      <c r="A939" s="21"/>
      <c r="B939" s="22"/>
      <c r="C939" s="22"/>
    </row>
    <row r="940" ht="14.25" customHeight="1">
      <c r="A940" s="21"/>
      <c r="B940" s="22"/>
      <c r="C940" s="22"/>
    </row>
    <row r="941" ht="14.25" customHeight="1">
      <c r="A941" s="21"/>
      <c r="B941" s="22"/>
      <c r="C941" s="22"/>
    </row>
    <row r="942" ht="14.25" customHeight="1">
      <c r="A942" s="21"/>
      <c r="B942" s="22"/>
      <c r="C942" s="22"/>
    </row>
    <row r="943" ht="14.25" customHeight="1">
      <c r="A943" s="21"/>
      <c r="B943" s="22"/>
      <c r="C943" s="22"/>
    </row>
    <row r="944" ht="14.25" customHeight="1">
      <c r="A944" s="21"/>
      <c r="B944" s="22"/>
      <c r="C944" s="22"/>
    </row>
    <row r="945" ht="14.25" customHeight="1">
      <c r="A945" s="21"/>
      <c r="B945" s="22"/>
      <c r="C945" s="22"/>
    </row>
    <row r="946" ht="14.25" customHeight="1">
      <c r="A946" s="21"/>
      <c r="B946" s="22"/>
      <c r="C946" s="22"/>
    </row>
    <row r="947" ht="14.25" customHeight="1">
      <c r="A947" s="21"/>
      <c r="B947" s="22"/>
      <c r="C947" s="22"/>
    </row>
    <row r="948" ht="14.25" customHeight="1">
      <c r="A948" s="21"/>
      <c r="B948" s="22"/>
      <c r="C948" s="22"/>
    </row>
    <row r="949" ht="14.25" customHeight="1">
      <c r="A949" s="21"/>
      <c r="B949" s="22"/>
      <c r="C949" s="22"/>
    </row>
    <row r="950" ht="14.25" customHeight="1">
      <c r="A950" s="21"/>
      <c r="B950" s="22"/>
      <c r="C950" s="22"/>
    </row>
    <row r="951" ht="14.25" customHeight="1">
      <c r="A951" s="21"/>
      <c r="B951" s="22"/>
      <c r="C951" s="22"/>
    </row>
    <row r="952" ht="14.25" customHeight="1">
      <c r="A952" s="21"/>
      <c r="B952" s="22"/>
      <c r="C952" s="22"/>
    </row>
    <row r="953" ht="14.25" customHeight="1">
      <c r="A953" s="21"/>
      <c r="B953" s="22"/>
      <c r="C953" s="22"/>
    </row>
    <row r="954" ht="14.25" customHeight="1">
      <c r="A954" s="21"/>
      <c r="B954" s="22"/>
      <c r="C954" s="22"/>
    </row>
    <row r="955" ht="14.25" customHeight="1">
      <c r="A955" s="21"/>
      <c r="B955" s="22"/>
      <c r="C955" s="22"/>
    </row>
    <row r="956" ht="14.25" customHeight="1">
      <c r="A956" s="21"/>
      <c r="B956" s="22"/>
      <c r="C956" s="22"/>
    </row>
    <row r="957" ht="14.25" customHeight="1">
      <c r="A957" s="21"/>
      <c r="B957" s="22"/>
      <c r="C957" s="22"/>
    </row>
    <row r="958" ht="14.25" customHeight="1">
      <c r="A958" s="21"/>
      <c r="B958" s="22"/>
      <c r="C958" s="22"/>
    </row>
    <row r="959" ht="14.25" customHeight="1">
      <c r="A959" s="21"/>
      <c r="B959" s="22"/>
      <c r="C959" s="22"/>
    </row>
    <row r="960" ht="14.25" customHeight="1">
      <c r="A960" s="21"/>
      <c r="B960" s="22"/>
      <c r="C960" s="22"/>
    </row>
    <row r="961" ht="14.25" customHeight="1">
      <c r="A961" s="21"/>
      <c r="B961" s="22"/>
      <c r="C961" s="22"/>
    </row>
    <row r="962" ht="14.25" customHeight="1">
      <c r="A962" s="21"/>
      <c r="B962" s="22"/>
      <c r="C962" s="22"/>
    </row>
    <row r="963" ht="14.25" customHeight="1">
      <c r="A963" s="21"/>
      <c r="B963" s="22"/>
      <c r="C963" s="22"/>
    </row>
    <row r="964" ht="14.25" customHeight="1">
      <c r="A964" s="21"/>
      <c r="B964" s="22"/>
      <c r="C964" s="22"/>
    </row>
    <row r="965" ht="14.25" customHeight="1">
      <c r="A965" s="21"/>
      <c r="B965" s="22"/>
      <c r="C965" s="22"/>
    </row>
    <row r="966" ht="14.25" customHeight="1">
      <c r="A966" s="21"/>
      <c r="B966" s="22"/>
      <c r="C966" s="22"/>
    </row>
    <row r="967" ht="14.25" customHeight="1">
      <c r="A967" s="21"/>
      <c r="B967" s="22"/>
      <c r="C967" s="22"/>
    </row>
    <row r="968" ht="14.25" customHeight="1">
      <c r="A968" s="21"/>
      <c r="B968" s="22"/>
      <c r="C968" s="22"/>
    </row>
    <row r="969" ht="14.25" customHeight="1">
      <c r="A969" s="21"/>
      <c r="B969" s="22"/>
      <c r="C969" s="22"/>
    </row>
    <row r="970" ht="14.25" customHeight="1">
      <c r="A970" s="21"/>
      <c r="B970" s="22"/>
      <c r="C970" s="22"/>
    </row>
    <row r="971" ht="14.25" customHeight="1">
      <c r="A971" s="21"/>
      <c r="B971" s="22"/>
      <c r="C971" s="22"/>
    </row>
    <row r="972" ht="14.25" customHeight="1">
      <c r="A972" s="21"/>
      <c r="B972" s="22"/>
      <c r="C972" s="22"/>
    </row>
    <row r="973" ht="14.25" customHeight="1">
      <c r="A973" s="21"/>
      <c r="B973" s="22"/>
      <c r="C973" s="22"/>
    </row>
    <row r="974" ht="14.25" customHeight="1">
      <c r="A974" s="21"/>
      <c r="B974" s="22"/>
      <c r="C974" s="22"/>
    </row>
    <row r="975" ht="14.25" customHeight="1">
      <c r="A975" s="21"/>
      <c r="B975" s="22"/>
      <c r="C975" s="22"/>
    </row>
    <row r="976" ht="14.25" customHeight="1">
      <c r="A976" s="21"/>
      <c r="B976" s="22"/>
      <c r="C976" s="22"/>
    </row>
    <row r="977" ht="14.25" customHeight="1">
      <c r="A977" s="21"/>
      <c r="B977" s="22"/>
      <c r="C977" s="22"/>
    </row>
    <row r="978" ht="14.25" customHeight="1">
      <c r="A978" s="21"/>
      <c r="B978" s="22"/>
      <c r="C978" s="22"/>
    </row>
    <row r="979" ht="14.25" customHeight="1">
      <c r="A979" s="21"/>
      <c r="B979" s="22"/>
      <c r="C979" s="22"/>
    </row>
    <row r="980" ht="14.25" customHeight="1">
      <c r="A980" s="21"/>
      <c r="B980" s="22"/>
      <c r="C980" s="22"/>
    </row>
    <row r="981" ht="14.25" customHeight="1">
      <c r="A981" s="21"/>
      <c r="B981" s="22"/>
      <c r="C981" s="22"/>
    </row>
    <row r="982" ht="14.25" customHeight="1">
      <c r="A982" s="21"/>
      <c r="B982" s="22"/>
      <c r="C982" s="22"/>
    </row>
    <row r="983" ht="14.25" customHeight="1">
      <c r="A983" s="21"/>
      <c r="B983" s="22"/>
      <c r="C983" s="22"/>
    </row>
    <row r="984" ht="14.25" customHeight="1">
      <c r="A984" s="21"/>
      <c r="B984" s="22"/>
      <c r="C984" s="22"/>
    </row>
    <row r="985" ht="14.25" customHeight="1">
      <c r="A985" s="21"/>
      <c r="B985" s="22"/>
      <c r="C985" s="22"/>
    </row>
    <row r="986" ht="14.25" customHeight="1">
      <c r="A986" s="21"/>
      <c r="B986" s="22"/>
      <c r="C986" s="22"/>
    </row>
    <row r="987" ht="14.25" customHeight="1">
      <c r="A987" s="21"/>
      <c r="B987" s="22"/>
      <c r="C987" s="22"/>
    </row>
    <row r="988" ht="14.25" customHeight="1">
      <c r="A988" s="21"/>
      <c r="B988" s="22"/>
      <c r="C988" s="22"/>
    </row>
    <row r="989" ht="14.25" customHeight="1">
      <c r="A989" s="21"/>
      <c r="B989" s="22"/>
      <c r="C989" s="22"/>
    </row>
    <row r="990" ht="14.25" customHeight="1">
      <c r="A990" s="21"/>
      <c r="B990" s="22"/>
      <c r="C990" s="22"/>
    </row>
    <row r="991" ht="14.25" customHeight="1">
      <c r="A991" s="21"/>
      <c r="B991" s="22"/>
      <c r="C991" s="22"/>
    </row>
    <row r="992" ht="14.25" customHeight="1">
      <c r="A992" s="21"/>
      <c r="B992" s="22"/>
      <c r="C992" s="22"/>
    </row>
    <row r="993" ht="14.25" customHeight="1">
      <c r="A993" s="21"/>
      <c r="B993" s="22"/>
      <c r="C993" s="22"/>
    </row>
    <row r="994" ht="14.25" customHeight="1">
      <c r="A994" s="21"/>
      <c r="B994" s="22"/>
      <c r="C994" s="22"/>
    </row>
    <row r="995" ht="14.25" customHeight="1">
      <c r="A995" s="21"/>
      <c r="B995" s="22"/>
      <c r="C995" s="22"/>
    </row>
    <row r="996" ht="14.25" customHeight="1">
      <c r="A996" s="21"/>
      <c r="B996" s="22"/>
      <c r="C996" s="22"/>
    </row>
    <row r="997" ht="14.25" customHeight="1">
      <c r="A997" s="21"/>
      <c r="B997" s="22"/>
      <c r="C997" s="22"/>
    </row>
    <row r="998" ht="14.25" customHeight="1">
      <c r="A998" s="21"/>
      <c r="B998" s="22"/>
      <c r="C998" s="22"/>
    </row>
    <row r="999" ht="14.25" customHeight="1">
      <c r="A999" s="21"/>
      <c r="B999" s="22"/>
      <c r="C999" s="22"/>
    </row>
    <row r="1000" ht="14.25" customHeight="1">
      <c r="A1000" s="21"/>
      <c r="B1000" s="22"/>
      <c r="C1000" s="22"/>
    </row>
  </sheetData>
  <mergeCells count="23">
    <mergeCell ref="BO1:BZ1"/>
    <mergeCell ref="CA1:CB1"/>
    <mergeCell ref="CC1:CD1"/>
    <mergeCell ref="AK1:AP1"/>
    <mergeCell ref="AQ1:AT1"/>
    <mergeCell ref="AU1:AV1"/>
    <mergeCell ref="AW1:BB1"/>
    <mergeCell ref="BC1:BF1"/>
    <mergeCell ref="BG1:BI1"/>
    <mergeCell ref="BJ1:BN1"/>
    <mergeCell ref="B2:C2"/>
    <mergeCell ref="A3:C3"/>
    <mergeCell ref="B54:B55"/>
    <mergeCell ref="A66:C70"/>
    <mergeCell ref="A74:C75"/>
    <mergeCell ref="A78:C80"/>
    <mergeCell ref="A1:A2"/>
    <mergeCell ref="B1:C1"/>
    <mergeCell ref="D1:L1"/>
    <mergeCell ref="M1:O1"/>
    <mergeCell ref="P1:W1"/>
    <mergeCell ref="X1:AC1"/>
    <mergeCell ref="AD1:AJ1"/>
  </mergeCells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5.86"/>
    <col customWidth="1" min="2" max="2" width="11.0"/>
    <col customWidth="1" min="3" max="3" width="9.14"/>
    <col customWidth="1" min="4" max="64" width="8.71"/>
  </cols>
  <sheetData>
    <row r="1" ht="14.25" customHeight="1">
      <c r="A1" s="1"/>
      <c r="B1" s="2" t="s">
        <v>0</v>
      </c>
      <c r="D1" s="3" t="s">
        <v>386</v>
      </c>
      <c r="H1" s="3" t="s">
        <v>387</v>
      </c>
      <c r="J1" s="3" t="s">
        <v>388</v>
      </c>
      <c r="N1" s="3" t="s">
        <v>389</v>
      </c>
      <c r="Q1" s="3" t="s">
        <v>390</v>
      </c>
      <c r="X1" s="3" t="s">
        <v>391</v>
      </c>
      <c r="AG1" s="3" t="s">
        <v>392</v>
      </c>
      <c r="BA1" s="3" t="s">
        <v>393</v>
      </c>
      <c r="BC1" s="3" t="s">
        <v>394</v>
      </c>
      <c r="BF1" s="3" t="s">
        <v>395</v>
      </c>
      <c r="BI1" s="3" t="s">
        <v>396</v>
      </c>
    </row>
    <row r="2" ht="14.25" customHeight="1">
      <c r="A2" s="4"/>
      <c r="B2" s="5" t="s">
        <v>44</v>
      </c>
      <c r="C2" s="4"/>
      <c r="D2" s="6" t="s">
        <v>55</v>
      </c>
      <c r="E2" s="7" t="s">
        <v>269</v>
      </c>
      <c r="F2" s="10" t="s">
        <v>50</v>
      </c>
      <c r="G2" s="9" t="s">
        <v>397</v>
      </c>
      <c r="H2" s="11" t="s">
        <v>55</v>
      </c>
      <c r="I2" s="60" t="s">
        <v>269</v>
      </c>
      <c r="J2" s="6" t="s">
        <v>398</v>
      </c>
      <c r="K2" s="7" t="s">
        <v>399</v>
      </c>
      <c r="L2" s="11" t="s">
        <v>400</v>
      </c>
      <c r="M2" s="60" t="s">
        <v>401</v>
      </c>
      <c r="N2" s="6" t="s">
        <v>52</v>
      </c>
      <c r="O2" s="7" t="s">
        <v>402</v>
      </c>
      <c r="P2" s="7" t="s">
        <v>403</v>
      </c>
      <c r="Q2" s="6" t="s">
        <v>404</v>
      </c>
      <c r="R2" s="6" t="s">
        <v>405</v>
      </c>
      <c r="S2" s="7" t="s">
        <v>406</v>
      </c>
      <c r="T2" s="7" t="s">
        <v>407</v>
      </c>
      <c r="U2" s="7" t="s">
        <v>408</v>
      </c>
      <c r="V2" s="7" t="s">
        <v>409</v>
      </c>
      <c r="W2" s="60" t="s">
        <v>300</v>
      </c>
      <c r="X2" s="7" t="s">
        <v>410</v>
      </c>
      <c r="Y2" s="61" t="s">
        <v>411</v>
      </c>
      <c r="Z2" s="7" t="s">
        <v>412</v>
      </c>
      <c r="AA2" s="7" t="s">
        <v>413</v>
      </c>
      <c r="AB2" s="7" t="s">
        <v>414</v>
      </c>
      <c r="AC2" s="7" t="s">
        <v>415</v>
      </c>
      <c r="AD2" s="7" t="s">
        <v>416</v>
      </c>
      <c r="AE2" s="7" t="s">
        <v>417</v>
      </c>
      <c r="AF2" s="7" t="s">
        <v>418</v>
      </c>
      <c r="AG2" s="6" t="s">
        <v>419</v>
      </c>
      <c r="AH2" s="7" t="s">
        <v>420</v>
      </c>
      <c r="AI2" s="6" t="s">
        <v>421</v>
      </c>
      <c r="AJ2" s="7" t="s">
        <v>422</v>
      </c>
      <c r="AK2" s="6" t="s">
        <v>423</v>
      </c>
      <c r="AL2" s="7" t="s">
        <v>424</v>
      </c>
      <c r="AM2" s="9" t="s">
        <v>425</v>
      </c>
      <c r="AN2" s="6" t="s">
        <v>426</v>
      </c>
      <c r="AO2" s="7" t="s">
        <v>427</v>
      </c>
      <c r="AP2" s="6" t="s">
        <v>428</v>
      </c>
      <c r="AQ2" s="7" t="s">
        <v>429</v>
      </c>
      <c r="AR2" s="6" t="s">
        <v>430</v>
      </c>
      <c r="AS2" s="7" t="s">
        <v>431</v>
      </c>
      <c r="AT2" s="9" t="s">
        <v>432</v>
      </c>
      <c r="AU2" s="6" t="s">
        <v>433</v>
      </c>
      <c r="AV2" s="7" t="s">
        <v>434</v>
      </c>
      <c r="AW2" s="6" t="s">
        <v>435</v>
      </c>
      <c r="AX2" s="7" t="s">
        <v>436</v>
      </c>
      <c r="AY2" s="6" t="s">
        <v>437</v>
      </c>
      <c r="AZ2" s="7" t="s">
        <v>438</v>
      </c>
      <c r="BA2" s="6" t="s">
        <v>52</v>
      </c>
      <c r="BB2" s="7" t="s">
        <v>271</v>
      </c>
      <c r="BC2" s="6" t="s">
        <v>55</v>
      </c>
      <c r="BD2" s="7" t="s">
        <v>269</v>
      </c>
      <c r="BE2" s="9" t="s">
        <v>60</v>
      </c>
      <c r="BF2" s="6" t="s">
        <v>55</v>
      </c>
      <c r="BG2" s="13" t="s">
        <v>439</v>
      </c>
      <c r="BH2" s="7" t="s">
        <v>269</v>
      </c>
      <c r="BI2" s="6" t="s">
        <v>55</v>
      </c>
      <c r="BJ2" s="7" t="s">
        <v>269</v>
      </c>
      <c r="BK2" s="9" t="s">
        <v>60</v>
      </c>
      <c r="BL2" s="11" t="s">
        <v>370</v>
      </c>
    </row>
    <row r="3" ht="14.25" customHeight="1">
      <c r="A3" s="15" t="s">
        <v>88</v>
      </c>
      <c r="B3" s="16"/>
      <c r="C3" s="17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8"/>
    </row>
    <row r="4" ht="14.25" customHeight="1">
      <c r="A4" s="19" t="s">
        <v>89</v>
      </c>
      <c r="B4" s="20" t="s">
        <v>90</v>
      </c>
      <c r="C4" s="20" t="s">
        <v>91</v>
      </c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</row>
    <row r="5" ht="14.25" customHeight="1">
      <c r="A5" s="21" t="s">
        <v>92</v>
      </c>
      <c r="B5" s="22" t="s">
        <v>93</v>
      </c>
      <c r="C5" s="22"/>
      <c r="D5" s="23">
        <v>78.86</v>
      </c>
      <c r="E5" s="23">
        <v>77.87</v>
      </c>
      <c r="F5" s="23">
        <v>79.98</v>
      </c>
      <c r="G5" s="23">
        <v>81.7</v>
      </c>
      <c r="H5" s="23">
        <v>11.27</v>
      </c>
      <c r="I5" s="23">
        <v>69.49</v>
      </c>
      <c r="J5" s="23">
        <v>67.5</v>
      </c>
      <c r="K5" s="23">
        <v>68.6</v>
      </c>
      <c r="L5" s="23">
        <v>8.54</v>
      </c>
      <c r="M5" s="23">
        <v>62.55</v>
      </c>
      <c r="N5" s="23">
        <v>5.16</v>
      </c>
      <c r="O5" s="23">
        <v>4.61</v>
      </c>
      <c r="P5" s="23">
        <v>7.25</v>
      </c>
      <c r="Q5" s="23">
        <v>84.55</v>
      </c>
      <c r="R5" s="23">
        <v>69.83</v>
      </c>
      <c r="S5" s="23">
        <v>70.01</v>
      </c>
      <c r="T5" s="23">
        <v>87.26</v>
      </c>
      <c r="U5" s="23">
        <v>71.12</v>
      </c>
      <c r="V5" s="23">
        <v>81.28</v>
      </c>
      <c r="W5" s="23">
        <v>50.52</v>
      </c>
      <c r="X5" s="23">
        <v>81.64</v>
      </c>
      <c r="Y5" s="23">
        <v>88.05</v>
      </c>
      <c r="Z5" s="23">
        <v>59.65</v>
      </c>
      <c r="AA5" s="23">
        <v>55.02</v>
      </c>
      <c r="AB5" s="23">
        <v>43.02</v>
      </c>
      <c r="AC5" s="23">
        <v>48.98</v>
      </c>
      <c r="AD5" s="23">
        <v>50.4</v>
      </c>
      <c r="AE5" s="23">
        <v>7.48</v>
      </c>
      <c r="AF5" s="23">
        <v>4.42</v>
      </c>
      <c r="AG5" s="23">
        <v>11.02</v>
      </c>
      <c r="AH5" s="23">
        <v>65.74</v>
      </c>
      <c r="AI5" s="23">
        <v>12.39</v>
      </c>
      <c r="AJ5" s="23">
        <v>64.65</v>
      </c>
      <c r="AK5" s="23">
        <v>11.75</v>
      </c>
      <c r="AL5" s="23">
        <v>66.94</v>
      </c>
      <c r="AM5" s="23">
        <v>78.04</v>
      </c>
      <c r="AN5" s="23">
        <v>10.06</v>
      </c>
      <c r="AO5" s="23">
        <v>61.2</v>
      </c>
      <c r="AP5" s="23">
        <v>11.33</v>
      </c>
      <c r="AQ5" s="23">
        <v>62.95</v>
      </c>
      <c r="AR5" s="23">
        <v>11.32</v>
      </c>
      <c r="AS5" s="23">
        <v>63.08</v>
      </c>
      <c r="AT5" s="23">
        <v>70.1</v>
      </c>
      <c r="AU5" s="23">
        <v>11.1</v>
      </c>
      <c r="AV5" s="23">
        <v>62.98</v>
      </c>
      <c r="AW5" s="23">
        <v>13.44</v>
      </c>
      <c r="AX5" s="23">
        <v>66.29</v>
      </c>
      <c r="AY5" s="23">
        <v>10.77</v>
      </c>
      <c r="AZ5" s="23">
        <v>66.57</v>
      </c>
      <c r="BA5" s="23">
        <v>10.4</v>
      </c>
      <c r="BB5" s="23">
        <v>69.64</v>
      </c>
      <c r="BC5" s="23">
        <v>10.98</v>
      </c>
      <c r="BD5" s="23">
        <v>71.54</v>
      </c>
      <c r="BE5" s="23">
        <v>80.32</v>
      </c>
      <c r="BF5" s="23">
        <v>9.05</v>
      </c>
      <c r="BG5" s="23">
        <v>90.4</v>
      </c>
      <c r="BH5" s="23">
        <v>72.66</v>
      </c>
      <c r="BI5" s="23">
        <v>11.53</v>
      </c>
      <c r="BJ5" s="23">
        <v>60.21</v>
      </c>
      <c r="BK5" s="23">
        <v>66.72</v>
      </c>
      <c r="BL5" s="23">
        <v>10.28</v>
      </c>
    </row>
    <row r="6" ht="14.25" customHeight="1">
      <c r="A6" s="21" t="s">
        <v>94</v>
      </c>
      <c r="B6" s="22" t="s">
        <v>95</v>
      </c>
      <c r="C6" s="22"/>
      <c r="D6" s="23">
        <v>81.0</v>
      </c>
      <c r="E6" s="23">
        <v>84.0</v>
      </c>
      <c r="F6" s="23">
        <v>77.0</v>
      </c>
      <c r="G6" s="23">
        <v>69.0</v>
      </c>
      <c r="H6" s="23">
        <v>341.0</v>
      </c>
      <c r="I6" s="23">
        <v>118.0</v>
      </c>
      <c r="J6" s="23">
        <v>147.0</v>
      </c>
      <c r="K6" s="23">
        <v>141.0</v>
      </c>
      <c r="L6" s="23">
        <v>446.0</v>
      </c>
      <c r="M6" s="23">
        <v>173.0</v>
      </c>
      <c r="N6" s="23">
        <v>436.0</v>
      </c>
      <c r="O6" s="23">
        <v>375.0</v>
      </c>
      <c r="P6" s="23">
        <v>330.0</v>
      </c>
      <c r="Q6" s="23">
        <v>76.0</v>
      </c>
      <c r="R6" s="23">
        <v>145.0</v>
      </c>
      <c r="S6" s="23">
        <v>116.0</v>
      </c>
      <c r="T6" s="23">
        <v>61.0</v>
      </c>
      <c r="U6" s="23">
        <v>146.0</v>
      </c>
      <c r="V6" s="23">
        <v>91.0</v>
      </c>
      <c r="W6" s="23">
        <v>271.0</v>
      </c>
      <c r="X6" s="23">
        <v>77.0</v>
      </c>
      <c r="Y6" s="23">
        <v>54.0</v>
      </c>
      <c r="Z6" s="23">
        <v>193.0</v>
      </c>
      <c r="AA6" s="23">
        <v>212.0</v>
      </c>
      <c r="AB6" s="23">
        <v>199.0</v>
      </c>
      <c r="AC6" s="23">
        <v>310.0</v>
      </c>
      <c r="AD6" s="23">
        <v>257.0</v>
      </c>
      <c r="AE6" s="23">
        <v>313.0</v>
      </c>
      <c r="AF6" s="23">
        <v>388.0</v>
      </c>
      <c r="AG6" s="23">
        <v>341.0</v>
      </c>
      <c r="AH6" s="23">
        <v>132.0</v>
      </c>
      <c r="AI6" s="23">
        <v>335.0</v>
      </c>
      <c r="AJ6" s="23">
        <v>136.0</v>
      </c>
      <c r="AK6" s="23">
        <v>333.0</v>
      </c>
      <c r="AL6" s="23">
        <v>127.0</v>
      </c>
      <c r="AM6" s="23">
        <v>82.0</v>
      </c>
      <c r="AN6" s="23">
        <v>343.0</v>
      </c>
      <c r="AO6" s="23">
        <v>149.0</v>
      </c>
      <c r="AP6" s="23">
        <v>347.0</v>
      </c>
      <c r="AQ6" s="23">
        <v>143.0</v>
      </c>
      <c r="AR6" s="23">
        <v>333.0</v>
      </c>
      <c r="AS6" s="23">
        <v>139.0</v>
      </c>
      <c r="AT6" s="23">
        <v>114.0</v>
      </c>
      <c r="AU6" s="23">
        <v>345.0</v>
      </c>
      <c r="AV6" s="23">
        <v>144.0</v>
      </c>
      <c r="AW6" s="23">
        <v>329.0</v>
      </c>
      <c r="AX6" s="23">
        <v>128.0</v>
      </c>
      <c r="AY6" s="23">
        <v>343.0</v>
      </c>
      <c r="AZ6" s="23">
        <v>129.0</v>
      </c>
      <c r="BA6" s="23">
        <v>353.0</v>
      </c>
      <c r="BB6" s="23">
        <v>116.0</v>
      </c>
      <c r="BC6" s="23">
        <v>341.0</v>
      </c>
      <c r="BD6" s="23">
        <v>110.0</v>
      </c>
      <c r="BE6" s="23">
        <v>71.0</v>
      </c>
      <c r="BF6" s="23">
        <v>347.0</v>
      </c>
      <c r="BG6" s="23">
        <v>30.0</v>
      </c>
      <c r="BH6" s="23">
        <v>105.0</v>
      </c>
      <c r="BI6" s="23">
        <v>364.0</v>
      </c>
      <c r="BJ6" s="23">
        <v>164.0</v>
      </c>
      <c r="BK6" s="23">
        <v>139.0</v>
      </c>
      <c r="BL6" s="23">
        <v>387.0</v>
      </c>
    </row>
    <row r="7" ht="14.25" customHeight="1">
      <c r="A7" s="21" t="s">
        <v>96</v>
      </c>
      <c r="B7" s="22" t="s">
        <v>97</v>
      </c>
      <c r="C7" s="22" t="s">
        <v>98</v>
      </c>
      <c r="D7" s="23">
        <v>5.42</v>
      </c>
      <c r="E7" s="23">
        <v>5.36</v>
      </c>
      <c r="F7" s="23">
        <v>5.22</v>
      </c>
      <c r="G7" s="23">
        <v>4.42</v>
      </c>
      <c r="H7" s="25">
        <v>24.55</v>
      </c>
      <c r="I7" s="23">
        <v>8.34</v>
      </c>
      <c r="J7" s="24">
        <v>12.95</v>
      </c>
      <c r="K7" s="24">
        <v>12.35</v>
      </c>
      <c r="L7" s="26">
        <v>36.49</v>
      </c>
      <c r="M7" s="24">
        <v>16.64</v>
      </c>
      <c r="N7" s="26">
        <v>34.54</v>
      </c>
      <c r="O7" s="26">
        <v>45.51</v>
      </c>
      <c r="P7" s="26">
        <v>47.01</v>
      </c>
      <c r="Q7" s="23">
        <v>8.08</v>
      </c>
      <c r="R7" s="24">
        <v>15.78</v>
      </c>
      <c r="S7" s="23">
        <v>8.15</v>
      </c>
      <c r="T7" s="23">
        <v>6.55</v>
      </c>
      <c r="U7" s="24">
        <v>12.68</v>
      </c>
      <c r="V7" s="23">
        <v>9.89</v>
      </c>
      <c r="W7" s="24">
        <v>17.19</v>
      </c>
      <c r="X7" s="23">
        <v>3.22</v>
      </c>
      <c r="Y7" s="23">
        <v>3.27</v>
      </c>
      <c r="Z7" s="24">
        <v>18.54</v>
      </c>
      <c r="AA7" s="24">
        <v>17.72</v>
      </c>
      <c r="AB7" s="23">
        <v>11.69</v>
      </c>
      <c r="AC7" s="23">
        <v>10.68</v>
      </c>
      <c r="AD7" s="24">
        <v>18.53</v>
      </c>
      <c r="AE7" s="26">
        <v>38.11</v>
      </c>
      <c r="AF7" s="51">
        <v>87.75</v>
      </c>
      <c r="AG7" s="25">
        <v>21.6</v>
      </c>
      <c r="AH7" s="23">
        <v>8.86</v>
      </c>
      <c r="AI7" s="25">
        <v>23.03</v>
      </c>
      <c r="AJ7" s="23">
        <v>9.34</v>
      </c>
      <c r="AK7" s="25">
        <v>23.58</v>
      </c>
      <c r="AL7" s="23">
        <v>8.67</v>
      </c>
      <c r="AM7" s="23">
        <v>5.22</v>
      </c>
      <c r="AN7" s="25">
        <v>20.96</v>
      </c>
      <c r="AO7" s="23">
        <v>9.06</v>
      </c>
      <c r="AP7" s="25">
        <v>21.42</v>
      </c>
      <c r="AQ7" s="23">
        <v>9.01</v>
      </c>
      <c r="AR7" s="25">
        <v>23.36</v>
      </c>
      <c r="AS7" s="23">
        <v>9.73</v>
      </c>
      <c r="AT7" s="23">
        <v>7.26</v>
      </c>
      <c r="AU7" s="23">
        <v>22.0</v>
      </c>
      <c r="AV7" s="23">
        <v>9.16</v>
      </c>
      <c r="AW7" s="25">
        <v>19.87</v>
      </c>
      <c r="AX7" s="23">
        <v>7.52</v>
      </c>
      <c r="AY7" s="24">
        <v>18.81</v>
      </c>
      <c r="AZ7" s="23">
        <v>7.05</v>
      </c>
      <c r="BA7" s="25">
        <v>25.8</v>
      </c>
      <c r="BB7" s="23">
        <v>9.02</v>
      </c>
      <c r="BC7" s="25">
        <v>26.12</v>
      </c>
      <c r="BD7" s="23">
        <v>7.6</v>
      </c>
      <c r="BE7" s="23">
        <v>5.47</v>
      </c>
      <c r="BF7" s="25">
        <v>23.86</v>
      </c>
      <c r="BG7" s="23">
        <v>3.04</v>
      </c>
      <c r="BH7" s="23">
        <v>7.02</v>
      </c>
      <c r="BI7" s="25">
        <v>19.3</v>
      </c>
      <c r="BJ7" s="23">
        <v>8.86</v>
      </c>
      <c r="BK7" s="23">
        <v>7.05</v>
      </c>
      <c r="BL7" s="25">
        <v>22.39</v>
      </c>
    </row>
    <row r="8" ht="14.25" customHeight="1">
      <c r="A8" s="21" t="s">
        <v>99</v>
      </c>
      <c r="B8" s="22" t="s">
        <v>100</v>
      </c>
      <c r="C8" s="22"/>
      <c r="D8" s="23">
        <v>0.4</v>
      </c>
      <c r="E8" s="23">
        <v>0.22</v>
      </c>
      <c r="F8" s="23">
        <v>0.4</v>
      </c>
      <c r="G8" s="23">
        <v>0.35</v>
      </c>
      <c r="H8" s="23">
        <v>1.16</v>
      </c>
      <c r="I8" s="23">
        <v>0.39</v>
      </c>
      <c r="J8" s="23">
        <v>6.8</v>
      </c>
      <c r="K8" s="23">
        <v>6.4</v>
      </c>
      <c r="L8" s="25">
        <v>19.94</v>
      </c>
      <c r="M8" s="24">
        <v>8.97</v>
      </c>
      <c r="N8" s="25">
        <v>20.65</v>
      </c>
      <c r="O8" s="24">
        <v>8.9</v>
      </c>
      <c r="P8" s="23">
        <v>1.22</v>
      </c>
      <c r="Q8" s="23">
        <v>4.78</v>
      </c>
      <c r="R8" s="24">
        <v>8.72</v>
      </c>
      <c r="S8" s="23">
        <v>8.0</v>
      </c>
      <c r="T8" s="23">
        <v>3.69</v>
      </c>
      <c r="U8" s="24">
        <v>9.99</v>
      </c>
      <c r="V8" s="23">
        <v>5.83</v>
      </c>
      <c r="W8" s="25">
        <v>20.18</v>
      </c>
      <c r="X8" s="23">
        <v>1.73</v>
      </c>
      <c r="Y8" s="23">
        <v>1.75</v>
      </c>
      <c r="Z8" s="24">
        <v>10.8</v>
      </c>
      <c r="AA8" s="23">
        <v>11.0</v>
      </c>
      <c r="AB8" s="23">
        <v>6.01</v>
      </c>
      <c r="AC8" s="26">
        <v>29.52</v>
      </c>
      <c r="AD8" s="25">
        <v>18.16</v>
      </c>
      <c r="AE8" s="23">
        <v>2.97</v>
      </c>
      <c r="AF8" s="23">
        <v>4.0</v>
      </c>
      <c r="AG8" s="23">
        <v>1.42</v>
      </c>
      <c r="AH8" s="23">
        <v>0.54</v>
      </c>
      <c r="AI8" s="23">
        <v>1.23</v>
      </c>
      <c r="AJ8" s="23">
        <v>0.46</v>
      </c>
      <c r="AK8" s="23">
        <v>0.83</v>
      </c>
      <c r="AL8" s="23">
        <v>0.5</v>
      </c>
      <c r="AM8" s="23">
        <v>0.6</v>
      </c>
      <c r="AN8" s="23">
        <v>1.13</v>
      </c>
      <c r="AO8" s="23">
        <v>0.49</v>
      </c>
      <c r="AP8" s="23">
        <v>1.23</v>
      </c>
      <c r="AQ8" s="23">
        <v>0.65</v>
      </c>
      <c r="AR8" s="23">
        <v>0.85</v>
      </c>
      <c r="AS8" s="23">
        <v>0.35</v>
      </c>
      <c r="AT8" s="23">
        <v>0.29</v>
      </c>
      <c r="AU8" s="23">
        <v>2.6</v>
      </c>
      <c r="AV8" s="23">
        <v>1.08</v>
      </c>
      <c r="AW8" s="23">
        <v>0.53</v>
      </c>
      <c r="AX8" s="23">
        <v>0.1</v>
      </c>
      <c r="AY8" s="23">
        <v>2.02</v>
      </c>
      <c r="AZ8" s="23">
        <v>0.76</v>
      </c>
      <c r="BA8" s="23">
        <v>1.06</v>
      </c>
      <c r="BB8" s="23">
        <v>0.38</v>
      </c>
      <c r="BC8" s="23">
        <v>1.53</v>
      </c>
      <c r="BD8" s="23">
        <v>0.4</v>
      </c>
      <c r="BE8" s="23">
        <v>0.22</v>
      </c>
      <c r="BF8" s="23">
        <v>1.15</v>
      </c>
      <c r="BG8" s="23">
        <v>0.18</v>
      </c>
      <c r="BH8" s="23">
        <v>0.38</v>
      </c>
      <c r="BI8" s="23">
        <v>6.04</v>
      </c>
      <c r="BJ8" s="23">
        <v>2.59</v>
      </c>
      <c r="BK8" s="23">
        <v>2.77</v>
      </c>
      <c r="BL8" s="23">
        <v>6.69</v>
      </c>
    </row>
    <row r="9" ht="14.25" customHeight="1">
      <c r="A9" s="21" t="s">
        <v>101</v>
      </c>
      <c r="B9" s="22" t="s">
        <v>102</v>
      </c>
      <c r="C9" s="22"/>
      <c r="D9" s="23">
        <v>14.45</v>
      </c>
      <c r="E9" s="23">
        <v>15.63</v>
      </c>
      <c r="F9" s="23">
        <v>13.62</v>
      </c>
      <c r="G9" s="23">
        <v>12.58</v>
      </c>
      <c r="H9" s="23">
        <v>60.37</v>
      </c>
      <c r="I9" s="23">
        <v>21.1</v>
      </c>
      <c r="J9" s="23">
        <v>11.05</v>
      </c>
      <c r="K9" s="23">
        <v>11.05</v>
      </c>
      <c r="L9" s="23">
        <v>30.16</v>
      </c>
      <c r="M9" s="23">
        <v>9.93</v>
      </c>
      <c r="N9" s="23">
        <v>35.19</v>
      </c>
      <c r="O9" s="23">
        <v>34.93</v>
      </c>
      <c r="P9" s="23">
        <v>38.37</v>
      </c>
      <c r="Q9" s="23">
        <v>1.88</v>
      </c>
      <c r="R9" s="23">
        <v>4.27</v>
      </c>
      <c r="S9" s="23">
        <v>5.15</v>
      </c>
      <c r="T9" s="23">
        <v>1.8</v>
      </c>
      <c r="U9" s="23">
        <v>4.39</v>
      </c>
      <c r="V9" s="23">
        <v>2.0</v>
      </c>
      <c r="W9" s="23">
        <v>10.49</v>
      </c>
      <c r="X9" s="23">
        <v>12.54</v>
      </c>
      <c r="Y9" s="23">
        <v>6.28</v>
      </c>
      <c r="Z9" s="23">
        <v>9.39</v>
      </c>
      <c r="AA9" s="23">
        <v>14.36</v>
      </c>
      <c r="AB9" s="23">
        <v>26.47</v>
      </c>
      <c r="AC9" s="23">
        <v>6.32</v>
      </c>
      <c r="AD9" s="23">
        <v>9.84</v>
      </c>
      <c r="AE9" s="23">
        <v>38.32</v>
      </c>
      <c r="AF9" s="23">
        <v>0.0</v>
      </c>
      <c r="AG9" s="23">
        <v>62.36</v>
      </c>
      <c r="AH9" s="23">
        <v>23.71</v>
      </c>
      <c r="AI9" s="23">
        <v>60.05</v>
      </c>
      <c r="AJ9" s="23">
        <v>24.46</v>
      </c>
      <c r="AK9" s="23">
        <v>60.01</v>
      </c>
      <c r="AL9" s="23">
        <v>22.8</v>
      </c>
      <c r="AM9" s="23">
        <v>14.5</v>
      </c>
      <c r="AN9" s="23">
        <v>64.19</v>
      </c>
      <c r="AO9" s="23">
        <v>27.91</v>
      </c>
      <c r="AP9" s="23">
        <v>62.55</v>
      </c>
      <c r="AQ9" s="23">
        <v>26.22</v>
      </c>
      <c r="AR9" s="23">
        <v>60.27</v>
      </c>
      <c r="AS9" s="23">
        <v>25.09</v>
      </c>
      <c r="AT9" s="23">
        <v>21.2</v>
      </c>
      <c r="AU9" s="23">
        <v>60.7</v>
      </c>
      <c r="AV9" s="23">
        <v>25.27</v>
      </c>
      <c r="AW9" s="23">
        <v>62.9</v>
      </c>
      <c r="AX9" s="23">
        <v>24.77</v>
      </c>
      <c r="AY9" s="23">
        <v>64.11</v>
      </c>
      <c r="AZ9" s="23">
        <v>24.02</v>
      </c>
      <c r="BA9" s="23">
        <v>60.08</v>
      </c>
      <c r="BB9" s="23">
        <v>20.13</v>
      </c>
      <c r="BC9" s="23">
        <v>58.29</v>
      </c>
      <c r="BD9" s="23">
        <v>19.65</v>
      </c>
      <c r="BE9" s="23">
        <v>12.41</v>
      </c>
      <c r="BF9" s="23">
        <v>62.62</v>
      </c>
      <c r="BG9" s="23">
        <v>5.94</v>
      </c>
      <c r="BH9" s="23">
        <v>19.15</v>
      </c>
      <c r="BI9" s="23">
        <v>60.65</v>
      </c>
      <c r="BJ9" s="23">
        <v>27.42</v>
      </c>
      <c r="BK9" s="23">
        <v>22.53</v>
      </c>
      <c r="BL9" s="23">
        <v>57.82</v>
      </c>
    </row>
    <row r="10" ht="14.25" customHeight="1">
      <c r="A10" s="21" t="s">
        <v>103</v>
      </c>
      <c r="B10" s="22" t="s">
        <v>104</v>
      </c>
      <c r="C10" s="22"/>
      <c r="D10" s="23">
        <v>5.1</v>
      </c>
      <c r="E10" s="23">
        <v>5.5</v>
      </c>
      <c r="F10" s="23">
        <v>4.5</v>
      </c>
      <c r="G10" s="23">
        <v>4.1</v>
      </c>
      <c r="H10" s="26">
        <v>25.5</v>
      </c>
      <c r="I10" s="23">
        <v>8.3</v>
      </c>
      <c r="J10" s="23">
        <v>4.2</v>
      </c>
      <c r="K10" s="23">
        <v>4.2</v>
      </c>
      <c r="L10" s="24">
        <v>9.3</v>
      </c>
      <c r="M10" s="23">
        <v>6.0</v>
      </c>
      <c r="N10" s="24">
        <v>9.6</v>
      </c>
      <c r="O10" s="25">
        <v>16.0</v>
      </c>
      <c r="P10" s="25">
        <v>17.5</v>
      </c>
      <c r="Q10" s="23">
        <v>0.3</v>
      </c>
      <c r="R10" s="23">
        <v>2.3</v>
      </c>
      <c r="T10" s="23">
        <v>0.2</v>
      </c>
      <c r="U10" s="23">
        <v>0.6</v>
      </c>
      <c r="V10" s="23">
        <v>0.4</v>
      </c>
      <c r="W10" s="23">
        <v>3.9</v>
      </c>
      <c r="Y10" s="23">
        <v>0.6</v>
      </c>
      <c r="AA10" s="23">
        <v>5.4</v>
      </c>
      <c r="AB10" s="23">
        <v>5.4</v>
      </c>
      <c r="AC10" s="23">
        <v>2.6</v>
      </c>
      <c r="AD10" s="23">
        <v>2.8</v>
      </c>
      <c r="AE10" s="25">
        <v>17.5</v>
      </c>
      <c r="AG10" s="25">
        <v>15.5</v>
      </c>
      <c r="AH10" s="23">
        <v>8.7</v>
      </c>
      <c r="AI10" s="26">
        <v>24.7</v>
      </c>
      <c r="AJ10" s="24">
        <v>10.0</v>
      </c>
      <c r="AK10" s="26">
        <v>24.9</v>
      </c>
      <c r="AL10" s="23">
        <v>6.4</v>
      </c>
      <c r="AM10" s="23">
        <v>5.3</v>
      </c>
      <c r="AN10" s="24">
        <v>12.7</v>
      </c>
      <c r="AO10" s="23">
        <v>5.3</v>
      </c>
      <c r="AP10" s="25">
        <v>15.5</v>
      </c>
      <c r="AQ10" s="23">
        <v>9.0</v>
      </c>
      <c r="AR10" s="25">
        <v>15.2</v>
      </c>
      <c r="AS10" s="23">
        <v>6.3</v>
      </c>
      <c r="AT10" s="23">
        <v>4.8</v>
      </c>
      <c r="AU10" s="26">
        <v>25.1</v>
      </c>
      <c r="AV10" s="24">
        <v>10.4</v>
      </c>
      <c r="AW10" s="24">
        <v>12.7</v>
      </c>
      <c r="AX10" s="23">
        <v>7.3</v>
      </c>
      <c r="AY10" s="26">
        <v>25.2</v>
      </c>
      <c r="AZ10" s="24">
        <v>9.4</v>
      </c>
      <c r="BA10" s="26">
        <v>30.5</v>
      </c>
      <c r="BB10" s="23">
        <v>7.9</v>
      </c>
      <c r="BC10" s="26">
        <v>25.0</v>
      </c>
      <c r="BD10" s="23">
        <v>5.4</v>
      </c>
      <c r="BE10" s="23">
        <v>3.7</v>
      </c>
      <c r="BF10" s="25">
        <v>16.3</v>
      </c>
      <c r="BG10" s="23">
        <v>1.8</v>
      </c>
      <c r="BH10" s="23">
        <v>7.6</v>
      </c>
      <c r="BI10" s="25">
        <v>17.4</v>
      </c>
      <c r="BJ10" s="23">
        <v>7.6</v>
      </c>
      <c r="BL10" s="24">
        <v>10.8</v>
      </c>
    </row>
    <row r="11" ht="14.25" customHeight="1">
      <c r="A11" s="21" t="s">
        <v>105</v>
      </c>
      <c r="B11" s="22"/>
      <c r="C11" s="22"/>
      <c r="D11" s="23">
        <v>5.67</v>
      </c>
      <c r="E11" s="23">
        <v>5.93</v>
      </c>
      <c r="F11" s="23">
        <v>5.0</v>
      </c>
      <c r="G11" s="23">
        <v>4.16</v>
      </c>
      <c r="H11" s="23">
        <v>8.0</v>
      </c>
      <c r="I11" s="23">
        <v>2.9</v>
      </c>
      <c r="L11" s="23">
        <v>7.33</v>
      </c>
      <c r="M11" s="23">
        <v>3.0</v>
      </c>
      <c r="N11" s="23">
        <v>7.5</v>
      </c>
      <c r="O11" s="23">
        <v>10.53</v>
      </c>
      <c r="P11" s="23">
        <v>18.88</v>
      </c>
      <c r="T11" s="23">
        <v>0.7</v>
      </c>
      <c r="V11" s="23">
        <v>0.5</v>
      </c>
      <c r="W11" s="23">
        <v>2.72</v>
      </c>
      <c r="Y11" s="23">
        <v>3.99</v>
      </c>
      <c r="AA11" s="23">
        <v>4.89</v>
      </c>
      <c r="AB11" s="23">
        <v>6.2</v>
      </c>
      <c r="AC11" s="23">
        <v>0.0</v>
      </c>
      <c r="AD11" s="23">
        <v>0.0</v>
      </c>
      <c r="AG11" s="23">
        <v>2.12</v>
      </c>
      <c r="AK11" s="23">
        <v>2.23</v>
      </c>
      <c r="AL11" s="23">
        <v>0.32</v>
      </c>
      <c r="AM11" s="23">
        <v>1.85</v>
      </c>
      <c r="AN11" s="23">
        <v>2.14</v>
      </c>
      <c r="AO11" s="23">
        <v>0.36</v>
      </c>
      <c r="AP11" s="23">
        <v>2.11</v>
      </c>
      <c r="AQ11" s="23">
        <v>0.34</v>
      </c>
      <c r="AR11" s="23">
        <v>2.11</v>
      </c>
      <c r="AS11" s="23">
        <v>0.34</v>
      </c>
      <c r="AT11" s="23">
        <v>0.29</v>
      </c>
      <c r="BA11" s="23">
        <v>2.03</v>
      </c>
      <c r="BB11" s="23">
        <v>1.8</v>
      </c>
      <c r="BC11" s="23">
        <v>5.7</v>
      </c>
      <c r="BD11" s="23">
        <v>1.82</v>
      </c>
      <c r="BF11" s="23">
        <v>6.6</v>
      </c>
      <c r="BG11" s="23">
        <v>4.13</v>
      </c>
      <c r="BH11" s="23">
        <v>2.0</v>
      </c>
      <c r="BI11" s="23">
        <v>10.7</v>
      </c>
      <c r="BJ11" s="23">
        <v>4.8</v>
      </c>
      <c r="BL11" s="23">
        <v>10.85</v>
      </c>
    </row>
    <row r="12" ht="14.25" customHeight="1">
      <c r="A12" s="19" t="s">
        <v>106</v>
      </c>
      <c r="B12" s="27"/>
      <c r="C12" s="27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</row>
    <row r="13" ht="14.25" customHeight="1">
      <c r="A13" s="21" t="s">
        <v>107</v>
      </c>
      <c r="B13" s="22">
        <v>1000.0</v>
      </c>
      <c r="C13" s="22">
        <v>2500.0</v>
      </c>
      <c r="D13" s="23">
        <v>25.0</v>
      </c>
      <c r="E13" s="23">
        <v>27.0</v>
      </c>
      <c r="F13" s="23">
        <v>22.0</v>
      </c>
      <c r="G13" s="23">
        <v>20.0</v>
      </c>
      <c r="H13" s="23">
        <v>55.0</v>
      </c>
      <c r="I13" s="23">
        <v>14.0</v>
      </c>
      <c r="J13" s="24">
        <v>197.0</v>
      </c>
      <c r="K13" s="23">
        <v>145.0</v>
      </c>
      <c r="L13" s="25">
        <v>277.0</v>
      </c>
      <c r="M13" s="23">
        <v>102.0</v>
      </c>
      <c r="N13" s="25">
        <v>206.0</v>
      </c>
      <c r="O13" s="25">
        <v>285.0</v>
      </c>
      <c r="P13" s="25">
        <v>241.0</v>
      </c>
      <c r="Q13" s="50">
        <v>350.0</v>
      </c>
      <c r="R13" s="26">
        <v>683.0</v>
      </c>
      <c r="S13" s="23">
        <v>46.0</v>
      </c>
      <c r="T13" s="23">
        <v>111.0</v>
      </c>
      <c r="U13" s="50">
        <v>345.0</v>
      </c>
      <c r="V13" s="23">
        <v>175.0</v>
      </c>
      <c r="W13" s="50">
        <v>372.0</v>
      </c>
      <c r="X13" s="23">
        <v>80.0</v>
      </c>
      <c r="Y13" s="23">
        <v>25.0</v>
      </c>
      <c r="Z13" s="23">
        <v>111.0</v>
      </c>
      <c r="AA13" s="24">
        <v>217.0</v>
      </c>
      <c r="AB13" s="23">
        <v>57.0</v>
      </c>
      <c r="AC13" s="23">
        <v>23.0</v>
      </c>
      <c r="AD13" s="23">
        <v>63.0</v>
      </c>
      <c r="AE13" s="24">
        <v>204.0</v>
      </c>
      <c r="AF13" s="24">
        <v>200.0</v>
      </c>
      <c r="AG13" s="23">
        <v>123.0</v>
      </c>
      <c r="AH13" s="23">
        <v>27.0</v>
      </c>
      <c r="AI13" s="23">
        <v>127.0</v>
      </c>
      <c r="AJ13" s="23">
        <v>50.0</v>
      </c>
      <c r="AK13" s="23">
        <v>143.0</v>
      </c>
      <c r="AL13" s="23">
        <v>35.0</v>
      </c>
      <c r="AM13" s="23">
        <v>34.0</v>
      </c>
      <c r="AN13" s="23">
        <v>130.0</v>
      </c>
      <c r="AO13" s="23">
        <v>52.0</v>
      </c>
      <c r="AP13" s="23">
        <v>113.0</v>
      </c>
      <c r="AQ13" s="23">
        <v>46.0</v>
      </c>
      <c r="AR13" s="25">
        <v>240.0</v>
      </c>
      <c r="AS13" s="23">
        <v>90.0</v>
      </c>
      <c r="AT13" s="23">
        <v>73.0</v>
      </c>
      <c r="AU13" s="23">
        <v>166.0</v>
      </c>
      <c r="AV13" s="23">
        <v>62.0</v>
      </c>
      <c r="AW13" s="23">
        <v>66.0</v>
      </c>
      <c r="AX13" s="23">
        <v>28.0</v>
      </c>
      <c r="AY13" s="23">
        <v>186.0</v>
      </c>
      <c r="AZ13" s="23">
        <v>63.0</v>
      </c>
      <c r="BA13" s="23">
        <v>56.0</v>
      </c>
      <c r="BB13" s="23">
        <v>19.0</v>
      </c>
      <c r="BC13" s="23">
        <v>103.0</v>
      </c>
      <c r="BD13" s="23">
        <v>36.0</v>
      </c>
      <c r="BE13" s="23">
        <v>26.0</v>
      </c>
      <c r="BF13" s="23">
        <v>132.0</v>
      </c>
      <c r="BG13" s="23">
        <v>13.0</v>
      </c>
      <c r="BH13" s="23">
        <v>27.0</v>
      </c>
      <c r="BI13" s="23">
        <v>105.0</v>
      </c>
      <c r="BJ13" s="23">
        <v>49.0</v>
      </c>
      <c r="BK13" s="23">
        <v>45.0</v>
      </c>
      <c r="BL13" s="23">
        <v>45.0</v>
      </c>
    </row>
    <row r="14" ht="14.25" customHeight="1">
      <c r="A14" s="21" t="s">
        <v>108</v>
      </c>
      <c r="B14" s="22" t="s">
        <v>109</v>
      </c>
      <c r="C14" s="22" t="s">
        <v>110</v>
      </c>
      <c r="D14" s="23">
        <v>1.47</v>
      </c>
      <c r="E14" s="23">
        <v>1.54</v>
      </c>
      <c r="F14" s="23">
        <v>1.53</v>
      </c>
      <c r="G14" s="23">
        <v>0.95</v>
      </c>
      <c r="H14" s="24">
        <v>4.43</v>
      </c>
      <c r="I14" s="23">
        <v>1.29</v>
      </c>
      <c r="J14" s="23">
        <v>3.55</v>
      </c>
      <c r="K14" s="23">
        <v>2.5</v>
      </c>
      <c r="L14" s="26">
        <v>15.7</v>
      </c>
      <c r="M14" s="24">
        <v>5.14</v>
      </c>
      <c r="N14" s="25">
        <v>6.37</v>
      </c>
      <c r="O14" s="26">
        <v>8.2</v>
      </c>
      <c r="P14" s="26">
        <v>9.24</v>
      </c>
      <c r="Q14" s="24">
        <v>5.36</v>
      </c>
      <c r="R14" s="23">
        <v>2.66</v>
      </c>
      <c r="S14" s="23">
        <v>1.98</v>
      </c>
      <c r="T14" s="23">
        <v>1.11</v>
      </c>
      <c r="U14" s="23">
        <v>2.75</v>
      </c>
      <c r="V14" s="23">
        <v>1.84</v>
      </c>
      <c r="W14" s="24">
        <v>4.87</v>
      </c>
      <c r="X14" s="23">
        <v>1.3</v>
      </c>
      <c r="Y14" s="23">
        <v>0.64</v>
      </c>
      <c r="Z14" s="23">
        <v>2.7</v>
      </c>
      <c r="AA14" s="26">
        <v>8.6</v>
      </c>
      <c r="AB14" s="23">
        <v>2.49</v>
      </c>
      <c r="AC14" s="23">
        <v>2.41</v>
      </c>
      <c r="AD14" s="23">
        <v>3.72</v>
      </c>
      <c r="AE14" s="26">
        <v>11.99</v>
      </c>
      <c r="AF14" s="26">
        <v>16.0</v>
      </c>
      <c r="AG14" s="24">
        <v>5.02</v>
      </c>
      <c r="AH14" s="23">
        <v>2.1</v>
      </c>
      <c r="AI14" s="23">
        <v>5.0</v>
      </c>
      <c r="AJ14" s="23">
        <v>2.09</v>
      </c>
      <c r="AK14" s="26">
        <v>8.2</v>
      </c>
      <c r="AL14" s="23">
        <v>2.22</v>
      </c>
      <c r="AM14" s="23">
        <v>1.17</v>
      </c>
      <c r="AN14" s="24">
        <v>6.77</v>
      </c>
      <c r="AO14" s="23">
        <v>2.3</v>
      </c>
      <c r="AP14" s="24">
        <v>5.07</v>
      </c>
      <c r="AQ14" s="23">
        <v>2.09</v>
      </c>
      <c r="AR14" s="26">
        <v>10.44</v>
      </c>
      <c r="AS14" s="23">
        <v>3.7</v>
      </c>
      <c r="AT14" s="23">
        <v>2.99</v>
      </c>
      <c r="AU14" s="25">
        <v>7.01</v>
      </c>
      <c r="AV14" s="23">
        <v>2.48</v>
      </c>
      <c r="AW14" s="24">
        <v>4.98</v>
      </c>
      <c r="AX14" s="23">
        <v>2.0</v>
      </c>
      <c r="AY14" s="23">
        <v>3.4</v>
      </c>
      <c r="AZ14" s="23">
        <v>1.08</v>
      </c>
      <c r="BA14" s="25">
        <v>7.54</v>
      </c>
      <c r="BB14" s="23">
        <v>3.33</v>
      </c>
      <c r="BC14" s="25">
        <v>6.7</v>
      </c>
      <c r="BD14" s="23">
        <v>1.5</v>
      </c>
      <c r="BE14" s="23">
        <v>1.0</v>
      </c>
      <c r="BF14" s="25">
        <v>6.74</v>
      </c>
      <c r="BG14" s="23">
        <v>0.91</v>
      </c>
      <c r="BH14" s="23">
        <v>1.4</v>
      </c>
      <c r="BI14" s="25">
        <v>6.24</v>
      </c>
      <c r="BJ14" s="23">
        <v>2.89</v>
      </c>
      <c r="BK14" s="23">
        <v>1.07</v>
      </c>
      <c r="BL14" s="24">
        <v>4.86</v>
      </c>
    </row>
    <row r="15" ht="14.25" customHeight="1">
      <c r="A15" s="21" t="s">
        <v>111</v>
      </c>
      <c r="B15" s="22" t="s">
        <v>112</v>
      </c>
      <c r="C15" s="22">
        <v>350.0</v>
      </c>
      <c r="D15" s="23">
        <v>33.0</v>
      </c>
      <c r="E15" s="23">
        <v>39.0</v>
      </c>
      <c r="F15" s="23">
        <v>26.0</v>
      </c>
      <c r="G15" s="23">
        <v>17.0</v>
      </c>
      <c r="H15" s="24">
        <v>115.0</v>
      </c>
      <c r="I15" s="23">
        <v>36.0</v>
      </c>
      <c r="J15" s="23">
        <v>65.0</v>
      </c>
      <c r="K15" s="23">
        <v>60.0</v>
      </c>
      <c r="L15" s="26">
        <v>280.0</v>
      </c>
      <c r="M15" s="23">
        <v>86.0</v>
      </c>
      <c r="N15" s="26">
        <v>429.0</v>
      </c>
      <c r="O15" s="26">
        <v>285.0</v>
      </c>
      <c r="P15" s="26">
        <v>290.0</v>
      </c>
      <c r="Q15" s="23">
        <v>30.0</v>
      </c>
      <c r="R15" s="23">
        <v>58.0</v>
      </c>
      <c r="S15" s="23">
        <v>52.0</v>
      </c>
      <c r="T15" s="23">
        <v>27.0</v>
      </c>
      <c r="U15" s="23">
        <v>53.0</v>
      </c>
      <c r="V15" s="23">
        <v>53.0</v>
      </c>
      <c r="W15" s="23">
        <v>60.0</v>
      </c>
      <c r="X15" s="23">
        <v>26.0</v>
      </c>
      <c r="Y15" s="23">
        <v>25.0</v>
      </c>
      <c r="Z15" s="23">
        <v>81.0</v>
      </c>
      <c r="AA15" s="24">
        <v>115.0</v>
      </c>
      <c r="AB15" s="23">
        <v>48.0</v>
      </c>
      <c r="AC15" s="23">
        <v>19.0</v>
      </c>
      <c r="AD15" s="23">
        <v>36.0</v>
      </c>
      <c r="AE15" s="25">
        <v>216.0</v>
      </c>
      <c r="AF15" s="23">
        <v>40.0</v>
      </c>
      <c r="AG15" s="25">
        <v>171.0</v>
      </c>
      <c r="AH15" s="23">
        <v>70.0</v>
      </c>
      <c r="AI15" s="24">
        <v>156.0</v>
      </c>
      <c r="AJ15" s="23">
        <v>50.0</v>
      </c>
      <c r="AK15" s="24">
        <v>140.0</v>
      </c>
      <c r="AL15" s="23">
        <v>42.0</v>
      </c>
      <c r="AM15" s="23">
        <v>27.0</v>
      </c>
      <c r="AN15" s="24">
        <v>182.0</v>
      </c>
      <c r="AO15" s="23">
        <v>65.0</v>
      </c>
      <c r="AP15" s="25">
        <v>176.0</v>
      </c>
      <c r="AQ15" s="23">
        <v>50.0</v>
      </c>
      <c r="AR15" s="25">
        <v>190.0</v>
      </c>
      <c r="AS15" s="23">
        <v>63.0</v>
      </c>
      <c r="AT15" s="23">
        <v>51.0</v>
      </c>
      <c r="AU15" s="25">
        <v>222.0</v>
      </c>
      <c r="AV15" s="23">
        <v>74.0</v>
      </c>
      <c r="AW15" s="24">
        <v>127.0</v>
      </c>
      <c r="AX15" s="23">
        <v>52.0</v>
      </c>
      <c r="AY15" s="25">
        <v>188.0</v>
      </c>
      <c r="AZ15" s="23">
        <v>56.0</v>
      </c>
      <c r="BA15" s="24">
        <v>122.0</v>
      </c>
      <c r="BB15" s="23">
        <v>36.0</v>
      </c>
      <c r="BC15" s="25">
        <v>192.0</v>
      </c>
      <c r="BD15" s="23">
        <v>43.0</v>
      </c>
      <c r="BE15" s="23">
        <v>32.0</v>
      </c>
      <c r="BF15" s="25">
        <v>189.0</v>
      </c>
      <c r="BG15" s="23">
        <v>21.0</v>
      </c>
      <c r="BH15" s="23">
        <v>48.0</v>
      </c>
      <c r="BI15" s="24">
        <v>115.0</v>
      </c>
      <c r="BJ15" s="23">
        <v>48.0</v>
      </c>
      <c r="BK15" s="23">
        <v>26.0</v>
      </c>
      <c r="BL15" s="25">
        <v>166.0</v>
      </c>
    </row>
    <row r="16" ht="14.25" customHeight="1">
      <c r="A16" s="21" t="s">
        <v>113</v>
      </c>
      <c r="B16" s="22" t="s">
        <v>114</v>
      </c>
      <c r="C16" s="22">
        <v>4000.0</v>
      </c>
      <c r="D16" s="23">
        <v>108.0</v>
      </c>
      <c r="E16" s="23">
        <v>117.0</v>
      </c>
      <c r="F16" s="23">
        <v>82.0</v>
      </c>
      <c r="G16" s="23">
        <v>67.0</v>
      </c>
      <c r="H16" s="25">
        <v>366.0</v>
      </c>
      <c r="I16" s="23">
        <v>99.0</v>
      </c>
      <c r="J16" s="23">
        <v>194.0</v>
      </c>
      <c r="K16" s="23">
        <v>158.0</v>
      </c>
      <c r="L16" s="26">
        <v>704.0</v>
      </c>
      <c r="M16" s="23">
        <v>245.0</v>
      </c>
      <c r="N16" s="25">
        <v>494.0</v>
      </c>
      <c r="O16" s="26">
        <v>675.0</v>
      </c>
      <c r="P16" s="26">
        <v>674.0</v>
      </c>
      <c r="Q16" s="23">
        <v>97.0</v>
      </c>
      <c r="R16" s="23">
        <v>190.0</v>
      </c>
      <c r="S16" s="23">
        <v>73.0</v>
      </c>
      <c r="T16" s="23">
        <v>92.0</v>
      </c>
      <c r="U16" s="23">
        <v>231.0</v>
      </c>
      <c r="V16" s="23">
        <v>136.0</v>
      </c>
      <c r="W16" s="24">
        <v>287.0</v>
      </c>
      <c r="X16" s="23">
        <v>60.0</v>
      </c>
      <c r="Y16" s="23">
        <v>52.0</v>
      </c>
      <c r="Z16" s="23">
        <v>266.0</v>
      </c>
      <c r="AA16" s="23">
        <v>174.0</v>
      </c>
      <c r="AB16" s="23">
        <v>159.0</v>
      </c>
      <c r="AC16" s="23">
        <v>70.0</v>
      </c>
      <c r="AD16" s="23">
        <v>225.0</v>
      </c>
      <c r="AE16" s="26">
        <v>639.0</v>
      </c>
      <c r="AF16" s="26">
        <v>862.0</v>
      </c>
      <c r="AG16" s="24">
        <v>352.0</v>
      </c>
      <c r="AH16" s="23">
        <v>140.0</v>
      </c>
      <c r="AI16" s="24">
        <v>372.0</v>
      </c>
      <c r="AJ16" s="23">
        <v>135.0</v>
      </c>
      <c r="AK16" s="25">
        <v>407.0</v>
      </c>
      <c r="AL16" s="23">
        <v>138.0</v>
      </c>
      <c r="AM16" s="23">
        <v>90.0</v>
      </c>
      <c r="AN16" s="25">
        <v>415.0</v>
      </c>
      <c r="AO16" s="23">
        <v>165.0</v>
      </c>
      <c r="AP16" s="25">
        <v>411.0</v>
      </c>
      <c r="AQ16" s="23">
        <v>147.0</v>
      </c>
      <c r="AR16" s="24">
        <v>301.0</v>
      </c>
      <c r="AS16" s="23">
        <v>113.0</v>
      </c>
      <c r="AT16" s="23">
        <v>91.0</v>
      </c>
      <c r="AU16" s="25">
        <v>488.0</v>
      </c>
      <c r="AV16" s="23">
        <v>183.0</v>
      </c>
      <c r="AW16" s="24">
        <v>381.0</v>
      </c>
      <c r="AX16" s="23">
        <v>168.0</v>
      </c>
      <c r="AY16" s="24">
        <v>304.0</v>
      </c>
      <c r="AZ16" s="23">
        <v>102.0</v>
      </c>
      <c r="BA16" s="25">
        <v>451.0</v>
      </c>
      <c r="BB16" s="23">
        <v>180.0</v>
      </c>
      <c r="BC16" s="24">
        <v>421.0</v>
      </c>
      <c r="BD16" s="23">
        <v>125.0</v>
      </c>
      <c r="BE16" s="23">
        <v>79.0</v>
      </c>
      <c r="BF16" s="24">
        <v>367.0</v>
      </c>
      <c r="BG16" s="23">
        <v>54.0</v>
      </c>
      <c r="BH16" s="23">
        <v>99.0</v>
      </c>
      <c r="BI16" s="24">
        <v>366.0</v>
      </c>
      <c r="BJ16" s="23">
        <v>168.0</v>
      </c>
      <c r="BK16" s="23">
        <v>85.0</v>
      </c>
      <c r="BL16" s="24">
        <v>318.0</v>
      </c>
    </row>
    <row r="17" ht="14.25" customHeight="1">
      <c r="A17" s="21" t="s">
        <v>115</v>
      </c>
      <c r="B17" s="22" t="s">
        <v>116</v>
      </c>
      <c r="C17" s="22" t="s">
        <v>100</v>
      </c>
      <c r="D17" s="23">
        <v>244.0</v>
      </c>
      <c r="E17" s="23">
        <v>271.0</v>
      </c>
      <c r="F17" s="23">
        <v>153.0</v>
      </c>
      <c r="G17" s="23">
        <v>173.0</v>
      </c>
      <c r="H17" s="24">
        <v>981.0</v>
      </c>
      <c r="I17" s="23">
        <v>362.0</v>
      </c>
      <c r="J17" s="23">
        <v>620.0</v>
      </c>
      <c r="K17" s="23">
        <v>539.0</v>
      </c>
      <c r="L17" s="26">
        <v>1797.0</v>
      </c>
      <c r="M17" s="23">
        <v>515.0</v>
      </c>
      <c r="N17" s="26">
        <v>2515.0</v>
      </c>
      <c r="O17" s="26">
        <v>2090.0</v>
      </c>
      <c r="P17" s="26">
        <v>2384.0</v>
      </c>
      <c r="Q17" s="23">
        <v>121.0</v>
      </c>
      <c r="R17" s="23">
        <v>237.0</v>
      </c>
      <c r="S17" s="23">
        <v>75.0</v>
      </c>
      <c r="T17" s="23">
        <v>120.0</v>
      </c>
      <c r="U17" s="23">
        <v>146.0</v>
      </c>
      <c r="V17" s="23">
        <v>132.0</v>
      </c>
      <c r="W17" s="23">
        <v>146.0</v>
      </c>
      <c r="X17" s="23">
        <v>213.0</v>
      </c>
      <c r="Y17" s="23">
        <v>118.0</v>
      </c>
      <c r="Z17" s="23">
        <v>412.0</v>
      </c>
      <c r="AA17" s="23">
        <v>729.0</v>
      </c>
      <c r="AB17" s="23">
        <v>210.0</v>
      </c>
      <c r="AC17" s="23">
        <v>170.0</v>
      </c>
      <c r="AD17" s="23">
        <v>231.0</v>
      </c>
      <c r="AE17" s="26">
        <v>1902.0</v>
      </c>
      <c r="AF17" s="23">
        <v>100.0</v>
      </c>
      <c r="AG17" s="25">
        <v>1483.0</v>
      </c>
      <c r="AH17" s="23">
        <v>355.0</v>
      </c>
      <c r="AI17" s="25">
        <v>1332.0</v>
      </c>
      <c r="AJ17" s="23">
        <v>387.0</v>
      </c>
      <c r="AK17" s="25">
        <v>1406.0</v>
      </c>
      <c r="AL17" s="23">
        <v>405.0</v>
      </c>
      <c r="AM17" s="23">
        <v>237.0</v>
      </c>
      <c r="AN17" s="25">
        <v>1464.0</v>
      </c>
      <c r="AO17" s="23">
        <v>508.0</v>
      </c>
      <c r="AP17" s="25">
        <v>1393.0</v>
      </c>
      <c r="AQ17" s="23">
        <v>436.0</v>
      </c>
      <c r="AR17" s="26">
        <v>1795.0</v>
      </c>
      <c r="AS17" s="23">
        <v>561.0</v>
      </c>
      <c r="AT17" s="23">
        <v>454.0</v>
      </c>
      <c r="AU17" s="24">
        <v>1042.0</v>
      </c>
      <c r="AV17" s="23">
        <v>325.0</v>
      </c>
      <c r="AW17" s="25">
        <v>1254.0</v>
      </c>
      <c r="AX17" s="23">
        <v>532.0</v>
      </c>
      <c r="AY17" s="25">
        <v>1316.0</v>
      </c>
      <c r="AZ17" s="23">
        <v>370.0</v>
      </c>
      <c r="BA17" s="24">
        <v>955.0</v>
      </c>
      <c r="BB17" s="23">
        <v>369.0</v>
      </c>
      <c r="BC17" s="24">
        <v>1062.0</v>
      </c>
      <c r="BD17" s="23">
        <v>268.0</v>
      </c>
      <c r="BE17" s="23">
        <v>242.0</v>
      </c>
      <c r="BF17" s="25">
        <v>1246.0</v>
      </c>
      <c r="BG17" s="23">
        <v>149.0</v>
      </c>
      <c r="BH17" s="23">
        <v>266.0</v>
      </c>
      <c r="BI17" s="24">
        <v>875.0</v>
      </c>
      <c r="BJ17" s="23">
        <v>291.0</v>
      </c>
      <c r="BK17" s="23">
        <v>126.0</v>
      </c>
      <c r="BL17" s="23">
        <v>846.0</v>
      </c>
    </row>
    <row r="18" ht="14.25" customHeight="1">
      <c r="A18" s="21" t="s">
        <v>117</v>
      </c>
      <c r="B18" s="22" t="s">
        <v>118</v>
      </c>
      <c r="C18" s="22">
        <v>2300.0</v>
      </c>
      <c r="D18" s="23">
        <v>5.0</v>
      </c>
      <c r="E18" s="23">
        <v>3.0</v>
      </c>
      <c r="F18" s="24">
        <v>108.0</v>
      </c>
      <c r="G18" s="23">
        <v>2.0</v>
      </c>
      <c r="H18" s="23">
        <v>15.0</v>
      </c>
      <c r="I18" s="23">
        <v>2.0</v>
      </c>
      <c r="J18" s="23">
        <v>15.0</v>
      </c>
      <c r="K18" s="23">
        <v>14.0</v>
      </c>
      <c r="L18" s="23">
        <v>2.0</v>
      </c>
      <c r="M18" s="23">
        <v>1.0</v>
      </c>
      <c r="N18" s="23">
        <v>13.0</v>
      </c>
      <c r="O18" s="23">
        <v>9.0</v>
      </c>
      <c r="P18" s="23">
        <v>20.0</v>
      </c>
      <c r="Q18" s="23">
        <v>7.0</v>
      </c>
      <c r="R18" s="23">
        <v>14.0</v>
      </c>
      <c r="S18" s="51">
        <v>2873.0</v>
      </c>
      <c r="T18" s="23">
        <v>8.0</v>
      </c>
      <c r="U18" s="23">
        <v>2.0</v>
      </c>
      <c r="V18" s="23">
        <v>8.0</v>
      </c>
      <c r="W18" s="23">
        <v>16.0</v>
      </c>
      <c r="X18" s="23">
        <v>9.0</v>
      </c>
      <c r="Y18" s="23">
        <v>51.0</v>
      </c>
      <c r="Z18" s="23">
        <v>9.0</v>
      </c>
      <c r="AA18" s="23">
        <v>7.0</v>
      </c>
      <c r="AB18" s="51">
        <v>3728.0</v>
      </c>
      <c r="AC18" s="62">
        <v>1465.0</v>
      </c>
      <c r="AD18" s="62">
        <v>888.0</v>
      </c>
      <c r="AE18" s="23">
        <v>10.0</v>
      </c>
      <c r="AF18" s="25">
        <v>1188.0</v>
      </c>
      <c r="AG18" s="23">
        <v>5.0</v>
      </c>
      <c r="AH18" s="23">
        <v>1.0</v>
      </c>
      <c r="AI18" s="23">
        <v>6.0</v>
      </c>
      <c r="AJ18" s="23">
        <v>1.0</v>
      </c>
      <c r="AK18" s="23">
        <v>24.0</v>
      </c>
      <c r="AL18" s="23">
        <v>1.0</v>
      </c>
      <c r="AM18" s="34">
        <v>296.0</v>
      </c>
      <c r="AN18" s="23">
        <v>8.0</v>
      </c>
      <c r="AO18" s="23">
        <v>2.0</v>
      </c>
      <c r="AP18" s="23">
        <v>12.0</v>
      </c>
      <c r="AQ18" s="23">
        <v>1.0</v>
      </c>
      <c r="AR18" s="23">
        <v>16.0</v>
      </c>
      <c r="AS18" s="23">
        <v>6.0</v>
      </c>
      <c r="AT18" s="23">
        <v>5.0</v>
      </c>
      <c r="AU18" s="23">
        <v>12.0</v>
      </c>
      <c r="AV18" s="23">
        <v>5.0</v>
      </c>
      <c r="AW18" s="23">
        <v>5.0</v>
      </c>
      <c r="AX18" s="23">
        <v>8.0</v>
      </c>
      <c r="AY18" s="23">
        <v>18.0</v>
      </c>
      <c r="AZ18" s="23">
        <v>6.0</v>
      </c>
      <c r="BA18" s="23">
        <v>6.0</v>
      </c>
      <c r="BB18" s="23">
        <v>2.0</v>
      </c>
      <c r="BC18" s="23">
        <v>13.0</v>
      </c>
      <c r="BD18" s="23">
        <v>5.0</v>
      </c>
      <c r="BE18" s="34">
        <v>453.0</v>
      </c>
      <c r="BF18" s="23">
        <v>15.0</v>
      </c>
      <c r="BG18" s="23">
        <v>6.0</v>
      </c>
      <c r="BH18" s="23">
        <v>2.0</v>
      </c>
      <c r="BI18" s="23">
        <v>24.0</v>
      </c>
      <c r="BJ18" s="23">
        <v>7.0</v>
      </c>
      <c r="BK18" s="34">
        <v>246.0</v>
      </c>
      <c r="BL18" s="23">
        <v>64.0</v>
      </c>
    </row>
    <row r="19" ht="14.25" customHeight="1">
      <c r="A19" s="21" t="s">
        <v>119</v>
      </c>
      <c r="B19" s="22" t="s">
        <v>120</v>
      </c>
      <c r="C19" s="22">
        <v>40.0</v>
      </c>
      <c r="D19" s="23">
        <v>1.24</v>
      </c>
      <c r="E19" s="23">
        <v>1.19</v>
      </c>
      <c r="F19" s="23">
        <v>0.82</v>
      </c>
      <c r="G19" s="23">
        <v>0.71</v>
      </c>
      <c r="H19" s="24">
        <v>3.01</v>
      </c>
      <c r="I19" s="23">
        <v>1.0</v>
      </c>
      <c r="J19" s="23">
        <v>0.99</v>
      </c>
      <c r="K19" s="23">
        <v>0.91</v>
      </c>
      <c r="L19" s="25">
        <v>4.89</v>
      </c>
      <c r="M19" s="23">
        <v>1.15</v>
      </c>
      <c r="N19" s="24">
        <v>3.92</v>
      </c>
      <c r="O19" s="23">
        <v>4.1</v>
      </c>
      <c r="P19" s="23">
        <v>2.46</v>
      </c>
      <c r="Q19" s="23">
        <v>0.8</v>
      </c>
      <c r="R19" s="23">
        <v>1.57</v>
      </c>
      <c r="S19" s="23">
        <v>1.56</v>
      </c>
      <c r="T19" s="23">
        <v>0.64</v>
      </c>
      <c r="U19" s="23">
        <v>1.66</v>
      </c>
      <c r="V19" s="23">
        <v>1.1</v>
      </c>
      <c r="W19" s="23">
        <v>1.99</v>
      </c>
      <c r="X19" s="23">
        <v>0.56</v>
      </c>
      <c r="Y19" s="23">
        <v>0.12</v>
      </c>
      <c r="Z19" s="23">
        <v>1.14</v>
      </c>
      <c r="AA19" s="23">
        <v>3.03</v>
      </c>
      <c r="AB19" s="23">
        <v>2.56</v>
      </c>
      <c r="AC19" s="23">
        <v>0.42</v>
      </c>
      <c r="AD19" s="23">
        <v>1.46</v>
      </c>
      <c r="AE19" s="23">
        <v>2.21</v>
      </c>
      <c r="AF19" s="23">
        <v>4.0</v>
      </c>
      <c r="AG19" s="24">
        <v>3.65</v>
      </c>
      <c r="AH19" s="23">
        <v>1.12</v>
      </c>
      <c r="AI19" s="24">
        <v>3.63</v>
      </c>
      <c r="AJ19" s="23">
        <v>1.14</v>
      </c>
      <c r="AK19" s="23">
        <v>2.79</v>
      </c>
      <c r="AL19" s="23">
        <v>1.0</v>
      </c>
      <c r="AM19" s="23">
        <v>0.46</v>
      </c>
      <c r="AN19" s="23">
        <v>2.55</v>
      </c>
      <c r="AO19" s="23">
        <v>0.96</v>
      </c>
      <c r="AP19" s="23">
        <v>2.28</v>
      </c>
      <c r="AQ19" s="23">
        <v>0.98</v>
      </c>
      <c r="AR19" s="24">
        <v>3.67</v>
      </c>
      <c r="AS19" s="23">
        <v>1.38</v>
      </c>
      <c r="AT19" s="23">
        <v>1.12</v>
      </c>
      <c r="AU19" s="23">
        <v>2.83</v>
      </c>
      <c r="AV19" s="23">
        <v>1.06</v>
      </c>
      <c r="AW19" s="25">
        <v>5.04</v>
      </c>
      <c r="AX19" s="23">
        <v>1.77</v>
      </c>
      <c r="AY19" s="23">
        <v>1.9</v>
      </c>
      <c r="AZ19" s="23">
        <v>0.64</v>
      </c>
      <c r="BA19" s="25">
        <v>4.78</v>
      </c>
      <c r="BB19" s="23">
        <v>1.27</v>
      </c>
      <c r="BC19" s="24">
        <v>3.14</v>
      </c>
      <c r="BD19" s="23">
        <v>1.01</v>
      </c>
      <c r="BE19" s="23">
        <v>0.62</v>
      </c>
      <c r="BF19" s="23">
        <v>2.68</v>
      </c>
      <c r="BG19" s="23">
        <v>0.41</v>
      </c>
      <c r="BH19" s="23">
        <v>0.84</v>
      </c>
      <c r="BI19" s="24">
        <v>3.43</v>
      </c>
      <c r="BJ19" s="23">
        <v>1.53</v>
      </c>
      <c r="BK19" s="23">
        <v>0.63</v>
      </c>
      <c r="BL19" s="23">
        <v>2.81</v>
      </c>
    </row>
    <row r="20" ht="14.25" customHeight="1">
      <c r="A20" s="21" t="s">
        <v>121</v>
      </c>
      <c r="B20" s="22" t="s">
        <v>122</v>
      </c>
      <c r="C20" s="22">
        <v>10.0</v>
      </c>
      <c r="D20" s="23">
        <v>0.176</v>
      </c>
      <c r="E20" s="23">
        <v>0.173</v>
      </c>
      <c r="F20" s="23">
        <v>0.124</v>
      </c>
      <c r="G20" s="23">
        <v>0.082</v>
      </c>
      <c r="H20" s="50">
        <v>0.866</v>
      </c>
      <c r="I20" s="23">
        <v>0.181</v>
      </c>
      <c r="J20" s="23">
        <v>0.128</v>
      </c>
      <c r="K20" s="23">
        <v>0.117</v>
      </c>
      <c r="L20" s="26">
        <v>1.658</v>
      </c>
      <c r="M20" s="24">
        <v>0.407</v>
      </c>
      <c r="N20" s="26">
        <v>2.92</v>
      </c>
      <c r="O20" s="26">
        <v>1.6</v>
      </c>
      <c r="P20" s="26">
        <v>4.065</v>
      </c>
      <c r="Q20" s="23">
        <v>0.193</v>
      </c>
      <c r="R20" s="21">
        <v>0.378</v>
      </c>
      <c r="S20" s="21">
        <v>0.376</v>
      </c>
      <c r="T20" s="23">
        <v>0.157</v>
      </c>
      <c r="U20" s="21">
        <v>0.328</v>
      </c>
      <c r="V20" s="23">
        <v>0.191</v>
      </c>
      <c r="W20" s="24">
        <v>0.398</v>
      </c>
      <c r="X20" s="23">
        <v>0.2</v>
      </c>
      <c r="Y20" s="23">
        <v>0.128</v>
      </c>
      <c r="Z20" s="25">
        <v>0.56</v>
      </c>
      <c r="AA20" s="25">
        <v>0.667</v>
      </c>
      <c r="AB20" s="24">
        <v>0.42</v>
      </c>
      <c r="AC20" s="23">
        <v>0.105</v>
      </c>
      <c r="AD20" s="23">
        <v>0.25</v>
      </c>
      <c r="AE20" s="21">
        <v>0.304</v>
      </c>
      <c r="AF20" s="26">
        <v>1.4</v>
      </c>
      <c r="AG20" s="50">
        <v>0.841</v>
      </c>
      <c r="AH20" s="23">
        <v>0.209</v>
      </c>
      <c r="AI20" s="50">
        <v>0.794</v>
      </c>
      <c r="AJ20" s="23">
        <v>0.231</v>
      </c>
      <c r="AK20" s="26">
        <v>0.958</v>
      </c>
      <c r="AL20" s="23">
        <v>0.216</v>
      </c>
      <c r="AM20" s="23">
        <v>0.135</v>
      </c>
      <c r="AN20" s="23">
        <v>0.81</v>
      </c>
      <c r="AO20" s="23">
        <v>0.271</v>
      </c>
      <c r="AP20" s="50">
        <v>0.893</v>
      </c>
      <c r="AQ20" s="23">
        <v>0.219</v>
      </c>
      <c r="AR20" s="26">
        <v>0.984</v>
      </c>
      <c r="AS20" s="23">
        <v>0.287</v>
      </c>
      <c r="AT20" s="23">
        <v>0.232</v>
      </c>
      <c r="AU20" s="25">
        <v>0.639</v>
      </c>
      <c r="AV20" s="23">
        <v>0.186</v>
      </c>
      <c r="AW20" s="26">
        <v>1.094</v>
      </c>
      <c r="AX20" s="23">
        <v>0.298</v>
      </c>
      <c r="AY20" s="24">
        <v>0.44</v>
      </c>
      <c r="AZ20" s="23">
        <v>0.115</v>
      </c>
      <c r="BA20" s="24">
        <v>0.519</v>
      </c>
      <c r="BB20" s="23">
        <v>0.251</v>
      </c>
      <c r="BC20" s="50">
        <v>0.824</v>
      </c>
      <c r="BD20" s="23">
        <v>0.259</v>
      </c>
      <c r="BE20" s="23">
        <v>0.109</v>
      </c>
      <c r="BF20" s="26">
        <v>0.941</v>
      </c>
      <c r="BG20" s="23">
        <v>0.164</v>
      </c>
      <c r="BH20" s="23">
        <v>0.156</v>
      </c>
      <c r="BI20" s="50">
        <v>0.847</v>
      </c>
      <c r="BJ20" s="23">
        <v>0.352</v>
      </c>
      <c r="BK20" s="23">
        <v>0.253</v>
      </c>
      <c r="BL20" s="26">
        <v>0.912</v>
      </c>
    </row>
    <row r="21" ht="14.25" customHeight="1">
      <c r="A21" s="21" t="s">
        <v>123</v>
      </c>
      <c r="B21" s="22" t="s">
        <v>124</v>
      </c>
      <c r="C21" s="22">
        <v>11.0</v>
      </c>
      <c r="D21" s="23">
        <v>0.41</v>
      </c>
      <c r="E21" s="23">
        <v>0.525</v>
      </c>
      <c r="F21" s="23">
        <v>0.336</v>
      </c>
      <c r="G21" s="23">
        <v>0.303</v>
      </c>
      <c r="H21" s="24">
        <v>1.391</v>
      </c>
      <c r="I21" s="23">
        <v>0.396</v>
      </c>
      <c r="J21" s="23">
        <v>0.547</v>
      </c>
      <c r="K21" s="23">
        <v>0.502</v>
      </c>
      <c r="L21" s="26">
        <v>2.517</v>
      </c>
      <c r="M21" s="23">
        <v>0.824</v>
      </c>
      <c r="N21" s="26">
        <v>2.275</v>
      </c>
      <c r="O21" s="26">
        <v>3.15</v>
      </c>
      <c r="P21" s="26">
        <v>3.018</v>
      </c>
      <c r="Q21" s="23">
        <v>0.605</v>
      </c>
      <c r="R21" s="24">
        <v>1.181</v>
      </c>
      <c r="S21" s="24">
        <v>1.174</v>
      </c>
      <c r="T21" s="23">
        <v>0.389</v>
      </c>
      <c r="U21" s="24">
        <v>1.052</v>
      </c>
      <c r="V21" s="23">
        <v>0.759</v>
      </c>
      <c r="W21" s="25">
        <v>1.495</v>
      </c>
      <c r="X21" s="23">
        <v>0.404</v>
      </c>
      <c r="Y21" s="23">
        <v>0.223</v>
      </c>
      <c r="Z21" s="24">
        <v>1.3</v>
      </c>
      <c r="AA21" s="25">
        <v>1.528</v>
      </c>
      <c r="AB21" s="23">
        <v>0.859</v>
      </c>
      <c r="AC21" s="23">
        <v>0.205</v>
      </c>
      <c r="AD21" s="23">
        <v>0.725</v>
      </c>
      <c r="AE21" s="23">
        <v>0.271</v>
      </c>
      <c r="AG21" s="24">
        <v>1.06</v>
      </c>
      <c r="AH21" s="23">
        <v>0.444</v>
      </c>
      <c r="AI21" s="23">
        <v>0.92</v>
      </c>
      <c r="AJ21" s="23">
        <v>0.37</v>
      </c>
      <c r="AK21" s="24">
        <v>1.021</v>
      </c>
      <c r="AL21" s="23">
        <v>0.43</v>
      </c>
      <c r="AM21" s="23">
        <v>0.168</v>
      </c>
      <c r="AN21" s="24">
        <v>1.376</v>
      </c>
      <c r="AO21" s="23">
        <v>0.548</v>
      </c>
      <c r="AP21" s="24">
        <v>1.148</v>
      </c>
      <c r="AQ21" s="23">
        <v>0.453</v>
      </c>
      <c r="AR21" s="25">
        <v>1.796</v>
      </c>
      <c r="AS21" s="23">
        <v>0.636</v>
      </c>
      <c r="AT21" s="23">
        <v>0.515</v>
      </c>
      <c r="AU21" s="24">
        <v>1.286</v>
      </c>
      <c r="AV21" s="23">
        <v>0.455</v>
      </c>
      <c r="AW21" s="25">
        <v>1.73</v>
      </c>
      <c r="AX21" s="23">
        <v>0.573</v>
      </c>
      <c r="AY21" s="24">
        <v>1.2</v>
      </c>
      <c r="AZ21" s="23">
        <v>0.382</v>
      </c>
      <c r="BA21" s="24">
        <v>1.33</v>
      </c>
      <c r="BB21" s="23">
        <v>0.494</v>
      </c>
      <c r="BC21" s="25">
        <v>1.626</v>
      </c>
      <c r="BD21" s="23">
        <v>0.421</v>
      </c>
      <c r="BE21" s="23">
        <v>0.288</v>
      </c>
      <c r="BF21" s="24">
        <v>1.035</v>
      </c>
      <c r="BG21" s="23">
        <v>0.188</v>
      </c>
      <c r="BH21" s="23">
        <v>0.298</v>
      </c>
      <c r="BI21" s="26">
        <v>2.204</v>
      </c>
      <c r="BJ21" s="24">
        <v>1.03</v>
      </c>
      <c r="BK21" s="23">
        <v>0.846</v>
      </c>
      <c r="BL21" s="25">
        <v>1.6</v>
      </c>
    </row>
    <row r="22" ht="14.25" customHeight="1">
      <c r="A22" s="21" t="s">
        <v>125</v>
      </c>
      <c r="B22" s="22" t="s">
        <v>126</v>
      </c>
      <c r="C22" s="22">
        <v>400.0</v>
      </c>
      <c r="D22" s="23">
        <v>1.8</v>
      </c>
      <c r="E22" s="23">
        <v>1.9</v>
      </c>
      <c r="F22" s="23">
        <v>1.9</v>
      </c>
      <c r="G22" s="23">
        <v>1.7</v>
      </c>
      <c r="H22" s="23">
        <v>1.6</v>
      </c>
      <c r="I22" s="23">
        <v>0.6</v>
      </c>
      <c r="J22" s="23">
        <v>1.5</v>
      </c>
      <c r="K22" s="23">
        <v>1.4</v>
      </c>
      <c r="L22" s="24">
        <v>17.8</v>
      </c>
      <c r="M22" s="23">
        <v>7.3</v>
      </c>
      <c r="N22" s="23">
        <v>7.5</v>
      </c>
      <c r="O22" s="26">
        <v>58.9</v>
      </c>
      <c r="P22" s="23">
        <v>1.7</v>
      </c>
      <c r="Q22" s="23">
        <v>8.9</v>
      </c>
      <c r="R22" s="24">
        <v>17.4</v>
      </c>
      <c r="S22" s="24">
        <v>17.3</v>
      </c>
      <c r="T22" s="23">
        <v>8.9</v>
      </c>
      <c r="U22" s="24">
        <v>16.8</v>
      </c>
      <c r="V22" s="23">
        <v>13.0</v>
      </c>
      <c r="W22" s="25">
        <v>28.5</v>
      </c>
      <c r="X22" s="23">
        <v>10.6</v>
      </c>
      <c r="Y22" s="23">
        <v>4.8</v>
      </c>
      <c r="Z22" s="23">
        <v>0.0</v>
      </c>
      <c r="AA22" s="23">
        <v>8.8</v>
      </c>
      <c r="AB22" s="23">
        <v>7.0</v>
      </c>
      <c r="AC22" s="23">
        <v>7.4</v>
      </c>
      <c r="AD22" s="23">
        <v>7.4</v>
      </c>
      <c r="AE22" s="23">
        <v>7.4</v>
      </c>
      <c r="AG22" s="23">
        <v>3.2</v>
      </c>
      <c r="AH22" s="23">
        <v>1.2</v>
      </c>
      <c r="AI22" s="23">
        <v>12.7</v>
      </c>
      <c r="AJ22" s="23">
        <v>1.3</v>
      </c>
      <c r="AK22" s="23">
        <v>3.2</v>
      </c>
      <c r="AL22" s="23">
        <v>1.1</v>
      </c>
      <c r="AM22" s="23">
        <v>0.9</v>
      </c>
      <c r="AN22" s="23">
        <v>13.0</v>
      </c>
      <c r="AO22" s="23">
        <v>1.4</v>
      </c>
      <c r="AP22" s="25">
        <v>27.9</v>
      </c>
      <c r="AQ22" s="23">
        <v>6.2</v>
      </c>
      <c r="AR22" s="23">
        <v>12.8</v>
      </c>
      <c r="AS22" s="23">
        <v>1.3</v>
      </c>
      <c r="AT22" s="23">
        <v>1.6</v>
      </c>
      <c r="AU22" s="23">
        <v>12.8</v>
      </c>
      <c r="AV22" s="23">
        <v>1.3</v>
      </c>
      <c r="AW22" s="23">
        <v>3.1</v>
      </c>
      <c r="AX22" s="23">
        <v>1.2</v>
      </c>
      <c r="AY22" s="23">
        <v>12.9</v>
      </c>
      <c r="AZ22" s="23">
        <v>1.2</v>
      </c>
      <c r="BA22" s="23">
        <v>8.3</v>
      </c>
      <c r="BB22" s="23">
        <v>2.8</v>
      </c>
      <c r="BC22" s="23">
        <v>8.2</v>
      </c>
      <c r="BD22" s="23">
        <v>2.6</v>
      </c>
      <c r="BE22" s="23">
        <v>1.8</v>
      </c>
      <c r="BF22" s="23">
        <v>8.2</v>
      </c>
      <c r="BG22" s="23">
        <v>0.6</v>
      </c>
      <c r="BH22" s="23">
        <v>2.5</v>
      </c>
      <c r="BI22" s="23">
        <v>8.2</v>
      </c>
      <c r="BJ22" s="23">
        <v>3.7</v>
      </c>
      <c r="BL22" s="23">
        <v>8.3</v>
      </c>
    </row>
    <row r="23" ht="14.25" customHeight="1">
      <c r="A23" s="21" t="s">
        <v>127</v>
      </c>
      <c r="B23" s="22" t="s">
        <v>128</v>
      </c>
      <c r="C23" s="22" t="s">
        <v>129</v>
      </c>
      <c r="AQ23" s="23">
        <v>2.2</v>
      </c>
    </row>
    <row r="24" ht="14.25" customHeight="1">
      <c r="A24" s="19" t="s">
        <v>130</v>
      </c>
      <c r="B24" s="27"/>
      <c r="C24" s="27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</row>
    <row r="25" ht="14.25" customHeight="1">
      <c r="A25" s="21" t="s">
        <v>131</v>
      </c>
      <c r="B25" s="22">
        <v>90.0</v>
      </c>
      <c r="C25" s="22">
        <v>2000.0</v>
      </c>
      <c r="D25" s="25">
        <v>40.0</v>
      </c>
      <c r="E25" s="24">
        <v>14.2</v>
      </c>
      <c r="F25" s="24">
        <v>18.0</v>
      </c>
      <c r="G25" s="23">
        <v>9.6</v>
      </c>
      <c r="H25" s="23">
        <v>1.8</v>
      </c>
      <c r="I25" s="23">
        <v>0.4</v>
      </c>
      <c r="J25" s="23">
        <v>29.0</v>
      </c>
      <c r="K25" s="23">
        <v>17.0</v>
      </c>
      <c r="L25" s="23">
        <v>6.0</v>
      </c>
      <c r="M25" s="23">
        <v>1.7</v>
      </c>
      <c r="N25" s="23">
        <v>0.0</v>
      </c>
      <c r="O25" s="23">
        <v>0.0</v>
      </c>
      <c r="P25" s="23">
        <v>0.0</v>
      </c>
      <c r="Q25" s="23">
        <v>0.1</v>
      </c>
      <c r="R25" s="23">
        <v>0.2</v>
      </c>
      <c r="S25" s="23">
        <v>0.2</v>
      </c>
      <c r="T25" s="23">
        <v>0.2</v>
      </c>
      <c r="U25" s="23">
        <v>0.3</v>
      </c>
      <c r="V25" s="23">
        <v>0.5</v>
      </c>
      <c r="W25" s="23">
        <v>0.0</v>
      </c>
      <c r="X25" s="23">
        <v>0.0</v>
      </c>
      <c r="Y25" s="23">
        <v>0.0</v>
      </c>
      <c r="Z25" s="23">
        <v>0.0</v>
      </c>
      <c r="AA25" s="23">
        <v>13.0</v>
      </c>
      <c r="AB25" s="23">
        <v>0.0</v>
      </c>
      <c r="AC25" s="23">
        <v>0.0</v>
      </c>
      <c r="AD25" s="23">
        <v>0.0</v>
      </c>
      <c r="AE25" s="23">
        <v>0.0</v>
      </c>
      <c r="AF25" s="23">
        <v>0.0</v>
      </c>
      <c r="AG25" s="23">
        <v>0.0</v>
      </c>
      <c r="AH25" s="23">
        <v>0.0</v>
      </c>
      <c r="AI25" s="23">
        <v>0.0</v>
      </c>
      <c r="AJ25" s="23">
        <v>0.0</v>
      </c>
      <c r="AK25" s="23">
        <v>4.5</v>
      </c>
      <c r="AL25" s="23">
        <v>1.2</v>
      </c>
      <c r="AM25" s="23">
        <v>1.2</v>
      </c>
      <c r="AN25" s="23">
        <v>0.0</v>
      </c>
      <c r="AO25" s="23">
        <v>0.0</v>
      </c>
      <c r="AP25" s="23">
        <v>6.3</v>
      </c>
      <c r="AQ25" s="23">
        <v>0.8</v>
      </c>
      <c r="AR25" s="23">
        <v>0.0</v>
      </c>
      <c r="AS25" s="23">
        <v>0.0</v>
      </c>
      <c r="AT25" s="23">
        <v>0.0</v>
      </c>
      <c r="AU25" s="23">
        <v>0.0</v>
      </c>
      <c r="AV25" s="23">
        <v>1.8</v>
      </c>
      <c r="AW25" s="23">
        <v>0.0</v>
      </c>
      <c r="AX25" s="23">
        <v>0.0</v>
      </c>
      <c r="AY25" s="23">
        <v>4.6</v>
      </c>
      <c r="AZ25" s="23">
        <v>1.2</v>
      </c>
      <c r="BA25" s="23">
        <v>4.4</v>
      </c>
      <c r="BB25" s="23">
        <v>1.5</v>
      </c>
      <c r="BC25" s="23">
        <v>1.4</v>
      </c>
      <c r="BD25" s="23">
        <v>0.3</v>
      </c>
      <c r="BE25" s="23">
        <v>1.8</v>
      </c>
      <c r="BF25" s="23">
        <v>4.8</v>
      </c>
      <c r="BG25" s="24">
        <v>13.2</v>
      </c>
      <c r="BH25" s="23">
        <v>1.0</v>
      </c>
      <c r="BI25" s="23">
        <v>4.0</v>
      </c>
      <c r="BJ25" s="23">
        <v>1.3</v>
      </c>
      <c r="BK25" s="23">
        <v>0.1</v>
      </c>
      <c r="BL25" s="23">
        <v>0.0</v>
      </c>
    </row>
    <row r="26" ht="14.25" customHeight="1">
      <c r="A26" s="21" t="s">
        <v>132</v>
      </c>
      <c r="B26" s="22" t="s">
        <v>133</v>
      </c>
      <c r="C26" s="22" t="s">
        <v>100</v>
      </c>
      <c r="D26" s="23">
        <v>0.266</v>
      </c>
      <c r="E26" s="23">
        <v>0.259</v>
      </c>
      <c r="F26" s="23">
        <v>0.259</v>
      </c>
      <c r="G26" s="23">
        <v>0.121</v>
      </c>
      <c r="H26" s="25">
        <v>0.726</v>
      </c>
      <c r="I26" s="23">
        <v>0.19</v>
      </c>
      <c r="J26" s="23">
        <v>0.435</v>
      </c>
      <c r="K26" s="23">
        <v>0.26</v>
      </c>
      <c r="L26" s="25">
        <v>0.874</v>
      </c>
      <c r="M26" s="23">
        <v>0.155</v>
      </c>
      <c r="N26" s="24">
        <v>0.581</v>
      </c>
      <c r="O26" s="50">
        <v>1.088</v>
      </c>
      <c r="P26" s="25">
        <v>0.698</v>
      </c>
      <c r="Q26" s="23">
        <v>0.081</v>
      </c>
      <c r="R26" s="23">
        <v>0.158</v>
      </c>
      <c r="S26" s="23">
        <v>0.157</v>
      </c>
      <c r="T26" s="23">
        <v>0.047</v>
      </c>
      <c r="U26" s="23">
        <v>0.042</v>
      </c>
      <c r="V26" s="23">
        <v>0.048</v>
      </c>
      <c r="W26" s="23">
        <v>0.17</v>
      </c>
      <c r="X26" s="23">
        <v>0.02</v>
      </c>
      <c r="Y26" s="23">
        <v>0.06</v>
      </c>
      <c r="Z26" s="23">
        <v>0.078</v>
      </c>
      <c r="AA26" s="23">
        <v>0.16</v>
      </c>
      <c r="AB26" s="23">
        <v>0.098</v>
      </c>
      <c r="AC26" s="26">
        <v>4.4</v>
      </c>
      <c r="AD26" s="26">
        <v>2.343</v>
      </c>
      <c r="AE26" s="25">
        <v>0.702</v>
      </c>
      <c r="AF26" s="23">
        <v>0.2</v>
      </c>
      <c r="AG26" s="50">
        <v>0.9</v>
      </c>
      <c r="AH26" s="23">
        <v>0.244</v>
      </c>
      <c r="AI26" s="25">
        <v>0.747</v>
      </c>
      <c r="AJ26" s="23">
        <v>0.21</v>
      </c>
      <c r="AK26" s="24">
        <v>0.529</v>
      </c>
      <c r="AL26" s="23">
        <v>0.16</v>
      </c>
      <c r="AM26" s="23">
        <v>0.116</v>
      </c>
      <c r="AN26" s="25">
        <v>0.772</v>
      </c>
      <c r="AO26" s="23">
        <v>0.257</v>
      </c>
      <c r="AP26" s="25">
        <v>0.713</v>
      </c>
      <c r="AQ26" s="23">
        <v>0.193</v>
      </c>
      <c r="AR26" s="24">
        <v>0.437</v>
      </c>
      <c r="AS26" s="23">
        <v>0.118</v>
      </c>
      <c r="AT26" s="23">
        <v>0.096</v>
      </c>
      <c r="AU26" s="25">
        <v>0.69</v>
      </c>
      <c r="AV26" s="23">
        <v>0.187</v>
      </c>
      <c r="AW26" s="24">
        <v>0.455</v>
      </c>
      <c r="AX26" s="23">
        <v>0.115</v>
      </c>
      <c r="AY26" s="24">
        <v>0.535</v>
      </c>
      <c r="AZ26" s="23">
        <v>0.13</v>
      </c>
      <c r="BA26" s="50">
        <v>0.873</v>
      </c>
      <c r="BB26" s="23">
        <v>0.169</v>
      </c>
      <c r="BC26" s="23">
        <v>0.555</v>
      </c>
      <c r="BD26" s="23">
        <v>0.097</v>
      </c>
      <c r="BE26" s="23">
        <v>0.02</v>
      </c>
      <c r="BF26" s="23">
        <v>0.621</v>
      </c>
      <c r="BG26" s="23">
        <v>0.084</v>
      </c>
      <c r="BH26" s="23">
        <v>0.164</v>
      </c>
      <c r="BI26" s="24">
        <v>0.477</v>
      </c>
      <c r="BJ26" s="23">
        <v>0.116</v>
      </c>
      <c r="BK26" s="23">
        <v>0.027</v>
      </c>
      <c r="BL26" s="24">
        <v>0.486</v>
      </c>
    </row>
    <row r="27" ht="14.25" customHeight="1">
      <c r="A27" s="21" t="s">
        <v>134</v>
      </c>
      <c r="B27" s="22" t="s">
        <v>135</v>
      </c>
      <c r="C27" s="22" t="s">
        <v>100</v>
      </c>
      <c r="D27" s="23">
        <v>0.132</v>
      </c>
      <c r="E27" s="23">
        <v>0.149</v>
      </c>
      <c r="F27" s="23">
        <v>0.1</v>
      </c>
      <c r="G27" s="23">
        <v>0.078</v>
      </c>
      <c r="H27" s="23">
        <v>0.215</v>
      </c>
      <c r="I27" s="23">
        <v>0.056</v>
      </c>
      <c r="J27" s="23">
        <v>0.175</v>
      </c>
      <c r="K27" s="23">
        <v>0.155</v>
      </c>
      <c r="L27" s="50">
        <v>0.87</v>
      </c>
      <c r="M27" s="23">
        <v>0.285</v>
      </c>
      <c r="N27" s="26">
        <v>1.16</v>
      </c>
      <c r="O27" s="23">
        <v>0.28</v>
      </c>
      <c r="P27" s="23">
        <v>0.253</v>
      </c>
      <c r="Q27" s="23">
        <v>0.052</v>
      </c>
      <c r="R27" s="23">
        <v>0.102</v>
      </c>
      <c r="S27" s="23">
        <v>0.101</v>
      </c>
      <c r="T27" s="23">
        <v>0.037</v>
      </c>
      <c r="U27" s="23">
        <v>0.077</v>
      </c>
      <c r="V27" s="23">
        <v>0.045</v>
      </c>
      <c r="W27" s="23">
        <v>0.05</v>
      </c>
      <c r="X27" s="23">
        <v>0.02</v>
      </c>
      <c r="Y27" s="23">
        <v>0.069</v>
      </c>
      <c r="Z27" s="23">
        <v>0.358</v>
      </c>
      <c r="AA27" s="23">
        <v>0.19</v>
      </c>
      <c r="AB27" s="23">
        <v>0.233</v>
      </c>
      <c r="AC27" s="24">
        <v>0.481</v>
      </c>
      <c r="AD27" s="24">
        <v>0.402</v>
      </c>
      <c r="AE27" s="50">
        <v>0.891</v>
      </c>
      <c r="AF27" s="23">
        <v>0.1</v>
      </c>
      <c r="AG27" s="23">
        <v>0.193</v>
      </c>
      <c r="AH27" s="23">
        <v>0.059</v>
      </c>
      <c r="AI27" s="23">
        <v>0.213</v>
      </c>
      <c r="AJ27" s="23">
        <v>0.069</v>
      </c>
      <c r="AK27" s="23">
        <v>0.219</v>
      </c>
      <c r="AL27" s="23">
        <v>0.058</v>
      </c>
      <c r="AM27" s="23">
        <v>0.051</v>
      </c>
      <c r="AN27" s="23">
        <v>0.192</v>
      </c>
      <c r="AO27" s="23">
        <v>0.063</v>
      </c>
      <c r="AP27" s="23">
        <v>0.212</v>
      </c>
      <c r="AQ27" s="23">
        <v>0.062</v>
      </c>
      <c r="AR27" s="23">
        <v>0.146</v>
      </c>
      <c r="AS27" s="23">
        <v>0.046</v>
      </c>
      <c r="AT27" s="23">
        <v>0.037</v>
      </c>
      <c r="AU27" s="24">
        <v>0.33</v>
      </c>
      <c r="AV27" s="23">
        <v>0.103</v>
      </c>
      <c r="AW27" s="23">
        <v>0.22</v>
      </c>
      <c r="AX27" s="23">
        <v>0.064</v>
      </c>
      <c r="AY27" s="23">
        <v>0.221</v>
      </c>
      <c r="AZ27" s="23">
        <v>0.062</v>
      </c>
      <c r="BA27" s="23">
        <v>0.211</v>
      </c>
      <c r="BB27" s="23">
        <v>0.073</v>
      </c>
      <c r="BC27" s="24">
        <v>0.333</v>
      </c>
      <c r="BD27" s="23">
        <v>0.089</v>
      </c>
      <c r="BE27" s="23">
        <v>0.05</v>
      </c>
      <c r="BF27" s="23">
        <v>0.233</v>
      </c>
      <c r="BG27" s="23">
        <v>0.124</v>
      </c>
      <c r="BH27" s="23">
        <v>0.061</v>
      </c>
      <c r="BI27" s="23">
        <v>0.212</v>
      </c>
      <c r="BJ27" s="23">
        <v>0.063</v>
      </c>
      <c r="BK27" s="23">
        <v>0.015</v>
      </c>
      <c r="BL27" s="23">
        <v>0.106</v>
      </c>
    </row>
    <row r="28" ht="14.25" customHeight="1">
      <c r="A28" s="21" t="s">
        <v>136</v>
      </c>
      <c r="B28" s="22" t="s">
        <v>137</v>
      </c>
      <c r="C28" s="22" t="s">
        <v>138</v>
      </c>
      <c r="D28" s="24">
        <v>2.09</v>
      </c>
      <c r="E28" s="24">
        <v>2.021</v>
      </c>
      <c r="F28" s="23">
        <v>1.723</v>
      </c>
      <c r="G28" s="23">
        <v>0.732</v>
      </c>
      <c r="H28" s="23">
        <v>2.889</v>
      </c>
      <c r="I28" s="23">
        <v>0.89</v>
      </c>
      <c r="J28" s="23">
        <v>1.65</v>
      </c>
      <c r="K28" s="23">
        <v>1.25</v>
      </c>
      <c r="L28" s="23">
        <v>1.623</v>
      </c>
      <c r="M28" s="23">
        <v>0.399</v>
      </c>
      <c r="N28" s="25">
        <v>4.32</v>
      </c>
      <c r="O28" s="24">
        <v>2.95</v>
      </c>
      <c r="P28" s="24">
        <v>2.612</v>
      </c>
      <c r="Q28" s="23">
        <v>0.195</v>
      </c>
      <c r="R28" s="23">
        <v>0.381</v>
      </c>
      <c r="S28" s="23">
        <v>0.379</v>
      </c>
      <c r="T28" s="21">
        <v>0.535</v>
      </c>
      <c r="U28" s="23">
        <v>0.639</v>
      </c>
      <c r="V28" s="23">
        <v>0.288</v>
      </c>
      <c r="W28" s="23">
        <v>0.1</v>
      </c>
      <c r="X28" s="23">
        <v>0.1</v>
      </c>
      <c r="Y28" s="23">
        <v>0.513</v>
      </c>
      <c r="Z28" s="24">
        <v>2.64</v>
      </c>
      <c r="AA28" s="23">
        <v>0.0</v>
      </c>
      <c r="AB28" s="23">
        <v>0.906</v>
      </c>
      <c r="AC28" s="26">
        <v>7.56</v>
      </c>
      <c r="AD28" s="26">
        <v>11.195</v>
      </c>
      <c r="AE28" s="26">
        <v>22.021</v>
      </c>
      <c r="AF28" s="23">
        <v>0.3</v>
      </c>
      <c r="AG28" s="23">
        <v>1.955</v>
      </c>
      <c r="AH28" s="23">
        <v>0.505</v>
      </c>
      <c r="AI28" s="23">
        <v>1.455</v>
      </c>
      <c r="AJ28" s="23">
        <v>0.515</v>
      </c>
      <c r="AK28" s="24">
        <v>2.06</v>
      </c>
      <c r="AL28" s="23">
        <v>0.578</v>
      </c>
      <c r="AM28" s="23">
        <v>0.411</v>
      </c>
      <c r="AN28" s="23">
        <v>1.892</v>
      </c>
      <c r="AO28" s="23">
        <v>0.57</v>
      </c>
      <c r="AP28" s="23">
        <v>1.174</v>
      </c>
      <c r="AQ28" s="23">
        <v>0.318</v>
      </c>
      <c r="AR28" s="23">
        <v>0.479</v>
      </c>
      <c r="AS28" s="23">
        <v>0.14</v>
      </c>
      <c r="AT28" s="23">
        <v>0.113</v>
      </c>
      <c r="AU28" s="24">
        <v>2.43</v>
      </c>
      <c r="AV28" s="23">
        <v>0.708</v>
      </c>
      <c r="AW28" s="24">
        <v>2.63</v>
      </c>
      <c r="AX28" s="23">
        <v>0.717</v>
      </c>
      <c r="AY28" s="24">
        <v>2.083</v>
      </c>
      <c r="AZ28" s="23">
        <v>0.546</v>
      </c>
      <c r="BA28" s="24">
        <v>2.605</v>
      </c>
      <c r="BB28" s="23">
        <v>1.06</v>
      </c>
      <c r="BC28" s="24">
        <v>2.832</v>
      </c>
      <c r="BD28" s="23">
        <v>0.711</v>
      </c>
      <c r="BE28" s="23">
        <v>0.96</v>
      </c>
      <c r="BF28" s="24">
        <v>2.251</v>
      </c>
      <c r="BG28" s="23">
        <v>0.749</v>
      </c>
      <c r="BH28" s="23">
        <v>0.577</v>
      </c>
      <c r="BI28" s="23">
        <v>1.541</v>
      </c>
      <c r="BJ28" s="23">
        <v>0.526</v>
      </c>
      <c r="BK28" s="23">
        <v>0.14</v>
      </c>
      <c r="BL28" s="23">
        <v>1.762</v>
      </c>
    </row>
    <row r="29" ht="14.25" customHeight="1">
      <c r="A29" s="21" t="s">
        <v>139</v>
      </c>
      <c r="B29" s="22">
        <v>1.3</v>
      </c>
      <c r="C29" s="22" t="s">
        <v>140</v>
      </c>
      <c r="D29" s="23">
        <v>0.169</v>
      </c>
      <c r="E29" s="23">
        <v>0.216</v>
      </c>
      <c r="F29" s="23">
        <v>0.083</v>
      </c>
      <c r="G29" s="23">
        <v>0.064</v>
      </c>
      <c r="H29" s="23">
        <v>0.174</v>
      </c>
      <c r="I29" s="23">
        <v>0.048</v>
      </c>
      <c r="J29" s="23">
        <v>0.065</v>
      </c>
      <c r="K29" s="23">
        <v>0.06</v>
      </c>
      <c r="L29" s="23">
        <v>0.377</v>
      </c>
      <c r="M29" s="23">
        <v>0.234</v>
      </c>
      <c r="N29" s="24">
        <v>0.461</v>
      </c>
      <c r="O29" s="50">
        <v>1.05</v>
      </c>
      <c r="P29" s="24">
        <v>0.574</v>
      </c>
      <c r="Q29" s="23">
        <v>0.047</v>
      </c>
      <c r="R29" s="23">
        <v>0.092</v>
      </c>
      <c r="S29" s="23">
        <v>0.091</v>
      </c>
      <c r="T29" s="23">
        <v>0.052</v>
      </c>
      <c r="U29" s="23">
        <v>0.039</v>
      </c>
      <c r="V29" s="23">
        <v>0.063</v>
      </c>
      <c r="W29" s="23">
        <v>0.099</v>
      </c>
      <c r="X29" s="23">
        <v>0.115</v>
      </c>
      <c r="Y29" s="23">
        <v>0.077</v>
      </c>
      <c r="Z29" s="23">
        <v>0.215</v>
      </c>
      <c r="AA29" s="23">
        <v>0.13</v>
      </c>
      <c r="AB29" s="23">
        <v>0.199</v>
      </c>
      <c r="AC29" s="24">
        <v>0.479</v>
      </c>
      <c r="AD29" s="25">
        <v>0.828</v>
      </c>
      <c r="AE29" s="26">
        <v>1.336</v>
      </c>
      <c r="AG29" s="23">
        <v>0.286</v>
      </c>
      <c r="AH29" s="23">
        <v>0.069</v>
      </c>
      <c r="AI29" s="23">
        <v>0.309</v>
      </c>
      <c r="AJ29" s="23">
        <v>0.081</v>
      </c>
      <c r="AK29" s="24">
        <v>0.397</v>
      </c>
      <c r="AL29" s="23">
        <v>0.12</v>
      </c>
      <c r="AM29" s="23">
        <v>0.074</v>
      </c>
      <c r="AN29" s="24">
        <v>0.527</v>
      </c>
      <c r="AO29" s="23">
        <v>0.175</v>
      </c>
      <c r="AP29" s="24">
        <v>0.474</v>
      </c>
      <c r="AQ29" s="23">
        <v>0.229</v>
      </c>
      <c r="AR29" s="23">
        <v>0.318</v>
      </c>
      <c r="AS29" s="23">
        <v>0.093</v>
      </c>
      <c r="AT29" s="23">
        <v>0.075</v>
      </c>
      <c r="AU29" s="24">
        <v>0.442</v>
      </c>
      <c r="AV29" s="23">
        <v>0.129</v>
      </c>
      <c r="AW29" s="23">
        <v>0.351</v>
      </c>
      <c r="AX29" s="23">
        <v>0.096</v>
      </c>
      <c r="AY29" s="24">
        <v>0.401</v>
      </c>
      <c r="AZ29" s="23">
        <v>0.105</v>
      </c>
      <c r="BA29" s="24">
        <v>0.54</v>
      </c>
      <c r="BB29" s="23">
        <v>0.178</v>
      </c>
      <c r="BC29" s="23">
        <v>0.366</v>
      </c>
      <c r="BD29" s="23">
        <v>0.072</v>
      </c>
      <c r="BE29" s="23">
        <v>0.045</v>
      </c>
      <c r="BF29" s="23">
        <v>0.382</v>
      </c>
      <c r="BG29" s="23">
        <v>0.088</v>
      </c>
      <c r="BH29" s="23">
        <v>0.067</v>
      </c>
      <c r="BI29" s="24">
        <v>0.535</v>
      </c>
      <c r="BJ29" s="23">
        <v>0.139</v>
      </c>
      <c r="BL29" s="24">
        <v>0.492</v>
      </c>
    </row>
    <row r="30" ht="14.25" customHeight="1">
      <c r="A30" s="23" t="s">
        <v>141</v>
      </c>
      <c r="B30" s="22" t="s">
        <v>142</v>
      </c>
      <c r="C30" s="22">
        <v>1000.0</v>
      </c>
      <c r="D30" s="23">
        <v>65.0</v>
      </c>
      <c r="E30" s="23">
        <v>63.0</v>
      </c>
      <c r="F30" s="23">
        <v>53.0</v>
      </c>
      <c r="G30" s="23">
        <v>44.0</v>
      </c>
      <c r="H30" s="25">
        <v>274.0</v>
      </c>
      <c r="I30" s="23">
        <v>65.0</v>
      </c>
      <c r="J30" s="24">
        <v>165.0</v>
      </c>
      <c r="K30" s="24">
        <v>111.0</v>
      </c>
      <c r="L30" s="50">
        <v>375.0</v>
      </c>
      <c r="M30" s="23">
        <v>54.0</v>
      </c>
      <c r="N30" s="50">
        <v>345.0</v>
      </c>
      <c r="O30" s="25">
        <v>289.0</v>
      </c>
      <c r="P30" s="25">
        <v>305.0</v>
      </c>
      <c r="Q30" s="23">
        <v>15.0</v>
      </c>
      <c r="R30" s="23">
        <v>29.0</v>
      </c>
      <c r="S30" s="23">
        <v>29.0</v>
      </c>
      <c r="T30" s="23">
        <v>44.0</v>
      </c>
      <c r="U30" s="23">
        <v>22.0</v>
      </c>
      <c r="V30" s="23">
        <v>17.0</v>
      </c>
      <c r="W30" s="23">
        <v>27.0</v>
      </c>
      <c r="X30" s="23">
        <v>26.0</v>
      </c>
      <c r="Y30" s="23">
        <v>18.0</v>
      </c>
      <c r="Z30" s="23">
        <v>24.0</v>
      </c>
      <c r="AA30" s="23">
        <v>8.0</v>
      </c>
      <c r="AB30" s="23">
        <v>19.0</v>
      </c>
      <c r="AC30" s="23">
        <v>42.0</v>
      </c>
      <c r="AD30" s="23">
        <v>26.0</v>
      </c>
      <c r="AE30" s="24">
        <v>198.0</v>
      </c>
      <c r="AF30" s="25">
        <v>200.0</v>
      </c>
      <c r="AG30" s="26">
        <v>444.0</v>
      </c>
      <c r="AH30" s="23">
        <v>149.0</v>
      </c>
      <c r="AI30" s="26">
        <v>604.0</v>
      </c>
      <c r="AJ30" s="25">
        <v>207.0</v>
      </c>
      <c r="AK30" s="26">
        <v>394.0</v>
      </c>
      <c r="AL30" s="24">
        <v>130.0</v>
      </c>
      <c r="AM30" s="23">
        <v>36.0</v>
      </c>
      <c r="AN30" s="26">
        <v>463.0</v>
      </c>
      <c r="AO30" s="24">
        <v>168.0</v>
      </c>
      <c r="AP30" s="26">
        <v>525.0</v>
      </c>
      <c r="AQ30" s="24">
        <v>172.0</v>
      </c>
      <c r="AR30" s="50">
        <v>388.0</v>
      </c>
      <c r="AS30" s="23">
        <v>81.0</v>
      </c>
      <c r="AT30" s="23">
        <v>65.0</v>
      </c>
      <c r="AU30" s="50">
        <v>389.0</v>
      </c>
      <c r="AV30" s="23">
        <v>81.0</v>
      </c>
      <c r="AW30" s="26">
        <v>622.0</v>
      </c>
      <c r="AX30" s="24">
        <v>121.0</v>
      </c>
      <c r="AY30" s="26">
        <v>399.0</v>
      </c>
      <c r="AZ30" s="23">
        <v>75.0</v>
      </c>
      <c r="BA30" s="26">
        <v>479.0</v>
      </c>
      <c r="BB30" s="24">
        <v>181.0</v>
      </c>
      <c r="BC30" s="26">
        <v>423.0</v>
      </c>
      <c r="BD30" s="24">
        <v>104.0</v>
      </c>
      <c r="BE30" s="23">
        <v>33.0</v>
      </c>
      <c r="BF30" s="26">
        <v>625.0</v>
      </c>
      <c r="BG30" s="23">
        <v>61.0</v>
      </c>
      <c r="BH30" s="24">
        <v>159.0</v>
      </c>
      <c r="BI30" s="26">
        <v>557.0</v>
      </c>
      <c r="BJ30" s="24">
        <v>172.0</v>
      </c>
      <c r="BK30" s="23">
        <v>48.0</v>
      </c>
      <c r="BL30" s="26">
        <v>437.0</v>
      </c>
    </row>
    <row r="31" ht="14.25" customHeight="1">
      <c r="A31" s="21" t="s">
        <v>143</v>
      </c>
      <c r="B31" s="22" t="s">
        <v>144</v>
      </c>
      <c r="C31" s="22" t="s">
        <v>100</v>
      </c>
      <c r="D31" s="23">
        <v>0.0</v>
      </c>
      <c r="E31" s="23">
        <v>0.0</v>
      </c>
      <c r="F31" s="23">
        <v>0.0</v>
      </c>
      <c r="G31" s="23">
        <v>0.0</v>
      </c>
      <c r="H31" s="23">
        <v>0.0</v>
      </c>
      <c r="I31" s="23">
        <v>0.0</v>
      </c>
      <c r="J31" s="23">
        <v>0.0</v>
      </c>
      <c r="K31" s="23">
        <v>0.0</v>
      </c>
      <c r="L31" s="23">
        <v>0.0</v>
      </c>
      <c r="M31" s="23">
        <v>0.0</v>
      </c>
      <c r="N31" s="23">
        <v>0.0</v>
      </c>
      <c r="O31" s="23">
        <v>0.0</v>
      </c>
      <c r="P31" s="23">
        <v>0.0</v>
      </c>
      <c r="Q31" s="23">
        <v>0.0</v>
      </c>
      <c r="R31" s="23">
        <v>0.0</v>
      </c>
      <c r="S31" s="23">
        <v>0.0</v>
      </c>
      <c r="T31" s="23">
        <v>0.0</v>
      </c>
      <c r="U31" s="23">
        <v>0.0</v>
      </c>
      <c r="V31" s="23">
        <v>0.0</v>
      </c>
      <c r="W31" s="23">
        <v>0.0</v>
      </c>
      <c r="X31" s="23">
        <v>0.0</v>
      </c>
      <c r="Y31" s="23">
        <v>0.0</v>
      </c>
      <c r="Z31" s="24">
        <v>0.08</v>
      </c>
      <c r="AA31" s="23">
        <v>0.0</v>
      </c>
      <c r="AB31" s="24">
        <v>0.08</v>
      </c>
      <c r="AC31" s="23">
        <v>0.0</v>
      </c>
      <c r="AD31" s="23">
        <v>0.0</v>
      </c>
      <c r="AE31" s="51">
        <v>6.0</v>
      </c>
      <c r="AF31" s="23">
        <v>0.0</v>
      </c>
      <c r="AG31" s="23">
        <v>0.0</v>
      </c>
      <c r="AH31" s="23">
        <v>0.0</v>
      </c>
      <c r="AI31" s="23">
        <v>0.0</v>
      </c>
      <c r="AJ31" s="23">
        <v>0.0</v>
      </c>
      <c r="AK31" s="23">
        <v>0.0</v>
      </c>
      <c r="AL31" s="23">
        <v>0.0</v>
      </c>
      <c r="AM31" s="23">
        <v>0.0</v>
      </c>
      <c r="AN31" s="23">
        <v>0.0</v>
      </c>
      <c r="AO31" s="23">
        <v>0.0</v>
      </c>
      <c r="AP31" s="23">
        <v>0.0</v>
      </c>
      <c r="AQ31" s="23">
        <v>0.0</v>
      </c>
      <c r="AR31" s="23">
        <v>0.0</v>
      </c>
      <c r="AS31" s="23">
        <v>0.0</v>
      </c>
      <c r="AT31" s="23">
        <v>0.0</v>
      </c>
      <c r="AU31" s="23">
        <v>0.0</v>
      </c>
      <c r="AV31" s="23">
        <v>0.0</v>
      </c>
      <c r="AW31" s="23">
        <v>0.0</v>
      </c>
      <c r="AX31" s="23">
        <v>0.0</v>
      </c>
      <c r="AY31" s="23">
        <v>0.0</v>
      </c>
      <c r="AZ31" s="23">
        <v>0.0</v>
      </c>
      <c r="BA31" s="23">
        <v>0.0</v>
      </c>
      <c r="BB31" s="23">
        <v>0.0</v>
      </c>
      <c r="BC31" s="23">
        <v>0.0</v>
      </c>
      <c r="BD31" s="23">
        <v>0.0</v>
      </c>
      <c r="BE31" s="23">
        <v>0.0</v>
      </c>
      <c r="BF31" s="23">
        <v>0.0</v>
      </c>
      <c r="BG31" s="23">
        <v>0.0</v>
      </c>
      <c r="BH31" s="23">
        <v>0.0</v>
      </c>
      <c r="BI31" s="23">
        <v>0.0</v>
      </c>
      <c r="BJ31" s="23">
        <v>0.0</v>
      </c>
      <c r="BK31" s="23">
        <v>0.0</v>
      </c>
      <c r="BL31" s="23">
        <v>0.0</v>
      </c>
    </row>
    <row r="32" ht="14.25" customHeight="1">
      <c r="A32" s="21" t="s">
        <v>145</v>
      </c>
      <c r="B32" s="22">
        <v>900.0</v>
      </c>
      <c r="C32" s="22">
        <v>3000.0</v>
      </c>
      <c r="D32" s="21">
        <v>38.0</v>
      </c>
      <c r="E32" s="21">
        <v>40.0</v>
      </c>
      <c r="F32" s="24">
        <v>103.0</v>
      </c>
      <c r="G32" s="23">
        <v>27.0</v>
      </c>
      <c r="H32" s="23">
        <v>7.0</v>
      </c>
      <c r="I32" s="23">
        <v>0.0</v>
      </c>
      <c r="J32" s="23">
        <v>9.0</v>
      </c>
      <c r="K32" s="23">
        <v>8.0</v>
      </c>
      <c r="L32" s="23">
        <v>1.0</v>
      </c>
      <c r="M32" s="23">
        <v>0.0</v>
      </c>
      <c r="N32" s="23">
        <v>6.0</v>
      </c>
      <c r="O32" s="23">
        <v>2.0</v>
      </c>
      <c r="P32" s="23">
        <v>2.0</v>
      </c>
      <c r="Q32" s="23">
        <v>4.0</v>
      </c>
      <c r="R32" s="25">
        <v>166.0</v>
      </c>
      <c r="S32" s="23">
        <v>0.0</v>
      </c>
      <c r="T32" s="23">
        <v>0.0</v>
      </c>
      <c r="V32" s="23">
        <v>0.0</v>
      </c>
      <c r="W32" s="23">
        <v>1.0</v>
      </c>
      <c r="X32" s="23">
        <v>0.0</v>
      </c>
      <c r="Y32" s="23">
        <v>0.0</v>
      </c>
      <c r="Z32" s="23">
        <v>0.0</v>
      </c>
      <c r="AA32" s="23">
        <v>0.0</v>
      </c>
      <c r="AB32" s="23">
        <v>4.0</v>
      </c>
      <c r="AC32" s="23">
        <v>4.0</v>
      </c>
      <c r="AD32" s="23">
        <v>0.0</v>
      </c>
      <c r="AE32" s="23">
        <v>2.0</v>
      </c>
      <c r="AF32" s="23">
        <v>0.0</v>
      </c>
      <c r="AG32" s="23">
        <v>0.0</v>
      </c>
      <c r="AH32" s="23">
        <v>0.0</v>
      </c>
      <c r="AI32" s="23">
        <v>0.0</v>
      </c>
      <c r="AJ32" s="23">
        <v>0.0</v>
      </c>
      <c r="AK32" s="23">
        <v>0.0</v>
      </c>
      <c r="AL32" s="23">
        <v>0.0</v>
      </c>
      <c r="AM32" s="23">
        <v>0.0</v>
      </c>
      <c r="AN32" s="23">
        <v>0.0</v>
      </c>
      <c r="AO32" s="23">
        <v>0.0</v>
      </c>
      <c r="AP32" s="23">
        <v>0.0</v>
      </c>
      <c r="AQ32" s="23">
        <v>0.0</v>
      </c>
      <c r="AR32" s="23">
        <v>0.0</v>
      </c>
      <c r="AS32" s="23">
        <v>0.0</v>
      </c>
      <c r="AT32" s="23">
        <v>0.0</v>
      </c>
      <c r="AU32" s="23">
        <v>0.0</v>
      </c>
      <c r="AV32" s="23">
        <v>0.0</v>
      </c>
      <c r="AW32" s="23">
        <v>1.0</v>
      </c>
      <c r="AX32" s="23">
        <v>0.0</v>
      </c>
      <c r="AY32" s="23">
        <v>0.0</v>
      </c>
      <c r="AZ32" s="23">
        <v>0.0</v>
      </c>
      <c r="BA32" s="23">
        <v>2.0</v>
      </c>
      <c r="BB32" s="23">
        <v>0.0</v>
      </c>
      <c r="BC32" s="23">
        <v>3.0</v>
      </c>
      <c r="BD32" s="23">
        <v>1.0</v>
      </c>
      <c r="BE32" s="23">
        <v>1.0</v>
      </c>
      <c r="BF32" s="23">
        <v>6.0</v>
      </c>
      <c r="BG32" s="23">
        <v>1.0</v>
      </c>
      <c r="BH32" s="23">
        <v>1.0</v>
      </c>
      <c r="BI32" s="23">
        <v>3.0</v>
      </c>
      <c r="BJ32" s="23">
        <v>1.0</v>
      </c>
      <c r="BK32" s="23">
        <v>1.0</v>
      </c>
      <c r="BL32" s="23">
        <v>2.0</v>
      </c>
    </row>
    <row r="33" ht="14.25" customHeight="1">
      <c r="A33" s="28" t="s">
        <v>146</v>
      </c>
      <c r="B33" s="29"/>
      <c r="C33" s="29"/>
      <c r="D33" s="28">
        <v>765.0</v>
      </c>
      <c r="E33" s="28">
        <v>801.0</v>
      </c>
      <c r="F33" s="28">
        <v>2058.0</v>
      </c>
      <c r="G33" s="28">
        <v>533.0</v>
      </c>
      <c r="H33" s="28">
        <v>149.0</v>
      </c>
      <c r="I33" s="28">
        <v>7.0</v>
      </c>
      <c r="J33" s="28">
        <v>180.0</v>
      </c>
      <c r="K33" s="28">
        <v>156.0</v>
      </c>
      <c r="L33" s="28">
        <v>22.0</v>
      </c>
      <c r="M33" s="28">
        <v>9.0</v>
      </c>
      <c r="N33" s="28">
        <v>120.0</v>
      </c>
      <c r="O33" s="28">
        <v>40.0</v>
      </c>
      <c r="P33" s="28">
        <v>40.0</v>
      </c>
      <c r="Q33" s="28">
        <v>85.0</v>
      </c>
      <c r="R33" s="28"/>
      <c r="S33" s="28">
        <v>0.0</v>
      </c>
      <c r="T33" s="28">
        <v>7.0</v>
      </c>
      <c r="U33" s="28"/>
      <c r="V33" s="28">
        <v>0.0</v>
      </c>
      <c r="W33" s="28">
        <v>27.0</v>
      </c>
      <c r="X33" s="28">
        <v>0.0</v>
      </c>
      <c r="Y33" s="23">
        <v>3.0</v>
      </c>
      <c r="Z33" s="28">
        <v>0.0</v>
      </c>
      <c r="AA33" s="28">
        <v>0.0</v>
      </c>
      <c r="AB33" s="28">
        <v>87.0</v>
      </c>
      <c r="AC33" s="28">
        <v>88.0</v>
      </c>
      <c r="AD33" s="28">
        <v>0.0</v>
      </c>
      <c r="AE33" s="28">
        <v>32.0</v>
      </c>
      <c r="AF33" s="28">
        <v>0.0</v>
      </c>
      <c r="AG33" s="28">
        <v>17.0</v>
      </c>
      <c r="AH33" s="28">
        <v>6.0</v>
      </c>
      <c r="AI33" s="28">
        <v>2.0</v>
      </c>
      <c r="AJ33" s="28">
        <v>0.0</v>
      </c>
      <c r="AK33" s="28">
        <v>0.0</v>
      </c>
      <c r="AL33" s="28">
        <v>0.0</v>
      </c>
      <c r="AM33" s="28">
        <v>0.0</v>
      </c>
      <c r="AN33" s="28">
        <v>0.0</v>
      </c>
      <c r="AO33" s="28">
        <v>0.0</v>
      </c>
      <c r="AP33" s="28">
        <v>0.0</v>
      </c>
      <c r="AQ33" s="28">
        <v>0.0</v>
      </c>
      <c r="AR33" s="28">
        <v>0.0</v>
      </c>
      <c r="AS33" s="28">
        <v>0.0</v>
      </c>
      <c r="AT33" s="28">
        <v>0.0</v>
      </c>
      <c r="AU33" s="28">
        <v>6.0</v>
      </c>
      <c r="AV33" s="28">
        <v>2.0</v>
      </c>
      <c r="AW33" s="28">
        <v>17.0</v>
      </c>
      <c r="AX33" s="28">
        <v>6.0</v>
      </c>
      <c r="AY33" s="28">
        <v>8.0</v>
      </c>
      <c r="AZ33" s="28">
        <v>3.0</v>
      </c>
      <c r="BA33" s="28">
        <v>39.0</v>
      </c>
      <c r="BB33" s="28">
        <v>8.0</v>
      </c>
      <c r="BC33" s="28">
        <v>53.0</v>
      </c>
      <c r="BD33" s="28">
        <v>15.0</v>
      </c>
      <c r="BE33" s="28">
        <v>10.0</v>
      </c>
      <c r="BF33" s="28">
        <v>114.0</v>
      </c>
      <c r="BG33" s="28">
        <v>21.0</v>
      </c>
      <c r="BH33" s="28">
        <v>24.0</v>
      </c>
      <c r="BI33" s="28">
        <v>67.0</v>
      </c>
      <c r="BJ33" s="28">
        <v>27.0</v>
      </c>
      <c r="BK33" s="28">
        <v>23.0</v>
      </c>
      <c r="BL33" s="28">
        <v>41.0</v>
      </c>
    </row>
    <row r="34" ht="14.25" customHeight="1">
      <c r="A34" s="21" t="s">
        <v>147</v>
      </c>
      <c r="B34" s="22" t="s">
        <v>148</v>
      </c>
      <c r="C34" s="22">
        <v>1000.0</v>
      </c>
      <c r="D34" s="23">
        <v>0.13</v>
      </c>
      <c r="E34" s="23">
        <v>0.14</v>
      </c>
      <c r="F34" s="23">
        <v>0.02</v>
      </c>
      <c r="G34" s="23">
        <v>0.03</v>
      </c>
      <c r="H34" s="23">
        <v>0.09</v>
      </c>
      <c r="I34" s="23">
        <v>0.03</v>
      </c>
      <c r="L34" s="23">
        <v>0.85</v>
      </c>
      <c r="M34" s="23">
        <v>0.35</v>
      </c>
      <c r="N34" s="24">
        <v>1.95</v>
      </c>
      <c r="O34" s="23">
        <v>0.55</v>
      </c>
      <c r="P34" s="23">
        <v>0.12</v>
      </c>
      <c r="T34" s="23">
        <v>0.01</v>
      </c>
      <c r="W34" s="23">
        <v>0.04</v>
      </c>
      <c r="Y34" s="23">
        <v>0.11</v>
      </c>
      <c r="AA34" s="23">
        <v>0.01</v>
      </c>
      <c r="AB34" s="23">
        <v>0.01</v>
      </c>
      <c r="AC34" s="25">
        <v>6.9</v>
      </c>
      <c r="AD34" s="24">
        <v>2.1</v>
      </c>
      <c r="AG34" s="23">
        <v>0.21</v>
      </c>
      <c r="AK34" s="23">
        <v>0.22</v>
      </c>
      <c r="AL34" s="23">
        <v>0.03</v>
      </c>
      <c r="AM34" s="23">
        <v>0.02</v>
      </c>
      <c r="AN34" s="23">
        <v>0.21</v>
      </c>
      <c r="AO34" s="23">
        <v>0.98</v>
      </c>
      <c r="AP34" s="23">
        <v>0.21</v>
      </c>
      <c r="AQ34" s="23">
        <v>0.94</v>
      </c>
      <c r="AR34" s="23">
        <v>0.21</v>
      </c>
      <c r="AS34" s="23">
        <v>0.94</v>
      </c>
      <c r="AT34" s="23">
        <v>0.79</v>
      </c>
      <c r="BA34" s="23">
        <v>0.49</v>
      </c>
      <c r="BB34" s="23">
        <v>0.11</v>
      </c>
      <c r="BC34" s="23">
        <v>0.05</v>
      </c>
      <c r="BD34" s="23">
        <v>0.02</v>
      </c>
      <c r="BF34" s="23">
        <v>0.51</v>
      </c>
      <c r="BG34" s="23">
        <v>0.1</v>
      </c>
      <c r="BH34" s="23">
        <v>0.15</v>
      </c>
      <c r="BI34" s="23">
        <v>0.82</v>
      </c>
      <c r="BJ34" s="23">
        <v>0.35</v>
      </c>
      <c r="BL34" s="23">
        <v>0.83</v>
      </c>
    </row>
    <row r="35" ht="14.25" customHeight="1">
      <c r="A35" s="21" t="s">
        <v>149</v>
      </c>
      <c r="B35" s="22" t="s">
        <v>150</v>
      </c>
      <c r="C35" s="22">
        <v>100.0</v>
      </c>
      <c r="D35" s="23">
        <v>0.0</v>
      </c>
      <c r="E35" s="23">
        <v>0.0</v>
      </c>
      <c r="F35" s="23">
        <v>0.0</v>
      </c>
      <c r="G35" s="23">
        <v>0.0</v>
      </c>
      <c r="H35" s="23">
        <v>0.0</v>
      </c>
      <c r="I35" s="23">
        <v>0.0</v>
      </c>
      <c r="J35" s="23">
        <v>0.0</v>
      </c>
      <c r="K35" s="23">
        <v>0.0</v>
      </c>
      <c r="L35" s="23">
        <v>0.0</v>
      </c>
      <c r="M35" s="23">
        <v>0.0</v>
      </c>
      <c r="N35" s="23">
        <v>0.0</v>
      </c>
      <c r="O35" s="23">
        <v>0.0</v>
      </c>
      <c r="P35" s="23">
        <v>0.0</v>
      </c>
      <c r="Q35" s="23">
        <v>0.0</v>
      </c>
      <c r="R35" s="23">
        <v>0.0</v>
      </c>
      <c r="S35" s="23">
        <v>0.0</v>
      </c>
      <c r="T35" s="23">
        <v>0.0</v>
      </c>
      <c r="U35" s="23">
        <v>0.0</v>
      </c>
      <c r="V35" s="23">
        <v>0.0</v>
      </c>
      <c r="W35" s="23">
        <v>0.0</v>
      </c>
      <c r="X35" s="23">
        <v>0.0</v>
      </c>
      <c r="Y35" s="23">
        <v>0.0</v>
      </c>
      <c r="Z35" s="23">
        <v>0.0</v>
      </c>
      <c r="AA35" s="23">
        <v>0.0</v>
      </c>
      <c r="AB35" s="23">
        <v>0.0</v>
      </c>
      <c r="AC35" s="23">
        <v>0.0</v>
      </c>
      <c r="AD35" s="23">
        <v>0.0</v>
      </c>
      <c r="AE35" s="23">
        <v>0.0</v>
      </c>
      <c r="AF35" s="23">
        <v>0.0</v>
      </c>
      <c r="AG35" s="23">
        <v>0.0</v>
      </c>
      <c r="AH35" s="23">
        <v>0.0</v>
      </c>
      <c r="AI35" s="23">
        <v>0.0</v>
      </c>
      <c r="AJ35" s="23">
        <v>0.0</v>
      </c>
      <c r="AK35" s="23">
        <v>0.0</v>
      </c>
      <c r="AL35" s="23">
        <v>0.0</v>
      </c>
      <c r="AM35" s="23">
        <v>0.0</v>
      </c>
      <c r="AN35" s="23">
        <v>0.0</v>
      </c>
      <c r="AO35" s="23">
        <v>0.0</v>
      </c>
      <c r="AP35" s="23">
        <v>0.0</v>
      </c>
      <c r="AQ35" s="23">
        <v>0.0</v>
      </c>
      <c r="AR35" s="23">
        <v>0.0</v>
      </c>
      <c r="AS35" s="23">
        <v>0.0</v>
      </c>
      <c r="AT35" s="23">
        <v>0.0</v>
      </c>
      <c r="AU35" s="23">
        <v>0.0</v>
      </c>
      <c r="AV35" s="23">
        <v>0.0</v>
      </c>
      <c r="AW35" s="23">
        <v>0.0</v>
      </c>
      <c r="AX35" s="23">
        <v>0.0</v>
      </c>
      <c r="AY35" s="23">
        <v>0.0</v>
      </c>
      <c r="AZ35" s="23">
        <v>0.0</v>
      </c>
      <c r="BA35" s="23">
        <v>0.0</v>
      </c>
      <c r="BB35" s="23">
        <v>0.0</v>
      </c>
      <c r="BC35" s="23">
        <v>0.0</v>
      </c>
      <c r="BD35" s="23">
        <v>0.0</v>
      </c>
      <c r="BE35" s="23">
        <v>0.0</v>
      </c>
      <c r="BF35" s="23">
        <v>0.0</v>
      </c>
      <c r="BG35" s="23">
        <v>0.0</v>
      </c>
      <c r="BH35" s="23">
        <v>0.0</v>
      </c>
      <c r="BI35" s="23">
        <v>0.0</v>
      </c>
      <c r="BJ35" s="23">
        <v>0.0</v>
      </c>
      <c r="BK35" s="23">
        <v>0.0</v>
      </c>
      <c r="BL35" s="23">
        <v>0.0</v>
      </c>
    </row>
    <row r="36" ht="14.25" customHeight="1">
      <c r="A36" s="28" t="s">
        <v>151</v>
      </c>
      <c r="B36" s="29"/>
      <c r="C36" s="29"/>
      <c r="D36" s="28">
        <v>0.0</v>
      </c>
      <c r="E36" s="28">
        <v>0.0</v>
      </c>
      <c r="F36" s="28">
        <v>0.0</v>
      </c>
      <c r="G36" s="28">
        <v>0.0</v>
      </c>
      <c r="H36" s="28">
        <v>0.0</v>
      </c>
      <c r="I36" s="28">
        <v>0.0</v>
      </c>
      <c r="J36" s="28">
        <v>0.0</v>
      </c>
      <c r="K36" s="28">
        <v>0.0</v>
      </c>
      <c r="L36" s="28">
        <v>0.0</v>
      </c>
      <c r="M36" s="28">
        <v>0.0</v>
      </c>
      <c r="N36" s="28">
        <v>0.0</v>
      </c>
      <c r="O36" s="28">
        <v>0.0</v>
      </c>
      <c r="P36" s="28">
        <v>0.0</v>
      </c>
      <c r="Q36" s="28">
        <v>0.0</v>
      </c>
      <c r="R36" s="28">
        <v>0.0</v>
      </c>
      <c r="S36" s="28">
        <v>0.0</v>
      </c>
      <c r="T36" s="28">
        <v>0.0</v>
      </c>
      <c r="U36" s="28">
        <v>0.0</v>
      </c>
      <c r="V36" s="28">
        <v>0.0</v>
      </c>
      <c r="W36" s="28">
        <v>0.0</v>
      </c>
      <c r="X36" s="28">
        <v>0.0</v>
      </c>
      <c r="Y36" s="23">
        <v>0.0</v>
      </c>
      <c r="Z36" s="28">
        <v>0.0</v>
      </c>
      <c r="AA36" s="28">
        <v>0.0</v>
      </c>
      <c r="AB36" s="28">
        <v>0.0</v>
      </c>
      <c r="AC36" s="28">
        <v>0.0</v>
      </c>
      <c r="AD36" s="28">
        <v>0.0</v>
      </c>
      <c r="AE36" s="28">
        <v>0.0</v>
      </c>
      <c r="AF36" s="28">
        <v>0.0</v>
      </c>
      <c r="AG36" s="28">
        <v>0.0</v>
      </c>
      <c r="AH36" s="28">
        <v>0.0</v>
      </c>
      <c r="AI36" s="28">
        <v>0.0</v>
      </c>
      <c r="AJ36" s="28">
        <v>0.0</v>
      </c>
      <c r="AK36" s="28">
        <v>0.0</v>
      </c>
      <c r="AL36" s="28">
        <v>0.0</v>
      </c>
      <c r="AM36" s="28">
        <v>0.0</v>
      </c>
      <c r="AN36" s="28">
        <v>0.0</v>
      </c>
      <c r="AO36" s="28">
        <v>0.0</v>
      </c>
      <c r="AP36" s="28">
        <v>0.0</v>
      </c>
      <c r="AQ36" s="28">
        <v>0.0</v>
      </c>
      <c r="AR36" s="28">
        <v>0.0</v>
      </c>
      <c r="AS36" s="28">
        <v>0.0</v>
      </c>
      <c r="AT36" s="28">
        <v>0.0</v>
      </c>
      <c r="AU36" s="28">
        <v>0.0</v>
      </c>
      <c r="AV36" s="28">
        <v>0.0</v>
      </c>
      <c r="AW36" s="28">
        <v>0.0</v>
      </c>
      <c r="AX36" s="28">
        <v>0.0</v>
      </c>
      <c r="AY36" s="28">
        <v>0.0</v>
      </c>
      <c r="AZ36" s="28">
        <v>0.0</v>
      </c>
      <c r="BA36" s="28">
        <v>0.0</v>
      </c>
      <c r="BB36" s="28">
        <v>0.0</v>
      </c>
      <c r="BC36" s="28">
        <v>0.0</v>
      </c>
      <c r="BD36" s="28">
        <v>0.0</v>
      </c>
      <c r="BE36" s="28">
        <v>0.0</v>
      </c>
      <c r="BF36" s="28">
        <v>0.0</v>
      </c>
      <c r="BG36" s="28">
        <v>0.0</v>
      </c>
      <c r="BH36" s="28">
        <v>0.0</v>
      </c>
      <c r="BI36" s="28">
        <v>0.0</v>
      </c>
      <c r="BJ36" s="28">
        <v>0.0</v>
      </c>
      <c r="BK36" s="28">
        <v>0.0</v>
      </c>
      <c r="BL36" s="28">
        <v>0.0</v>
      </c>
    </row>
    <row r="37" ht="14.25" customHeight="1">
      <c r="A37" s="21" t="s">
        <v>152</v>
      </c>
      <c r="B37" s="22">
        <v>120.0</v>
      </c>
      <c r="C37" s="22" t="s">
        <v>100</v>
      </c>
      <c r="D37" s="24">
        <v>24.8</v>
      </c>
      <c r="E37" s="24">
        <v>25.9</v>
      </c>
      <c r="F37" s="24">
        <v>27.9</v>
      </c>
      <c r="G37" s="24">
        <v>21.4</v>
      </c>
      <c r="H37" s="23">
        <v>14.5</v>
      </c>
      <c r="I37" s="23">
        <v>5.0</v>
      </c>
      <c r="L37" s="24">
        <v>47.0</v>
      </c>
      <c r="M37" s="24">
        <v>19.2</v>
      </c>
      <c r="N37" s="25">
        <v>70.0</v>
      </c>
      <c r="O37" s="23">
        <v>3.9</v>
      </c>
      <c r="P37" s="23">
        <v>4.1</v>
      </c>
      <c r="T37" s="23">
        <v>2.0</v>
      </c>
      <c r="W37" s="23">
        <v>7.8</v>
      </c>
      <c r="Y37" s="23">
        <v>3.0</v>
      </c>
      <c r="AA37" s="24">
        <v>23.1</v>
      </c>
      <c r="AB37" s="24">
        <v>29.3</v>
      </c>
      <c r="AC37" s="23">
        <v>0.0</v>
      </c>
      <c r="AD37" s="23">
        <v>0.0</v>
      </c>
      <c r="AG37" s="23">
        <v>5.6</v>
      </c>
      <c r="AK37" s="24">
        <v>19.0</v>
      </c>
      <c r="AL37" s="23">
        <v>8.4</v>
      </c>
      <c r="AM37" s="23">
        <v>4.1</v>
      </c>
      <c r="AN37" s="23">
        <v>5.7</v>
      </c>
      <c r="AO37" s="23">
        <v>3.7</v>
      </c>
      <c r="AP37" s="23">
        <v>5.6</v>
      </c>
      <c r="AQ37" s="23">
        <v>3.5</v>
      </c>
      <c r="AR37" s="23">
        <v>5.6</v>
      </c>
      <c r="AS37" s="23">
        <v>3.5</v>
      </c>
      <c r="AT37" s="23">
        <v>2.9</v>
      </c>
      <c r="BA37" s="23">
        <v>5.0</v>
      </c>
      <c r="BB37" s="23">
        <v>1.7</v>
      </c>
      <c r="BC37" s="23">
        <v>9.0</v>
      </c>
      <c r="BD37" s="23">
        <v>2.9</v>
      </c>
      <c r="BF37" s="23">
        <v>9.0</v>
      </c>
      <c r="BG37" s="24">
        <v>33.0</v>
      </c>
      <c r="BH37" s="23">
        <v>2.7</v>
      </c>
      <c r="BI37" s="23">
        <v>9.0</v>
      </c>
      <c r="BJ37" s="23">
        <v>4.0</v>
      </c>
      <c r="BL37" s="23">
        <v>9.1</v>
      </c>
    </row>
    <row r="38" ht="14.25" customHeight="1">
      <c r="A38" s="21" t="s">
        <v>153</v>
      </c>
      <c r="B38" s="22" t="s">
        <v>154</v>
      </c>
      <c r="C38" s="22" t="s">
        <v>100</v>
      </c>
      <c r="D38" s="23">
        <v>0.104</v>
      </c>
      <c r="E38" s="23">
        <v>0.153</v>
      </c>
      <c r="F38" s="23">
        <v>0.547</v>
      </c>
      <c r="G38" s="23">
        <v>0.128</v>
      </c>
      <c r="H38" s="24">
        <v>1.758</v>
      </c>
      <c r="I38" s="23">
        <v>0.595</v>
      </c>
      <c r="J38" s="23">
        <v>0.147</v>
      </c>
      <c r="K38" s="23">
        <v>0.128</v>
      </c>
      <c r="L38" s="23">
        <v>0.793</v>
      </c>
      <c r="M38" s="23">
        <v>0.179</v>
      </c>
      <c r="N38" s="24">
        <v>1.59</v>
      </c>
      <c r="O38" s="24">
        <v>1.55</v>
      </c>
      <c r="P38" s="24">
        <v>1.995</v>
      </c>
      <c r="Q38" s="23">
        <v>0.068</v>
      </c>
      <c r="R38" s="23">
        <v>0.133</v>
      </c>
      <c r="S38" s="23">
        <v>0.132</v>
      </c>
      <c r="T38" s="23">
        <v>0.051</v>
      </c>
      <c r="U38" s="23">
        <v>0.037</v>
      </c>
      <c r="V38" s="23">
        <v>0.453</v>
      </c>
      <c r="W38" s="23">
        <v>0.14</v>
      </c>
      <c r="X38" s="23">
        <v>0.088</v>
      </c>
      <c r="Y38" s="23">
        <v>0.373</v>
      </c>
      <c r="Z38" s="23">
        <v>0.278</v>
      </c>
      <c r="AA38" s="23">
        <v>0.215</v>
      </c>
      <c r="AB38" s="23">
        <v>0.337</v>
      </c>
      <c r="AC38" s="23">
        <v>0.113</v>
      </c>
      <c r="AD38" s="23">
        <v>0.323</v>
      </c>
      <c r="AE38" s="24">
        <v>1.492</v>
      </c>
      <c r="AF38" s="23">
        <v>0.2</v>
      </c>
      <c r="AG38" s="23">
        <v>0.899</v>
      </c>
      <c r="AH38" s="23">
        <v>0.242</v>
      </c>
      <c r="AI38" s="23">
        <v>0.748</v>
      </c>
      <c r="AJ38" s="23">
        <v>0.24</v>
      </c>
      <c r="AK38" s="23">
        <v>0.78</v>
      </c>
      <c r="AL38" s="23">
        <v>0.22</v>
      </c>
      <c r="AM38" s="23">
        <v>0.138</v>
      </c>
      <c r="AN38" s="23">
        <v>0.997</v>
      </c>
      <c r="AO38" s="23">
        <v>0.299</v>
      </c>
      <c r="AP38" s="23">
        <v>0.785</v>
      </c>
      <c r="AQ38" s="23">
        <v>0.21</v>
      </c>
      <c r="AR38" s="23">
        <v>0.732</v>
      </c>
      <c r="AS38" s="23">
        <v>0.229</v>
      </c>
      <c r="AT38" s="23">
        <v>0.185</v>
      </c>
      <c r="AU38" s="23">
        <v>0.734</v>
      </c>
      <c r="AV38" s="23">
        <v>0.229</v>
      </c>
      <c r="AW38" s="24">
        <v>1.471</v>
      </c>
      <c r="AX38" s="23">
        <v>0.43</v>
      </c>
      <c r="AY38" s="23">
        <v>0.789</v>
      </c>
      <c r="AZ38" s="23">
        <v>0.222</v>
      </c>
      <c r="BA38" s="25">
        <v>2.14</v>
      </c>
      <c r="BB38" s="23">
        <v>0.638</v>
      </c>
      <c r="BC38" s="23">
        <v>0.976</v>
      </c>
      <c r="BD38" s="23">
        <v>0.157</v>
      </c>
      <c r="BE38" s="23">
        <v>0.119</v>
      </c>
      <c r="BF38" s="24">
        <v>1.91</v>
      </c>
      <c r="BG38" s="23">
        <v>0.38</v>
      </c>
      <c r="BH38" s="23">
        <v>0.41</v>
      </c>
      <c r="BI38" s="24">
        <v>1.588</v>
      </c>
      <c r="BJ38" s="23">
        <v>0.286</v>
      </c>
      <c r="BL38" s="23">
        <v>0.606</v>
      </c>
    </row>
    <row r="39" ht="14.25" customHeight="1">
      <c r="A39" s="21" t="s">
        <v>155</v>
      </c>
      <c r="B39" s="22" t="s">
        <v>156</v>
      </c>
      <c r="C39" s="22">
        <v>3500.0</v>
      </c>
      <c r="D39" s="23">
        <v>28.4</v>
      </c>
      <c r="E39" s="23">
        <v>29.7</v>
      </c>
      <c r="F39" s="23">
        <v>27.0</v>
      </c>
      <c r="H39" s="23">
        <v>95.5</v>
      </c>
      <c r="I39" s="23">
        <v>32.8</v>
      </c>
      <c r="L39" s="24">
        <v>115.9</v>
      </c>
      <c r="M39" s="23">
        <v>47.5</v>
      </c>
      <c r="N39" s="25">
        <v>190.6</v>
      </c>
      <c r="O39" s="25">
        <v>191.7</v>
      </c>
      <c r="P39" s="23">
        <v>11.3</v>
      </c>
      <c r="T39" s="23">
        <v>27.4</v>
      </c>
      <c r="W39" s="3">
        <v>106.3</v>
      </c>
      <c r="Y39" s="23">
        <v>23.6</v>
      </c>
      <c r="AA39" s="23">
        <v>57.0</v>
      </c>
      <c r="AB39" s="23">
        <v>72.2</v>
      </c>
      <c r="AC39" s="23">
        <v>45.0</v>
      </c>
      <c r="AD39" s="23">
        <v>69.7</v>
      </c>
      <c r="AG39" s="23">
        <v>66.4</v>
      </c>
      <c r="AL39" s="23">
        <v>30.5</v>
      </c>
      <c r="AM39" s="23">
        <v>34.9</v>
      </c>
      <c r="AN39" s="23">
        <v>67.2</v>
      </c>
      <c r="AO39" s="23">
        <v>36.9</v>
      </c>
      <c r="AP39" s="23">
        <v>66.2</v>
      </c>
      <c r="AQ39" s="23">
        <v>35.3</v>
      </c>
      <c r="AR39" s="23">
        <v>66.2</v>
      </c>
      <c r="AS39" s="23">
        <v>35.1</v>
      </c>
      <c r="BA39" s="24">
        <v>96.4</v>
      </c>
      <c r="BB39" s="23">
        <v>32.7</v>
      </c>
      <c r="BC39" s="24">
        <v>95.8</v>
      </c>
      <c r="BD39" s="23">
        <v>30.6</v>
      </c>
      <c r="BF39" s="24">
        <v>97.9</v>
      </c>
      <c r="BG39" s="23">
        <v>14.4</v>
      </c>
      <c r="BH39" s="23">
        <v>29.4</v>
      </c>
      <c r="BI39" s="24">
        <v>95.2</v>
      </c>
      <c r="BJ39" s="23">
        <v>42.8</v>
      </c>
    </row>
    <row r="40" ht="14.25" customHeight="1">
      <c r="A40" s="21" t="s">
        <v>157</v>
      </c>
      <c r="B40" s="22"/>
      <c r="C40" s="22"/>
      <c r="D40" s="23">
        <v>0.2</v>
      </c>
      <c r="E40" s="23">
        <v>0.2</v>
      </c>
      <c r="L40" s="23">
        <v>2.1</v>
      </c>
      <c r="O40" s="23">
        <v>2.8</v>
      </c>
      <c r="T40" s="23">
        <v>0.4</v>
      </c>
      <c r="Y40" s="23">
        <v>0.8</v>
      </c>
      <c r="AL40" s="23">
        <v>0.1</v>
      </c>
      <c r="AM40" s="23">
        <v>0.1</v>
      </c>
      <c r="AP40" s="23">
        <v>0.4</v>
      </c>
      <c r="AQ40" s="23">
        <v>0.1</v>
      </c>
    </row>
    <row r="41" ht="14.25" customHeight="1">
      <c r="A41" s="19" t="s">
        <v>158</v>
      </c>
      <c r="B41" s="27"/>
      <c r="C41" s="27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46"/>
      <c r="AW41" s="46"/>
      <c r="AX41" s="46"/>
      <c r="AY41" s="46"/>
      <c r="AZ41" s="46"/>
      <c r="BA41" s="46"/>
      <c r="BB41" s="46"/>
      <c r="BC41" s="46"/>
      <c r="BD41" s="46"/>
      <c r="BE41" s="46"/>
      <c r="BF41" s="46"/>
      <c r="BG41" s="46"/>
      <c r="BH41" s="46"/>
      <c r="BI41" s="46"/>
      <c r="BJ41" s="46"/>
      <c r="BK41" s="46"/>
      <c r="BL41" s="46"/>
    </row>
    <row r="42" ht="14.25" customHeight="1">
      <c r="A42" s="21" t="s">
        <v>159</v>
      </c>
      <c r="B42" s="22" t="s">
        <v>160</v>
      </c>
      <c r="C42" s="22" t="s">
        <v>161</v>
      </c>
      <c r="D42" s="23">
        <v>0.071</v>
      </c>
      <c r="E42" s="23">
        <v>0.039</v>
      </c>
      <c r="F42" s="23">
        <v>0.066</v>
      </c>
      <c r="G42" s="23">
        <v>0.062</v>
      </c>
      <c r="H42" s="23">
        <v>0.161</v>
      </c>
      <c r="I42" s="23">
        <v>0.054</v>
      </c>
      <c r="J42" s="23">
        <v>0.786</v>
      </c>
      <c r="K42" s="23">
        <v>0.74</v>
      </c>
      <c r="L42" s="23">
        <v>2.884</v>
      </c>
      <c r="M42" s="23">
        <v>1.297</v>
      </c>
      <c r="N42" s="23">
        <v>2.987</v>
      </c>
      <c r="O42" s="23">
        <v>1.29</v>
      </c>
      <c r="P42" s="23">
        <v>0.136</v>
      </c>
      <c r="Q42" s="23">
        <v>0.691</v>
      </c>
      <c r="R42" s="23">
        <v>1.261</v>
      </c>
      <c r="S42" s="23">
        <v>1.157</v>
      </c>
      <c r="T42" s="23">
        <v>0.533</v>
      </c>
      <c r="U42" s="23">
        <v>1.445</v>
      </c>
      <c r="V42" s="23">
        <v>0.542</v>
      </c>
      <c r="W42" s="23">
        <v>2.918</v>
      </c>
      <c r="X42" s="23">
        <v>0.193</v>
      </c>
      <c r="Y42" s="23">
        <v>0.205</v>
      </c>
      <c r="Z42" s="23">
        <v>2.22</v>
      </c>
      <c r="AA42" s="23">
        <v>1.591</v>
      </c>
      <c r="AB42" s="23">
        <v>1.139</v>
      </c>
      <c r="AC42" s="23">
        <v>4.622</v>
      </c>
      <c r="AD42" s="23">
        <v>2.926</v>
      </c>
      <c r="AE42" s="23">
        <v>0.424</v>
      </c>
      <c r="AF42" s="23">
        <v>0.871</v>
      </c>
      <c r="AG42" s="23">
        <v>0.366</v>
      </c>
      <c r="AH42" s="23">
        <v>0.139</v>
      </c>
      <c r="AI42" s="23">
        <v>0.316</v>
      </c>
      <c r="AJ42" s="23">
        <v>0.119</v>
      </c>
      <c r="AK42" s="23">
        <v>0.12</v>
      </c>
      <c r="AL42" s="23">
        <v>0.073</v>
      </c>
      <c r="AM42" s="23">
        <v>0.07</v>
      </c>
      <c r="AN42" s="23">
        <v>0.292</v>
      </c>
      <c r="AO42" s="23">
        <v>0.126</v>
      </c>
      <c r="AP42" s="23">
        <v>0.235</v>
      </c>
      <c r="AQ42" s="23">
        <v>0.136</v>
      </c>
      <c r="AR42" s="23">
        <v>0.219</v>
      </c>
      <c r="AS42" s="23">
        <v>0.091</v>
      </c>
      <c r="AT42" s="23">
        <v>0.076</v>
      </c>
      <c r="AU42" s="23">
        <v>0.671</v>
      </c>
      <c r="AV42" s="23">
        <v>0.279</v>
      </c>
      <c r="AW42" s="23">
        <v>0.191</v>
      </c>
      <c r="AX42" s="23">
        <v>0.036</v>
      </c>
      <c r="AY42" s="23">
        <v>0.221</v>
      </c>
      <c r="AZ42" s="23">
        <v>0.083</v>
      </c>
      <c r="BA42" s="23">
        <v>0.156</v>
      </c>
      <c r="BB42" s="23">
        <v>0.053</v>
      </c>
      <c r="BC42" s="23">
        <v>0.254</v>
      </c>
      <c r="BD42" s="23">
        <v>0.066</v>
      </c>
      <c r="BE42" s="23">
        <v>0.037</v>
      </c>
      <c r="BF42" s="23">
        <v>0.348</v>
      </c>
      <c r="BG42" s="23">
        <v>0.046</v>
      </c>
      <c r="BH42" s="23">
        <v>0.116</v>
      </c>
      <c r="BI42" s="23">
        <v>0.626</v>
      </c>
      <c r="BJ42" s="23">
        <v>0.269</v>
      </c>
      <c r="BK42" s="23">
        <v>0.214</v>
      </c>
      <c r="BL42" s="23">
        <v>0.693</v>
      </c>
    </row>
    <row r="43" ht="14.25" customHeight="1">
      <c r="A43" s="21" t="s">
        <v>162</v>
      </c>
      <c r="B43" s="22"/>
      <c r="C43" s="22"/>
      <c r="D43" s="23">
        <v>0.035</v>
      </c>
      <c r="E43" s="23">
        <v>0.019</v>
      </c>
      <c r="F43" s="23">
        <v>0.033</v>
      </c>
      <c r="G43" s="23">
        <v>0.031</v>
      </c>
      <c r="H43" s="23">
        <v>0.242</v>
      </c>
      <c r="I43" s="23">
        <v>0.081</v>
      </c>
      <c r="J43" s="23">
        <v>1.284</v>
      </c>
      <c r="K43" s="23">
        <v>1.209</v>
      </c>
      <c r="L43" s="23">
        <v>4.404</v>
      </c>
      <c r="M43" s="23">
        <v>1.981</v>
      </c>
      <c r="N43" s="23">
        <v>4.561</v>
      </c>
      <c r="O43" s="23">
        <v>1.46</v>
      </c>
      <c r="P43" s="23">
        <v>0.208</v>
      </c>
      <c r="Q43" s="23">
        <v>1.056</v>
      </c>
      <c r="R43" s="23">
        <v>1.925</v>
      </c>
      <c r="S43" s="23">
        <v>1.767</v>
      </c>
      <c r="T43" s="23">
        <v>0.814</v>
      </c>
      <c r="U43" s="23">
        <v>2.205</v>
      </c>
      <c r="V43" s="23">
        <v>4.338</v>
      </c>
      <c r="W43" s="23">
        <v>4.456</v>
      </c>
      <c r="X43" s="23">
        <v>0.295</v>
      </c>
      <c r="Y43" s="23">
        <v>0.401</v>
      </c>
      <c r="Z43" s="23">
        <v>3.0</v>
      </c>
      <c r="AA43" s="23">
        <v>2.43</v>
      </c>
      <c r="AB43" s="23">
        <v>1.242</v>
      </c>
      <c r="AC43" s="23">
        <v>7.095</v>
      </c>
      <c r="AD43" s="23">
        <v>4.498</v>
      </c>
      <c r="AE43" s="23">
        <v>0.648</v>
      </c>
      <c r="AF43" s="23">
        <v>0.671</v>
      </c>
      <c r="AG43" s="23">
        <v>0.123</v>
      </c>
      <c r="AH43" s="23">
        <v>0.047</v>
      </c>
      <c r="AI43" s="23">
        <v>0.106</v>
      </c>
      <c r="AJ43" s="23">
        <v>0.04</v>
      </c>
      <c r="AK43" s="23">
        <v>0.064</v>
      </c>
      <c r="AL43" s="23">
        <v>0.039</v>
      </c>
      <c r="AM43" s="23">
        <v>0.37</v>
      </c>
      <c r="AN43" s="23">
        <v>0.098</v>
      </c>
      <c r="AO43" s="23">
        <v>0.042</v>
      </c>
      <c r="AP43" s="23">
        <v>0.229</v>
      </c>
      <c r="AQ43" s="23">
        <v>0.133</v>
      </c>
      <c r="AR43" s="23">
        <v>0.074</v>
      </c>
      <c r="AS43" s="23">
        <v>0.031</v>
      </c>
      <c r="AT43" s="23">
        <v>0.026</v>
      </c>
      <c r="AU43" s="23">
        <v>0.226</v>
      </c>
      <c r="AV43" s="23">
        <v>0.094</v>
      </c>
      <c r="AW43" s="23">
        <v>0.05</v>
      </c>
      <c r="AX43" s="23">
        <v>0.009</v>
      </c>
      <c r="AY43" s="23">
        <v>0.138</v>
      </c>
      <c r="AZ43" s="23">
        <v>0.052</v>
      </c>
      <c r="BA43" s="23">
        <v>0.189</v>
      </c>
      <c r="BB43" s="23">
        <v>0.064</v>
      </c>
      <c r="BC43" s="23">
        <v>0.303</v>
      </c>
      <c r="BD43" s="23">
        <v>0.079</v>
      </c>
      <c r="BE43" s="23">
        <v>0.044</v>
      </c>
      <c r="BF43" s="23">
        <v>0.161</v>
      </c>
      <c r="BG43" s="23">
        <v>0.022</v>
      </c>
      <c r="BH43" s="23">
        <v>0.054</v>
      </c>
      <c r="BI43" s="23">
        <v>1.358</v>
      </c>
      <c r="BJ43" s="23">
        <v>0.583</v>
      </c>
      <c r="BK43" s="23">
        <v>0.488</v>
      </c>
      <c r="BL43" s="23">
        <v>1.504</v>
      </c>
    </row>
    <row r="44" ht="14.25" customHeight="1">
      <c r="A44" s="21" t="s">
        <v>163</v>
      </c>
      <c r="B44" s="22"/>
      <c r="C44" s="22"/>
      <c r="D44" s="23">
        <v>0.187</v>
      </c>
      <c r="E44" s="23">
        <v>0.102</v>
      </c>
      <c r="F44" s="23">
        <v>0.175</v>
      </c>
      <c r="G44" s="23">
        <v>0.163</v>
      </c>
      <c r="H44" s="23">
        <v>0.495</v>
      </c>
      <c r="I44" s="23">
        <v>0.165</v>
      </c>
      <c r="J44" s="23">
        <v>3.2</v>
      </c>
      <c r="K44" s="23">
        <v>3.011</v>
      </c>
      <c r="L44" s="23">
        <v>11.255</v>
      </c>
      <c r="M44" s="23">
        <v>5.064</v>
      </c>
      <c r="N44" s="23">
        <v>11.657</v>
      </c>
      <c r="O44" s="23">
        <v>4.215</v>
      </c>
      <c r="P44" s="23">
        <v>0.533</v>
      </c>
      <c r="Q44" s="23">
        <v>2.699</v>
      </c>
      <c r="R44" s="23">
        <v>4.921</v>
      </c>
      <c r="S44" s="23">
        <v>4.516</v>
      </c>
      <c r="T44" s="23">
        <v>2.081</v>
      </c>
      <c r="U44" s="23">
        <v>5.638</v>
      </c>
      <c r="V44" s="23">
        <v>0.542</v>
      </c>
      <c r="W44" s="23">
        <v>11.39</v>
      </c>
      <c r="X44" s="23">
        <v>0.755</v>
      </c>
      <c r="Y44" s="23">
        <v>0.961</v>
      </c>
      <c r="Z44" s="23">
        <v>3.827</v>
      </c>
      <c r="AA44" s="23">
        <v>6.21</v>
      </c>
      <c r="AB44" s="23">
        <v>3.204</v>
      </c>
      <c r="AC44" s="23">
        <v>15.441</v>
      </c>
      <c r="AD44" s="23">
        <v>9.279</v>
      </c>
      <c r="AE44" s="23">
        <v>1.657</v>
      </c>
      <c r="AF44" s="23">
        <v>1.729</v>
      </c>
      <c r="AG44" s="23">
        <v>0.61</v>
      </c>
      <c r="AH44" s="23">
        <v>0.231</v>
      </c>
      <c r="AI44" s="23">
        <v>0.527</v>
      </c>
      <c r="AJ44" s="23">
        <v>0.199</v>
      </c>
      <c r="AK44" s="23">
        <v>0.457</v>
      </c>
      <c r="AL44" s="23">
        <v>0.278</v>
      </c>
      <c r="AM44" s="23">
        <v>0.188</v>
      </c>
      <c r="AN44" s="23">
        <v>0.487</v>
      </c>
      <c r="AO44" s="23">
        <v>0.21</v>
      </c>
      <c r="AP44" s="23">
        <v>0.407</v>
      </c>
      <c r="AQ44" s="23">
        <v>0.235</v>
      </c>
      <c r="AR44" s="23">
        <v>0.364</v>
      </c>
      <c r="AS44" s="23">
        <v>0.152</v>
      </c>
      <c r="AT44" s="23">
        <v>0.126</v>
      </c>
      <c r="AU44" s="23">
        <v>1.118</v>
      </c>
      <c r="AV44" s="23">
        <v>0.466</v>
      </c>
      <c r="AW44" s="23">
        <v>0.113</v>
      </c>
      <c r="AX44" s="23">
        <v>0.021</v>
      </c>
      <c r="AY44" s="23">
        <v>1.207</v>
      </c>
      <c r="AZ44" s="23">
        <v>0.453</v>
      </c>
      <c r="BA44" s="23">
        <v>0.516</v>
      </c>
      <c r="BB44" s="23">
        <v>0.175</v>
      </c>
      <c r="BC44" s="23">
        <v>0.627</v>
      </c>
      <c r="BD44" s="23">
        <v>0.164</v>
      </c>
      <c r="BE44" s="23">
        <v>0.09</v>
      </c>
      <c r="BF44" s="23">
        <v>0.384</v>
      </c>
      <c r="BG44" s="23">
        <v>0.058</v>
      </c>
      <c r="BH44" s="23">
        <v>0.128</v>
      </c>
      <c r="BI44" s="23">
        <v>2.694</v>
      </c>
      <c r="BJ44" s="23">
        <v>1.156</v>
      </c>
      <c r="BK44" s="23">
        <v>0.967</v>
      </c>
      <c r="BL44" s="23">
        <v>2.983</v>
      </c>
    </row>
    <row r="45" ht="14.25" customHeight="1">
      <c r="A45" s="21" t="s">
        <v>164</v>
      </c>
      <c r="B45" s="22" t="s">
        <v>160</v>
      </c>
      <c r="C45" s="22" t="s">
        <v>165</v>
      </c>
      <c r="D45" s="23">
        <v>0.0</v>
      </c>
      <c r="E45" s="23">
        <v>0.0</v>
      </c>
      <c r="F45" s="23">
        <v>0.0</v>
      </c>
      <c r="G45" s="23">
        <v>0.0</v>
      </c>
      <c r="H45" s="23">
        <v>0.0</v>
      </c>
      <c r="I45" s="23">
        <v>0.0</v>
      </c>
      <c r="J45" s="23">
        <v>0.0</v>
      </c>
      <c r="K45" s="23">
        <v>0.0</v>
      </c>
      <c r="L45" s="23">
        <v>0.0</v>
      </c>
      <c r="M45" s="23">
        <v>0.0</v>
      </c>
      <c r="N45" s="23">
        <v>0.0</v>
      </c>
      <c r="O45" s="23">
        <v>0.0</v>
      </c>
      <c r="P45" s="23">
        <v>0.0</v>
      </c>
      <c r="Q45" s="23">
        <v>0.0</v>
      </c>
      <c r="R45" s="23">
        <v>0.0</v>
      </c>
      <c r="S45" s="23">
        <v>0.0</v>
      </c>
      <c r="T45" s="23">
        <v>0.0</v>
      </c>
      <c r="U45" s="23">
        <v>0.0</v>
      </c>
      <c r="V45" s="23">
        <v>0.0</v>
      </c>
      <c r="W45" s="23">
        <v>0.0</v>
      </c>
      <c r="X45" s="23">
        <v>0.0</v>
      </c>
      <c r="Y45" s="23">
        <v>0.0</v>
      </c>
      <c r="Z45" s="23">
        <v>0.0</v>
      </c>
      <c r="AA45" s="23">
        <v>0.0</v>
      </c>
      <c r="AB45" s="23">
        <v>0.0</v>
      </c>
      <c r="AC45" s="23">
        <v>0.0</v>
      </c>
      <c r="AD45" s="23">
        <v>0.0</v>
      </c>
      <c r="AE45" s="23">
        <v>0.0</v>
      </c>
      <c r="AF45" s="23">
        <v>0.0</v>
      </c>
      <c r="AG45" s="23">
        <v>0.0</v>
      </c>
      <c r="AH45" s="23">
        <v>0.0</v>
      </c>
      <c r="AI45" s="23">
        <v>0.0</v>
      </c>
      <c r="AJ45" s="23">
        <v>0.0</v>
      </c>
      <c r="AK45" s="23">
        <v>0.0</v>
      </c>
      <c r="AL45" s="23">
        <v>0.0</v>
      </c>
      <c r="AM45" s="23">
        <v>0.0</v>
      </c>
      <c r="AN45" s="23">
        <v>0.0</v>
      </c>
      <c r="AO45" s="23">
        <v>0.0</v>
      </c>
      <c r="AP45" s="23">
        <v>0.0</v>
      </c>
      <c r="AQ45" s="23">
        <v>0.0</v>
      </c>
      <c r="AR45" s="23">
        <v>0.0</v>
      </c>
      <c r="AS45" s="23">
        <v>0.0</v>
      </c>
      <c r="AT45" s="23">
        <v>0.0</v>
      </c>
      <c r="AU45" s="23">
        <v>0.0</v>
      </c>
      <c r="AV45" s="23">
        <v>0.0</v>
      </c>
      <c r="AW45" s="23">
        <v>0.0</v>
      </c>
      <c r="AX45" s="23">
        <v>0.0</v>
      </c>
      <c r="AY45" s="23">
        <v>0.0</v>
      </c>
      <c r="AZ45" s="23">
        <v>0.0</v>
      </c>
      <c r="BA45" s="23">
        <v>0.0</v>
      </c>
      <c r="BB45" s="23">
        <v>0.0</v>
      </c>
      <c r="BC45" s="23">
        <v>0.0</v>
      </c>
      <c r="BD45" s="23">
        <v>0.0</v>
      </c>
      <c r="BE45" s="23">
        <v>0.0</v>
      </c>
      <c r="BF45" s="23">
        <v>0.0</v>
      </c>
      <c r="BG45" s="23">
        <v>0.0</v>
      </c>
      <c r="BH45" s="23">
        <v>0.0</v>
      </c>
      <c r="BI45" s="23">
        <v>0.0</v>
      </c>
      <c r="BJ45" s="23">
        <v>0.0</v>
      </c>
      <c r="BK45" s="23">
        <v>0.0</v>
      </c>
      <c r="BL45" s="23">
        <v>0.0</v>
      </c>
    </row>
    <row r="46" ht="14.25" customHeight="1">
      <c r="A46" s="19" t="s">
        <v>166</v>
      </c>
      <c r="B46" s="30" t="s">
        <v>167</v>
      </c>
      <c r="C46" s="27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46"/>
      <c r="AW46" s="46"/>
      <c r="AX46" s="46"/>
      <c r="AY46" s="46"/>
      <c r="AZ46" s="46"/>
      <c r="BA46" s="46"/>
      <c r="BB46" s="46"/>
      <c r="BC46" s="46"/>
      <c r="BD46" s="46"/>
      <c r="BE46" s="46"/>
      <c r="BF46" s="46"/>
      <c r="BG46" s="46"/>
      <c r="BH46" s="46"/>
      <c r="BI46" s="46"/>
      <c r="BJ46" s="46"/>
      <c r="BK46" s="46"/>
      <c r="BL46" s="46"/>
    </row>
    <row r="47" ht="14.25" customHeight="1">
      <c r="A47" s="31" t="s">
        <v>168</v>
      </c>
      <c r="B47" s="32" t="s">
        <v>169</v>
      </c>
      <c r="C47" s="32"/>
      <c r="D47" s="31">
        <v>0.037</v>
      </c>
      <c r="E47" s="31">
        <v>0.037</v>
      </c>
      <c r="F47" s="31">
        <v>0.036</v>
      </c>
      <c r="G47" s="31">
        <v>0.03</v>
      </c>
      <c r="H47" s="24">
        <v>0.275</v>
      </c>
      <c r="I47" s="31">
        <v>0.093</v>
      </c>
      <c r="J47" s="31">
        <v>0.157</v>
      </c>
      <c r="K47" s="31">
        <v>0.15</v>
      </c>
      <c r="L47" s="26">
        <v>0.591</v>
      </c>
      <c r="M47" s="24">
        <v>0.242</v>
      </c>
      <c r="N47" s="26">
        <v>0.502</v>
      </c>
      <c r="O47" s="31"/>
      <c r="P47" s="26">
        <v>0.683</v>
      </c>
      <c r="Q47" s="31">
        <v>0.126</v>
      </c>
      <c r="R47" s="24">
        <v>0.246</v>
      </c>
      <c r="S47" s="31">
        <v>0.127</v>
      </c>
      <c r="T47" s="31">
        <v>0.102</v>
      </c>
      <c r="U47" s="31">
        <v>0.198</v>
      </c>
      <c r="V47" s="31">
        <v>0.154</v>
      </c>
      <c r="W47" s="24">
        <v>0.268</v>
      </c>
      <c r="X47" s="31">
        <v>0.05</v>
      </c>
      <c r="Y47" s="31">
        <v>0.038</v>
      </c>
      <c r="Z47" s="31">
        <v>0.194</v>
      </c>
      <c r="AA47" s="24">
        <v>0.223</v>
      </c>
      <c r="AB47" s="31">
        <v>0.155</v>
      </c>
      <c r="AC47" s="31">
        <v>0.161</v>
      </c>
      <c r="AD47" s="24">
        <v>0.279</v>
      </c>
      <c r="AE47" s="26">
        <v>0.574</v>
      </c>
      <c r="AF47" s="26">
        <v>1.1</v>
      </c>
      <c r="AG47" s="24">
        <v>0.256</v>
      </c>
      <c r="AH47" s="31">
        <v>0.105</v>
      </c>
      <c r="AI47" s="24">
        <v>0.273</v>
      </c>
      <c r="AJ47" s="31">
        <v>0.111</v>
      </c>
      <c r="AK47" s="24">
        <v>0.279</v>
      </c>
      <c r="AL47" s="31">
        <v>0.104</v>
      </c>
      <c r="AM47" s="31">
        <v>0.063</v>
      </c>
      <c r="AN47" s="24">
        <v>0.248</v>
      </c>
      <c r="AO47" s="31">
        <v>0.107</v>
      </c>
      <c r="AP47" s="24">
        <v>0.237</v>
      </c>
      <c r="AQ47" s="23">
        <v>0.108</v>
      </c>
      <c r="AR47" s="24">
        <v>0.277</v>
      </c>
      <c r="AS47" s="31">
        <v>0.115</v>
      </c>
      <c r="AT47" s="31">
        <v>0.086</v>
      </c>
      <c r="AU47" s="31">
        <v>0.26</v>
      </c>
      <c r="AV47" s="31">
        <v>0.108</v>
      </c>
      <c r="AW47" s="31">
        <v>0.191</v>
      </c>
      <c r="AX47" s="31">
        <v>0.072</v>
      </c>
      <c r="AY47" s="24">
        <v>0.223</v>
      </c>
      <c r="AZ47" s="31">
        <v>0.083</v>
      </c>
      <c r="BA47" s="24">
        <v>0.232</v>
      </c>
      <c r="BB47" s="31">
        <v>0.081</v>
      </c>
      <c r="BC47" s="24">
        <v>0.247</v>
      </c>
      <c r="BD47" s="31">
        <v>0.072</v>
      </c>
      <c r="BE47" s="31">
        <v>0.052</v>
      </c>
      <c r="BF47" s="24">
        <v>0.26</v>
      </c>
      <c r="BG47" s="31">
        <v>0.037</v>
      </c>
      <c r="BH47" s="31">
        <v>0.076</v>
      </c>
      <c r="BI47" s="31">
        <v>0.185</v>
      </c>
      <c r="BJ47" s="31">
        <v>0.085</v>
      </c>
      <c r="BK47" s="31">
        <v>0.069</v>
      </c>
      <c r="BL47" s="31"/>
    </row>
    <row r="48" ht="14.25" customHeight="1">
      <c r="A48" s="31" t="s">
        <v>170</v>
      </c>
      <c r="B48" s="32" t="s">
        <v>171</v>
      </c>
      <c r="C48" s="32"/>
      <c r="D48" s="31">
        <v>0.203</v>
      </c>
      <c r="E48" s="31">
        <v>0.201</v>
      </c>
      <c r="F48" s="31">
        <v>0.195</v>
      </c>
      <c r="G48" s="31">
        <v>0.165</v>
      </c>
      <c r="H48" s="25">
        <v>0.872</v>
      </c>
      <c r="I48" s="31">
        <v>0.296</v>
      </c>
      <c r="J48" s="31">
        <v>0.516</v>
      </c>
      <c r="K48" s="31">
        <v>0.492</v>
      </c>
      <c r="L48" s="26">
        <v>1.766</v>
      </c>
      <c r="M48" s="24">
        <v>0.723</v>
      </c>
      <c r="N48" s="26">
        <v>1.5</v>
      </c>
      <c r="O48" s="31"/>
      <c r="P48" s="26">
        <v>2.042</v>
      </c>
      <c r="Q48" s="31">
        <v>0.33</v>
      </c>
      <c r="R48" s="24">
        <v>0.644</v>
      </c>
      <c r="S48" s="31">
        <v>0.332</v>
      </c>
      <c r="T48" s="31">
        <v>0.268</v>
      </c>
      <c r="U48" s="31">
        <v>0.517</v>
      </c>
      <c r="V48" s="31">
        <v>0.404</v>
      </c>
      <c r="W48" s="24">
        <v>0.701</v>
      </c>
      <c r="X48" s="31">
        <v>0.131</v>
      </c>
      <c r="Y48" s="31">
        <v>0.108</v>
      </c>
      <c r="Z48" s="25">
        <v>0.796</v>
      </c>
      <c r="AA48" s="25">
        <v>0.813</v>
      </c>
      <c r="AB48" s="31">
        <v>0.479</v>
      </c>
      <c r="AC48" s="31">
        <v>0.453</v>
      </c>
      <c r="AD48" s="24">
        <v>0.785</v>
      </c>
      <c r="AE48" s="26">
        <v>1.615</v>
      </c>
      <c r="AF48" s="26">
        <v>3.3</v>
      </c>
      <c r="AG48" s="25">
        <v>0.909</v>
      </c>
      <c r="AH48" s="31">
        <v>0.373</v>
      </c>
      <c r="AI48" s="25">
        <v>0.969</v>
      </c>
      <c r="AJ48" s="31">
        <v>0.393</v>
      </c>
      <c r="AK48" s="25">
        <v>0.992</v>
      </c>
      <c r="AL48" s="31">
        <v>0.319</v>
      </c>
      <c r="AM48" s="31">
        <v>0.193</v>
      </c>
      <c r="AN48" s="25">
        <v>0.882</v>
      </c>
      <c r="AO48" s="31">
        <v>0.381</v>
      </c>
      <c r="AP48" s="31">
        <v>0.81</v>
      </c>
      <c r="AQ48" s="31">
        <v>0.331</v>
      </c>
      <c r="AR48" s="25">
        <v>0.983</v>
      </c>
      <c r="AS48" s="31">
        <v>0.409</v>
      </c>
      <c r="AT48" s="31">
        <v>0.305</v>
      </c>
      <c r="AU48" s="25">
        <v>0.926</v>
      </c>
      <c r="AV48" s="31">
        <v>0.386</v>
      </c>
      <c r="AW48" s="24">
        <v>0.674</v>
      </c>
      <c r="AX48" s="31">
        <v>0.255</v>
      </c>
      <c r="AY48" s="24">
        <v>0.792</v>
      </c>
      <c r="AZ48" s="31">
        <v>0.297</v>
      </c>
      <c r="BA48" s="25">
        <v>0.924</v>
      </c>
      <c r="BB48" s="31">
        <v>0.323</v>
      </c>
      <c r="BC48" s="25">
        <v>0.928</v>
      </c>
      <c r="BD48" s="31">
        <v>0.27</v>
      </c>
      <c r="BE48" s="31">
        <v>0.194</v>
      </c>
      <c r="BF48" s="24">
        <v>0.782</v>
      </c>
      <c r="BG48" s="31">
        <v>0.078</v>
      </c>
      <c r="BH48" s="31">
        <v>0.23</v>
      </c>
      <c r="BI48" s="24">
        <v>0.716</v>
      </c>
      <c r="BJ48" s="31">
        <v>0.329</v>
      </c>
      <c r="BK48" s="31">
        <v>0.264</v>
      </c>
      <c r="BL48" s="31"/>
    </row>
    <row r="49" ht="14.25" customHeight="1">
      <c r="A49" s="31" t="s">
        <v>172</v>
      </c>
      <c r="B49" s="32" t="s">
        <v>173</v>
      </c>
      <c r="C49" s="32"/>
      <c r="D49" s="31">
        <v>0.195</v>
      </c>
      <c r="E49" s="31">
        <v>0.193</v>
      </c>
      <c r="F49" s="31">
        <v>0.187</v>
      </c>
      <c r="G49" s="31">
        <v>0.159</v>
      </c>
      <c r="H49" s="25">
        <v>1.014</v>
      </c>
      <c r="I49" s="31">
        <v>0.344</v>
      </c>
      <c r="J49" s="31">
        <v>0.57</v>
      </c>
      <c r="K49" s="31">
        <v>0.543</v>
      </c>
      <c r="L49" s="26">
        <v>1.971</v>
      </c>
      <c r="M49" s="24">
        <v>0.807</v>
      </c>
      <c r="N49" s="26">
        <v>1.675</v>
      </c>
      <c r="O49" s="31"/>
      <c r="P49" s="26">
        <v>2.281</v>
      </c>
      <c r="Q49" s="31">
        <v>0.4</v>
      </c>
      <c r="R49" s="24">
        <v>0.782</v>
      </c>
      <c r="S49" s="31">
        <v>0.404</v>
      </c>
      <c r="T49" s="31">
        <v>0.324</v>
      </c>
      <c r="U49" s="31">
        <v>0.628</v>
      </c>
      <c r="V49" s="31">
        <v>0.49</v>
      </c>
      <c r="W49" s="24">
        <v>0.852</v>
      </c>
      <c r="X49" s="31">
        <v>0.159</v>
      </c>
      <c r="Y49" s="31">
        <v>0.114</v>
      </c>
      <c r="Z49" s="31">
        <v>0.88</v>
      </c>
      <c r="AA49" s="25">
        <v>0.931</v>
      </c>
      <c r="AB49" s="31">
        <v>0.508</v>
      </c>
      <c r="AC49" s="31">
        <v>0.559</v>
      </c>
      <c r="AD49" s="25">
        <v>0.97</v>
      </c>
      <c r="AE49" s="26">
        <v>1.995</v>
      </c>
      <c r="AF49" s="26">
        <v>4.3</v>
      </c>
      <c r="AG49" s="25">
        <v>0.954</v>
      </c>
      <c r="AH49" s="31">
        <v>0.391</v>
      </c>
      <c r="AI49" s="25">
        <v>1.017</v>
      </c>
      <c r="AJ49" s="31">
        <v>0.412</v>
      </c>
      <c r="AK49" s="25">
        <v>1.041</v>
      </c>
      <c r="AL49" s="31">
        <v>0.41</v>
      </c>
      <c r="AM49" s="31">
        <v>0.248</v>
      </c>
      <c r="AN49" s="25">
        <v>0.925</v>
      </c>
      <c r="AO49" s="31">
        <v>0.4</v>
      </c>
      <c r="AP49" s="24">
        <v>0.871</v>
      </c>
      <c r="AQ49" s="31">
        <v>0.426</v>
      </c>
      <c r="AR49" s="25">
        <v>1.031</v>
      </c>
      <c r="AS49" s="31">
        <v>0.429</v>
      </c>
      <c r="AT49" s="31">
        <v>0.32</v>
      </c>
      <c r="AU49" s="25">
        <v>0.972</v>
      </c>
      <c r="AV49" s="31">
        <v>0.405</v>
      </c>
      <c r="AW49" s="24">
        <v>0.791</v>
      </c>
      <c r="AX49" s="31">
        <v>0.3</v>
      </c>
      <c r="AY49" s="24">
        <v>0.831</v>
      </c>
      <c r="AZ49" s="31">
        <v>0.311</v>
      </c>
      <c r="BA49" s="25">
        <v>1.116</v>
      </c>
      <c r="BB49" s="31">
        <v>0.39</v>
      </c>
      <c r="BC49" s="25">
        <v>1.053</v>
      </c>
      <c r="BD49" s="31">
        <v>0.306</v>
      </c>
      <c r="BE49" s="31">
        <v>0.221</v>
      </c>
      <c r="BF49" s="25">
        <v>1.008</v>
      </c>
      <c r="BG49" s="31">
        <v>0.132</v>
      </c>
      <c r="BH49" s="31">
        <v>0.297</v>
      </c>
      <c r="BI49" s="24">
        <v>0.828</v>
      </c>
      <c r="BJ49" s="31">
        <v>0.38</v>
      </c>
      <c r="BK49" s="31">
        <v>0.304</v>
      </c>
      <c r="BL49" s="31"/>
    </row>
    <row r="50" ht="14.25" customHeight="1">
      <c r="A50" s="31" t="s">
        <v>174</v>
      </c>
      <c r="B50" s="32" t="s">
        <v>175</v>
      </c>
      <c r="C50" s="32"/>
      <c r="D50" s="31">
        <v>0.323</v>
      </c>
      <c r="E50" s="31">
        <v>0.32</v>
      </c>
      <c r="F50" s="31">
        <v>0.311</v>
      </c>
      <c r="G50" s="31">
        <v>0.264</v>
      </c>
      <c r="H50" s="25">
        <v>1.76</v>
      </c>
      <c r="I50" s="31">
        <v>0.598</v>
      </c>
      <c r="J50" s="31">
        <v>0.926</v>
      </c>
      <c r="K50" s="31">
        <v>0.883</v>
      </c>
      <c r="L50" s="26">
        <v>3.309</v>
      </c>
      <c r="M50" s="24">
        <v>1.355</v>
      </c>
      <c r="N50" s="26">
        <v>2.812</v>
      </c>
      <c r="O50" s="31"/>
      <c r="P50" s="26">
        <v>3.828</v>
      </c>
      <c r="Q50" s="31">
        <v>0.614</v>
      </c>
      <c r="R50" s="24">
        <v>1.199</v>
      </c>
      <c r="S50" s="31">
        <v>0.619</v>
      </c>
      <c r="T50" s="31">
        <v>0.498</v>
      </c>
      <c r="U50" s="31">
        <v>0.963</v>
      </c>
      <c r="V50" s="31">
        <v>0.751</v>
      </c>
      <c r="W50" s="24">
        <v>1.306</v>
      </c>
      <c r="X50" s="31">
        <v>0.244</v>
      </c>
      <c r="Y50" s="31">
        <v>0.186</v>
      </c>
      <c r="Z50" s="24">
        <v>1.43</v>
      </c>
      <c r="AA50" s="25">
        <v>1.509</v>
      </c>
      <c r="AB50" s="31">
        <v>0.82</v>
      </c>
      <c r="AC50" s="31">
        <v>0.914</v>
      </c>
      <c r="AD50" s="25">
        <v>1.587</v>
      </c>
      <c r="AE50" s="26">
        <v>3.263</v>
      </c>
      <c r="AF50" s="26">
        <v>7.2</v>
      </c>
      <c r="AG50" s="25">
        <v>1.725</v>
      </c>
      <c r="AH50" s="31">
        <v>0.708</v>
      </c>
      <c r="AI50" s="25">
        <v>1.838</v>
      </c>
      <c r="AJ50" s="31">
        <v>0.746</v>
      </c>
      <c r="AK50" s="25">
        <v>1.882</v>
      </c>
      <c r="AL50" s="31">
        <v>0.736</v>
      </c>
      <c r="AM50" s="31">
        <v>0.445</v>
      </c>
      <c r="AN50" s="25">
        <v>1.673</v>
      </c>
      <c r="AO50" s="31">
        <v>0.723</v>
      </c>
      <c r="AP50" s="25">
        <v>1.558</v>
      </c>
      <c r="AQ50" s="31">
        <v>0.765</v>
      </c>
      <c r="AR50" s="25">
        <v>1.865</v>
      </c>
      <c r="AS50" s="31">
        <v>0.776</v>
      </c>
      <c r="AT50" s="31">
        <v>0.579</v>
      </c>
      <c r="AU50" s="25">
        <v>1.756</v>
      </c>
      <c r="AV50" s="31">
        <v>0.732</v>
      </c>
      <c r="AW50" s="25">
        <v>1.668</v>
      </c>
      <c r="AX50" s="31">
        <v>0.632</v>
      </c>
      <c r="AY50" s="25">
        <v>1.502</v>
      </c>
      <c r="AZ50" s="31">
        <v>0.563</v>
      </c>
      <c r="BA50" s="25">
        <v>1.871</v>
      </c>
      <c r="BB50" s="31">
        <v>0.654</v>
      </c>
      <c r="BC50" s="25">
        <v>1.964</v>
      </c>
      <c r="BD50" s="31">
        <v>0.572</v>
      </c>
      <c r="BE50" s="31">
        <v>0.411</v>
      </c>
      <c r="BF50" s="25">
        <v>1.847</v>
      </c>
      <c r="BG50" s="31">
        <v>0.175</v>
      </c>
      <c r="BH50" s="31">
        <v>0.544</v>
      </c>
      <c r="BI50" s="24">
        <v>1.374</v>
      </c>
      <c r="BJ50" s="31">
        <v>0.631</v>
      </c>
      <c r="BK50" s="31">
        <v>0.505</v>
      </c>
      <c r="BL50" s="31"/>
    </row>
    <row r="51" ht="14.25" customHeight="1">
      <c r="A51" s="31" t="s">
        <v>176</v>
      </c>
      <c r="B51" s="32" t="s">
        <v>177</v>
      </c>
      <c r="C51" s="32"/>
      <c r="D51" s="31">
        <v>0.317</v>
      </c>
      <c r="E51" s="31">
        <v>0.314</v>
      </c>
      <c r="F51" s="31">
        <v>0.305</v>
      </c>
      <c r="G51" s="31">
        <v>0.259</v>
      </c>
      <c r="H51" s="25">
        <v>1.772</v>
      </c>
      <c r="I51" s="31">
        <v>0.602</v>
      </c>
      <c r="J51" s="31">
        <v>0.775</v>
      </c>
      <c r="K51" s="31">
        <v>0.739</v>
      </c>
      <c r="L51" s="26">
        <v>2.706</v>
      </c>
      <c r="M51" s="24">
        <v>1.108</v>
      </c>
      <c r="N51" s="26">
        <v>2.298</v>
      </c>
      <c r="O51" s="31"/>
      <c r="P51" s="26">
        <v>3.129</v>
      </c>
      <c r="Q51" s="31">
        <v>0.532</v>
      </c>
      <c r="R51" s="24">
        <v>1.039</v>
      </c>
      <c r="S51" s="31">
        <v>0.537</v>
      </c>
      <c r="T51" s="31">
        <v>0.431</v>
      </c>
      <c r="U51" s="31">
        <v>0.835</v>
      </c>
      <c r="V51" s="31">
        <v>0.651</v>
      </c>
      <c r="W51" s="24">
        <v>1.131</v>
      </c>
      <c r="X51" s="31">
        <v>0.212</v>
      </c>
      <c r="Y51" s="31">
        <v>0.131</v>
      </c>
      <c r="Z51" s="31">
        <v>0.908</v>
      </c>
      <c r="AA51" s="24">
        <v>1.145</v>
      </c>
      <c r="AB51" s="31">
        <v>0.478</v>
      </c>
      <c r="AC51" s="31">
        <v>0.727</v>
      </c>
      <c r="AD51" s="24">
        <v>1.262</v>
      </c>
      <c r="AE51" s="26">
        <v>2.596</v>
      </c>
      <c r="AF51" s="26">
        <v>5.5</v>
      </c>
      <c r="AG51" s="24">
        <v>1.483</v>
      </c>
      <c r="AH51" s="31">
        <v>0.608</v>
      </c>
      <c r="AI51" s="25">
        <v>1.58</v>
      </c>
      <c r="AJ51" s="31">
        <v>0.641</v>
      </c>
      <c r="AK51" s="25">
        <v>1.618</v>
      </c>
      <c r="AL51" s="31">
        <v>0.607</v>
      </c>
      <c r="AM51" s="31">
        <v>0.367</v>
      </c>
      <c r="AN51" s="24">
        <v>1.438</v>
      </c>
      <c r="AO51" s="31">
        <v>0.622</v>
      </c>
      <c r="AP51" s="24">
        <v>1.356</v>
      </c>
      <c r="AQ51" s="31">
        <v>0.63</v>
      </c>
      <c r="AR51" s="25">
        <v>1.603</v>
      </c>
      <c r="AS51" s="31">
        <v>0.668</v>
      </c>
      <c r="AT51" s="31">
        <v>0.498</v>
      </c>
      <c r="AU51" s="25">
        <v>1.51</v>
      </c>
      <c r="AV51" s="31">
        <v>0.629</v>
      </c>
      <c r="AW51" s="25">
        <v>1.497</v>
      </c>
      <c r="AX51" s="31">
        <v>0.567</v>
      </c>
      <c r="AY51" s="24">
        <v>1.291</v>
      </c>
      <c r="AZ51" s="31">
        <v>0.484</v>
      </c>
      <c r="BA51" s="25">
        <v>1.802</v>
      </c>
      <c r="BB51" s="31">
        <v>0.63</v>
      </c>
      <c r="BC51" s="25">
        <v>1.671</v>
      </c>
      <c r="BD51" s="31">
        <v>0.486</v>
      </c>
      <c r="BE51" s="31">
        <v>0.35</v>
      </c>
      <c r="BF51" s="25">
        <v>1.664</v>
      </c>
      <c r="BG51" s="31">
        <v>0.166</v>
      </c>
      <c r="BH51" s="31">
        <v>0.49</v>
      </c>
      <c r="BI51" s="24">
        <v>1.291</v>
      </c>
      <c r="BJ51" s="31">
        <v>0.593</v>
      </c>
      <c r="BK51" s="31">
        <v>0.475</v>
      </c>
      <c r="BL51" s="31"/>
    </row>
    <row r="52" ht="14.25" customHeight="1">
      <c r="A52" s="31" t="s">
        <v>178</v>
      </c>
      <c r="B52" s="32" t="s">
        <v>179</v>
      </c>
      <c r="C52" s="32"/>
      <c r="D52" s="31">
        <v>0.082</v>
      </c>
      <c r="E52" s="31">
        <v>0.081</v>
      </c>
      <c r="F52" s="31">
        <v>0.079</v>
      </c>
      <c r="G52" s="31">
        <v>0.067</v>
      </c>
      <c r="H52" s="31">
        <v>0.251</v>
      </c>
      <c r="I52" s="31">
        <v>0.085</v>
      </c>
      <c r="J52" s="31">
        <v>0.157</v>
      </c>
      <c r="K52" s="31">
        <v>0.15</v>
      </c>
      <c r="L52" s="25">
        <v>0.547</v>
      </c>
      <c r="M52" s="31">
        <v>0.224</v>
      </c>
      <c r="N52" s="25">
        <v>0.466</v>
      </c>
      <c r="O52" s="31"/>
      <c r="P52" s="26">
        <v>0.634</v>
      </c>
      <c r="Q52" s="31">
        <v>0.103</v>
      </c>
      <c r="R52" s="31">
        <v>0.202</v>
      </c>
      <c r="S52" s="31">
        <v>0.104</v>
      </c>
      <c r="T52" s="31">
        <v>0.084</v>
      </c>
      <c r="U52" s="31">
        <v>0.162</v>
      </c>
      <c r="V52" s="31">
        <v>0.126</v>
      </c>
      <c r="W52" s="31">
        <v>0.22</v>
      </c>
      <c r="X52" s="31">
        <v>0.041</v>
      </c>
      <c r="Y52" s="31">
        <v>0.027</v>
      </c>
      <c r="Z52" s="31">
        <v>0.175</v>
      </c>
      <c r="AA52" s="31">
        <v>0.208</v>
      </c>
      <c r="AB52" s="31">
        <v>0.129</v>
      </c>
      <c r="AC52" s="31">
        <v>0.146</v>
      </c>
      <c r="AD52" s="31">
        <v>0.253</v>
      </c>
      <c r="AE52" s="25">
        <v>0.52</v>
      </c>
      <c r="AF52" s="26">
        <v>1.15</v>
      </c>
      <c r="AG52" s="31">
        <v>0.325</v>
      </c>
      <c r="AH52" s="31">
        <v>0.133</v>
      </c>
      <c r="AI52" s="24">
        <v>0.346</v>
      </c>
      <c r="AJ52" s="31">
        <v>0.14</v>
      </c>
      <c r="AK52" s="24">
        <v>0.355</v>
      </c>
      <c r="AL52" s="31">
        <v>0.113</v>
      </c>
      <c r="AM52" s="31">
        <v>0.068</v>
      </c>
      <c r="AN52" s="24">
        <v>0.315</v>
      </c>
      <c r="AO52" s="31">
        <v>0.136</v>
      </c>
      <c r="AP52" s="31">
        <v>0.259</v>
      </c>
      <c r="AQ52" s="31">
        <v>0.117</v>
      </c>
      <c r="AR52" s="24">
        <v>0.351</v>
      </c>
      <c r="AS52" s="31">
        <v>0.146</v>
      </c>
      <c r="AT52" s="31">
        <v>0.109</v>
      </c>
      <c r="AU52" s="24">
        <v>0.331</v>
      </c>
      <c r="AV52" s="31">
        <v>0.138</v>
      </c>
      <c r="AW52" s="31">
        <v>0.21</v>
      </c>
      <c r="AX52" s="31">
        <v>0.079</v>
      </c>
      <c r="AY52" s="31">
        <v>0.283</v>
      </c>
      <c r="AZ52" s="31">
        <v>0.106</v>
      </c>
      <c r="BA52" s="31">
        <v>0.22</v>
      </c>
      <c r="BB52" s="31">
        <v>0.077</v>
      </c>
      <c r="BC52" s="31">
        <v>0.213</v>
      </c>
      <c r="BD52" s="31">
        <v>0.062</v>
      </c>
      <c r="BE52" s="31">
        <v>0.045</v>
      </c>
      <c r="BF52" s="31">
        <v>0.286</v>
      </c>
      <c r="BG52" s="31">
        <v>0.034</v>
      </c>
      <c r="BH52" s="31">
        <v>0.084</v>
      </c>
      <c r="BI52" s="31">
        <v>0.253</v>
      </c>
      <c r="BJ52" s="31">
        <v>0.116</v>
      </c>
      <c r="BK52" s="31">
        <v>0.093</v>
      </c>
      <c r="BL52" s="31"/>
    </row>
    <row r="53" ht="14.25" customHeight="1">
      <c r="A53" s="21" t="s">
        <v>180</v>
      </c>
      <c r="B53" s="22" t="s">
        <v>181</v>
      </c>
      <c r="C53" s="22"/>
      <c r="D53" s="23">
        <v>0.032</v>
      </c>
      <c r="E53" s="23">
        <v>0.032</v>
      </c>
      <c r="F53" s="23">
        <v>0.031</v>
      </c>
      <c r="G53" s="23">
        <v>0.026</v>
      </c>
      <c r="H53" s="23">
        <v>0.373</v>
      </c>
      <c r="I53" s="23">
        <v>0.127</v>
      </c>
      <c r="J53" s="23">
        <v>0.118</v>
      </c>
      <c r="K53" s="23">
        <v>0.113</v>
      </c>
      <c r="L53" s="23">
        <v>0.655</v>
      </c>
      <c r="M53" s="23">
        <v>0.268</v>
      </c>
      <c r="N53" s="23">
        <v>0.556</v>
      </c>
      <c r="P53" s="23">
        <v>0.757</v>
      </c>
      <c r="Q53" s="23">
        <v>0.112</v>
      </c>
      <c r="R53" s="23">
        <v>0.218</v>
      </c>
      <c r="S53" s="23">
        <v>0.113</v>
      </c>
      <c r="T53" s="23">
        <v>0.091</v>
      </c>
      <c r="U53" s="23">
        <v>0.175</v>
      </c>
      <c r="V53" s="23">
        <v>0.137</v>
      </c>
      <c r="W53" s="23">
        <v>0.238</v>
      </c>
      <c r="X53" s="23">
        <v>0.044</v>
      </c>
      <c r="Y53" s="23">
        <v>0.0</v>
      </c>
      <c r="Z53" s="23">
        <v>0.193</v>
      </c>
      <c r="AA53" s="23">
        <v>0.22</v>
      </c>
      <c r="AB53" s="23">
        <v>0.0</v>
      </c>
      <c r="AC53" s="23">
        <v>0.176</v>
      </c>
      <c r="AD53" s="23">
        <v>0.305</v>
      </c>
      <c r="AE53" s="23">
        <v>0.627</v>
      </c>
      <c r="AF53" s="23">
        <v>1.15</v>
      </c>
      <c r="AG53" s="23">
        <v>0.235</v>
      </c>
      <c r="AH53" s="23">
        <v>0.096</v>
      </c>
      <c r="AI53" s="23">
        <v>0.251</v>
      </c>
      <c r="AJ53" s="23">
        <v>0.102</v>
      </c>
      <c r="AK53" s="23">
        <v>0.256</v>
      </c>
      <c r="AL53" s="23">
        <v>0.081</v>
      </c>
      <c r="AM53" s="23">
        <v>0.049</v>
      </c>
      <c r="AN53" s="23">
        <v>0.228</v>
      </c>
      <c r="AO53" s="23">
        <v>0.099</v>
      </c>
      <c r="AP53" s="23">
        <v>0.187</v>
      </c>
      <c r="AQ53" s="23">
        <v>0.084</v>
      </c>
      <c r="AR53" s="23">
        <v>0.254</v>
      </c>
      <c r="AS53" s="23">
        <v>0.106</v>
      </c>
      <c r="AT53" s="23">
        <v>0.079</v>
      </c>
      <c r="AU53" s="23">
        <v>0.239</v>
      </c>
      <c r="AV53" s="23">
        <v>0.1</v>
      </c>
      <c r="AW53" s="23">
        <v>0.184</v>
      </c>
      <c r="AX53" s="23">
        <v>0.07</v>
      </c>
      <c r="AY53" s="23">
        <v>0.205</v>
      </c>
      <c r="AZ53" s="23">
        <v>0.077</v>
      </c>
      <c r="BA53" s="23">
        <v>0.338</v>
      </c>
      <c r="BB53" s="23">
        <v>0.118</v>
      </c>
      <c r="BC53" s="23">
        <v>0.334</v>
      </c>
      <c r="BD53" s="23">
        <v>0.097</v>
      </c>
      <c r="BE53" s="23">
        <v>0.07</v>
      </c>
      <c r="BF53" s="23">
        <v>0.21</v>
      </c>
      <c r="BG53" s="23">
        <v>0.017</v>
      </c>
      <c r="BH53" s="23">
        <v>0.062</v>
      </c>
      <c r="BI53" s="23">
        <v>0.259</v>
      </c>
      <c r="BJ53" s="23">
        <v>0.119</v>
      </c>
      <c r="BK53" s="23">
        <v>0.096</v>
      </c>
    </row>
    <row r="54" ht="14.25" customHeight="1">
      <c r="A54" s="31" t="s">
        <v>182</v>
      </c>
      <c r="B54" s="33" t="s">
        <v>183</v>
      </c>
      <c r="C54" s="32"/>
      <c r="D54" s="31">
        <v>0.2</v>
      </c>
      <c r="E54" s="31">
        <v>0.198</v>
      </c>
      <c r="F54" s="31">
        <v>0.192</v>
      </c>
      <c r="G54" s="31">
        <v>0.163</v>
      </c>
      <c r="H54" s="24">
        <v>1.132</v>
      </c>
      <c r="I54" s="31">
        <v>0.384</v>
      </c>
      <c r="J54" s="31">
        <v>0.586</v>
      </c>
      <c r="K54" s="31">
        <v>0.559</v>
      </c>
      <c r="L54" s="26">
        <v>2.122</v>
      </c>
      <c r="M54" s="31">
        <v>0.869</v>
      </c>
      <c r="N54" s="26">
        <v>1.802</v>
      </c>
      <c r="O54" s="31"/>
      <c r="P54" s="26">
        <v>2.453</v>
      </c>
      <c r="Q54" s="31">
        <v>0.393</v>
      </c>
      <c r="R54" s="31">
        <v>0.768</v>
      </c>
      <c r="S54" s="31">
        <v>0.397</v>
      </c>
      <c r="T54" s="31">
        <v>0.319</v>
      </c>
      <c r="U54" s="31">
        <v>0.617</v>
      </c>
      <c r="V54" s="31">
        <v>0.481</v>
      </c>
      <c r="W54" s="31">
        <v>0.837</v>
      </c>
      <c r="X54" s="31">
        <v>0.157</v>
      </c>
      <c r="Y54" s="31">
        <v>0.113</v>
      </c>
      <c r="Z54" s="31">
        <v>0.893</v>
      </c>
      <c r="AA54" s="24">
        <v>0.941</v>
      </c>
      <c r="AB54" s="31">
        <v>0.486</v>
      </c>
      <c r="AC54" s="31">
        <v>0.611</v>
      </c>
      <c r="AD54" s="24">
        <v>1.061</v>
      </c>
      <c r="AE54" s="26">
        <v>2.182</v>
      </c>
      <c r="AF54" s="26">
        <v>4.6</v>
      </c>
      <c r="AG54" s="24">
        <v>1.168</v>
      </c>
      <c r="AH54" s="31">
        <v>0.479</v>
      </c>
      <c r="AI54" s="25">
        <v>1.245</v>
      </c>
      <c r="AJ54" s="31">
        <v>0.505</v>
      </c>
      <c r="AK54" s="25">
        <v>1.275</v>
      </c>
      <c r="AL54" s="31">
        <v>0.511</v>
      </c>
      <c r="AM54" s="31">
        <v>0.309</v>
      </c>
      <c r="AN54" s="24">
        <v>1.133</v>
      </c>
      <c r="AO54" s="31">
        <v>0.49</v>
      </c>
      <c r="AP54" s="24">
        <v>1.095</v>
      </c>
      <c r="AQ54" s="31">
        <v>0.531</v>
      </c>
      <c r="AR54" s="25">
        <v>1.263</v>
      </c>
      <c r="AS54" s="31">
        <v>0.526</v>
      </c>
      <c r="AT54" s="31">
        <v>0.392</v>
      </c>
      <c r="AU54" s="24">
        <v>1.19</v>
      </c>
      <c r="AV54" s="31">
        <v>0.496</v>
      </c>
      <c r="AW54" s="24">
        <v>1.052</v>
      </c>
      <c r="AX54" s="31">
        <v>0.398</v>
      </c>
      <c r="AY54" s="24">
        <v>1.017</v>
      </c>
      <c r="AZ54" s="31">
        <v>0.381</v>
      </c>
      <c r="BA54" s="25">
        <v>1.273</v>
      </c>
      <c r="BB54" s="31">
        <v>0.445</v>
      </c>
      <c r="BC54" s="24">
        <v>1.103</v>
      </c>
      <c r="BD54" s="31">
        <v>0.321</v>
      </c>
      <c r="BE54" s="31">
        <v>0.231</v>
      </c>
      <c r="BF54" s="25">
        <v>1.443</v>
      </c>
      <c r="BG54" s="31">
        <v>0.117</v>
      </c>
      <c r="BH54" s="31">
        <v>0.425</v>
      </c>
      <c r="BI54" s="24">
        <v>1.034</v>
      </c>
      <c r="BJ54" s="31">
        <v>0.475</v>
      </c>
      <c r="BK54" s="31">
        <v>0.38</v>
      </c>
      <c r="BL54" s="31"/>
    </row>
    <row r="55" ht="14.25" customHeight="1">
      <c r="A55" s="21" t="s">
        <v>184</v>
      </c>
      <c r="C55" s="22"/>
      <c r="D55" s="23">
        <v>0.114</v>
      </c>
      <c r="E55" s="23">
        <v>0.112</v>
      </c>
      <c r="F55" s="23">
        <v>0.109</v>
      </c>
      <c r="G55" s="23">
        <v>0.093</v>
      </c>
      <c r="H55" s="23">
        <v>0.711</v>
      </c>
      <c r="I55" s="23">
        <v>0.242</v>
      </c>
      <c r="J55" s="23">
        <v>0.464</v>
      </c>
      <c r="K55" s="23">
        <v>0.443</v>
      </c>
      <c r="L55" s="23">
        <v>1.539</v>
      </c>
      <c r="M55" s="23">
        <v>0.63</v>
      </c>
      <c r="N55" s="23">
        <v>1.306</v>
      </c>
      <c r="P55" s="23">
        <v>1.778</v>
      </c>
      <c r="Q55" s="23">
        <v>0.27</v>
      </c>
      <c r="R55" s="23">
        <v>0.528</v>
      </c>
      <c r="S55" s="23">
        <v>0.273</v>
      </c>
      <c r="T55" s="23">
        <v>0.219</v>
      </c>
      <c r="U55" s="23">
        <v>0.424</v>
      </c>
      <c r="V55" s="23">
        <v>0.331</v>
      </c>
      <c r="W55" s="23">
        <v>0.575</v>
      </c>
      <c r="X55" s="23">
        <v>0.108</v>
      </c>
      <c r="Y55" s="23">
        <v>0.089</v>
      </c>
      <c r="Z55" s="23">
        <v>0.664</v>
      </c>
      <c r="AA55" s="23">
        <v>0.556</v>
      </c>
      <c r="AB55" s="23">
        <v>0.352</v>
      </c>
      <c r="AC55" s="23">
        <v>0.4</v>
      </c>
      <c r="AD55" s="23">
        <v>0.694</v>
      </c>
      <c r="AE55" s="23">
        <v>1.428</v>
      </c>
      <c r="AF55" s="23">
        <v>3.3</v>
      </c>
      <c r="AG55" s="23">
        <v>0.608</v>
      </c>
      <c r="AH55" s="23">
        <v>0.25</v>
      </c>
      <c r="AI55" s="23">
        <v>0.648</v>
      </c>
      <c r="AJ55" s="23">
        <v>0.263</v>
      </c>
      <c r="AK55" s="23">
        <v>0.664</v>
      </c>
      <c r="AL55" s="23">
        <v>0.205</v>
      </c>
      <c r="AM55" s="23">
        <v>0.124</v>
      </c>
      <c r="AN55" s="23">
        <v>0.59</v>
      </c>
      <c r="AO55" s="23">
        <v>0.255</v>
      </c>
      <c r="AP55" s="23">
        <v>0.427</v>
      </c>
      <c r="AQ55" s="23">
        <v>0.213</v>
      </c>
      <c r="AR55" s="23">
        <v>0.658</v>
      </c>
      <c r="AS55" s="23">
        <v>0.274</v>
      </c>
      <c r="AT55" s="23">
        <v>0.204</v>
      </c>
      <c r="AU55" s="23">
        <v>0.62</v>
      </c>
      <c r="AV55" s="23">
        <v>0.258</v>
      </c>
      <c r="AW55" s="23">
        <v>0.591</v>
      </c>
      <c r="AX55" s="23">
        <v>0.224</v>
      </c>
      <c r="AY55" s="23">
        <v>0.53</v>
      </c>
      <c r="AZ55" s="23">
        <v>0.199</v>
      </c>
      <c r="BA55" s="23">
        <v>0.689</v>
      </c>
      <c r="BB55" s="23">
        <v>0.241</v>
      </c>
      <c r="BC55" s="23">
        <v>0.827</v>
      </c>
      <c r="BD55" s="23">
        <v>0.241</v>
      </c>
      <c r="BE55" s="23">
        <v>0.173</v>
      </c>
      <c r="BF55" s="23">
        <v>0.714</v>
      </c>
      <c r="BG55" s="23">
        <v>0.052</v>
      </c>
      <c r="BH55" s="23">
        <v>0.21</v>
      </c>
      <c r="BI55" s="23">
        <v>0.479</v>
      </c>
      <c r="BJ55" s="23">
        <v>0.22</v>
      </c>
      <c r="BK55" s="23">
        <v>0.176</v>
      </c>
    </row>
    <row r="56" ht="14.25" customHeight="1">
      <c r="A56" s="31" t="s">
        <v>185</v>
      </c>
      <c r="B56" s="32" t="s">
        <v>186</v>
      </c>
      <c r="C56" s="32"/>
      <c r="D56" s="31">
        <v>0.235</v>
      </c>
      <c r="E56" s="31">
        <v>0.232</v>
      </c>
      <c r="F56" s="31">
        <v>0.226</v>
      </c>
      <c r="G56" s="31">
        <v>0.192</v>
      </c>
      <c r="H56" s="25">
        <v>1.159</v>
      </c>
      <c r="I56" s="31">
        <v>0.394</v>
      </c>
      <c r="J56" s="31">
        <v>0.576</v>
      </c>
      <c r="K56" s="31">
        <v>0.549</v>
      </c>
      <c r="L56" s="26">
        <v>2.029</v>
      </c>
      <c r="M56" s="24">
        <v>0.831</v>
      </c>
      <c r="N56" s="26">
        <v>1.724</v>
      </c>
      <c r="O56" s="31"/>
      <c r="P56" s="26">
        <v>2.346</v>
      </c>
      <c r="Q56" s="31">
        <v>0.408</v>
      </c>
      <c r="R56" s="24">
        <v>0.796</v>
      </c>
      <c r="S56" s="31">
        <v>0.411</v>
      </c>
      <c r="T56" s="31">
        <v>0.331</v>
      </c>
      <c r="U56" s="31">
        <v>0.64</v>
      </c>
      <c r="V56" s="31">
        <v>0.499</v>
      </c>
      <c r="W56" s="24">
        <v>0.867</v>
      </c>
      <c r="X56" s="31">
        <v>0.162</v>
      </c>
      <c r="Y56" s="31">
        <v>0.117</v>
      </c>
      <c r="Z56" s="24">
        <v>0.92</v>
      </c>
      <c r="AA56" s="25">
        <v>1.018</v>
      </c>
      <c r="AB56" s="31">
        <v>0.547</v>
      </c>
      <c r="AC56" s="31">
        <v>0.593</v>
      </c>
      <c r="AD56" s="25">
        <v>1.029</v>
      </c>
      <c r="AE56" s="26">
        <v>2.115</v>
      </c>
      <c r="AF56" s="26">
        <v>4.5</v>
      </c>
      <c r="AG56" s="25">
        <v>1.13</v>
      </c>
      <c r="AH56" s="31">
        <v>0.464</v>
      </c>
      <c r="AI56" s="25">
        <v>1.205</v>
      </c>
      <c r="AJ56" s="31">
        <v>0.489</v>
      </c>
      <c r="AK56" s="25">
        <v>1.233</v>
      </c>
      <c r="AL56" s="31">
        <v>0.5</v>
      </c>
      <c r="AM56" s="31">
        <v>0.302</v>
      </c>
      <c r="AN56" s="25">
        <v>1.096</v>
      </c>
      <c r="AO56" s="31">
        <v>0.474</v>
      </c>
      <c r="AP56" s="25">
        <v>0.998</v>
      </c>
      <c r="AQ56" s="31">
        <v>0.519</v>
      </c>
      <c r="AR56" s="25">
        <v>1.222</v>
      </c>
      <c r="AS56" s="31">
        <v>0.509</v>
      </c>
      <c r="AT56" s="31">
        <v>0.38</v>
      </c>
      <c r="AU56" s="25">
        <v>1.151</v>
      </c>
      <c r="AV56" s="31">
        <v>0.479</v>
      </c>
      <c r="AW56" s="25">
        <v>1.023</v>
      </c>
      <c r="AX56" s="31">
        <v>0.387</v>
      </c>
      <c r="AY56" s="25">
        <v>0.984</v>
      </c>
      <c r="AZ56" s="31">
        <v>0.369</v>
      </c>
      <c r="BA56" s="25">
        <v>1.281</v>
      </c>
      <c r="BB56" s="31">
        <v>0.448</v>
      </c>
      <c r="BC56" s="25">
        <v>1.161</v>
      </c>
      <c r="BD56" s="31">
        <v>0.338</v>
      </c>
      <c r="BE56" s="31">
        <v>0.243</v>
      </c>
      <c r="BF56" s="25">
        <v>1.237</v>
      </c>
      <c r="BG56" s="31">
        <v>0.13</v>
      </c>
      <c r="BH56" s="31">
        <v>0.364</v>
      </c>
      <c r="BI56" s="24">
        <v>0.809</v>
      </c>
      <c r="BJ56" s="31">
        <v>0.372</v>
      </c>
      <c r="BK56" s="31">
        <v>0.298</v>
      </c>
      <c r="BL56" s="31"/>
    </row>
    <row r="57" ht="14.25" customHeight="1">
      <c r="A57" s="34" t="s">
        <v>187</v>
      </c>
      <c r="B57" s="35"/>
      <c r="C57" s="35"/>
      <c r="D57" s="34">
        <v>0.428</v>
      </c>
      <c r="E57" s="34">
        <v>0.423</v>
      </c>
      <c r="F57" s="34">
        <v>0.412</v>
      </c>
      <c r="G57" s="34">
        <v>0.349</v>
      </c>
      <c r="H57" s="34">
        <v>2.188</v>
      </c>
      <c r="I57" s="34">
        <v>0.744</v>
      </c>
      <c r="J57" s="34">
        <v>1.042</v>
      </c>
      <c r="K57" s="34">
        <v>0.994</v>
      </c>
      <c r="L57" s="34">
        <v>3.153</v>
      </c>
      <c r="M57" s="34">
        <v>1.291</v>
      </c>
      <c r="N57" s="34">
        <v>2.679</v>
      </c>
      <c r="O57" s="34"/>
      <c r="P57" s="34">
        <v>3.647</v>
      </c>
      <c r="Q57" s="34">
        <v>0.538</v>
      </c>
      <c r="R57" s="34">
        <v>1.05</v>
      </c>
      <c r="S57" s="34">
        <v>0.542</v>
      </c>
      <c r="T57" s="34">
        <v>0.436</v>
      </c>
      <c r="U57" s="34">
        <v>0.844</v>
      </c>
      <c r="V57" s="34">
        <v>0.657</v>
      </c>
      <c r="W57" s="34">
        <v>1.143</v>
      </c>
      <c r="X57" s="34">
        <v>0.214</v>
      </c>
      <c r="Y57" s="48">
        <v>0.187</v>
      </c>
      <c r="Z57" s="34">
        <v>1.252</v>
      </c>
      <c r="AA57" s="34">
        <v>0.909</v>
      </c>
      <c r="AB57" s="34">
        <v>0.784</v>
      </c>
      <c r="AC57" s="34">
        <v>0.875</v>
      </c>
      <c r="AD57" s="34">
        <v>1.519</v>
      </c>
      <c r="AE57" s="34">
        <v>3.123</v>
      </c>
      <c r="AF57" s="34">
        <v>6.7</v>
      </c>
      <c r="AG57" s="34">
        <v>1.337</v>
      </c>
      <c r="AH57" s="34">
        <v>0.549</v>
      </c>
      <c r="AI57" s="34">
        <v>1.426</v>
      </c>
      <c r="AJ57" s="34">
        <v>0.578</v>
      </c>
      <c r="AK57" s="34">
        <v>1.46</v>
      </c>
      <c r="AL57" s="34">
        <v>0.475</v>
      </c>
      <c r="AM57" s="34">
        <v>0.287</v>
      </c>
      <c r="AN57" s="34">
        <v>1.298</v>
      </c>
      <c r="AO57" s="34">
        <v>0.561</v>
      </c>
      <c r="AP57" s="34">
        <v>1.096</v>
      </c>
      <c r="AQ57" s="34">
        <v>0.494</v>
      </c>
      <c r="AR57" s="34">
        <v>1.446</v>
      </c>
      <c r="AS57" s="34">
        <v>0.602</v>
      </c>
      <c r="AT57" s="34">
        <v>0.449</v>
      </c>
      <c r="AU57" s="34">
        <v>1.362</v>
      </c>
      <c r="AV57" s="34">
        <v>0.567</v>
      </c>
      <c r="AW57" s="34">
        <v>1.284</v>
      </c>
      <c r="AX57" s="34">
        <v>0.486</v>
      </c>
      <c r="AY57" s="34">
        <v>1.165</v>
      </c>
      <c r="AZ57" s="34">
        <v>0.437</v>
      </c>
      <c r="BA57" s="34">
        <v>1.994</v>
      </c>
      <c r="BB57" s="34">
        <v>0.697</v>
      </c>
      <c r="BC57" s="34">
        <v>2.411</v>
      </c>
      <c r="BD57" s="34">
        <v>0.702</v>
      </c>
      <c r="BE57" s="34">
        <v>0.505</v>
      </c>
      <c r="BF57" s="34">
        <v>1.672</v>
      </c>
      <c r="BG57" s="34">
        <v>0.197</v>
      </c>
      <c r="BH57" s="34">
        <v>0.492</v>
      </c>
      <c r="BI57" s="34">
        <v>1.819</v>
      </c>
      <c r="BJ57" s="34">
        <v>0.835</v>
      </c>
      <c r="BK57" s="34">
        <v>0.668</v>
      </c>
      <c r="BL57" s="34"/>
    </row>
    <row r="58" ht="14.25" customHeight="1">
      <c r="A58" s="34" t="s">
        <v>188</v>
      </c>
      <c r="B58" s="35" t="s">
        <v>189</v>
      </c>
      <c r="C58" s="35"/>
      <c r="D58" s="34">
        <v>0.107</v>
      </c>
      <c r="E58" s="34">
        <v>0.105</v>
      </c>
      <c r="F58" s="34">
        <v>0.102</v>
      </c>
      <c r="G58" s="34">
        <v>0.087</v>
      </c>
      <c r="H58" s="34">
        <v>0.597</v>
      </c>
      <c r="I58" s="34">
        <v>0.203</v>
      </c>
      <c r="J58" s="34">
        <v>0.348</v>
      </c>
      <c r="K58" s="34">
        <v>0.332</v>
      </c>
      <c r="L58" s="34">
        <v>1.097</v>
      </c>
      <c r="M58" s="34">
        <v>0.449</v>
      </c>
      <c r="N58" s="34">
        <v>0.931</v>
      </c>
      <c r="O58" s="34"/>
      <c r="P58" s="34">
        <v>1.268</v>
      </c>
      <c r="Q58" s="34">
        <v>0.235</v>
      </c>
      <c r="R58" s="34">
        <v>0.459</v>
      </c>
      <c r="S58" s="34">
        <v>0.237</v>
      </c>
      <c r="T58" s="34">
        <v>0.191</v>
      </c>
      <c r="U58" s="34">
        <v>0.369</v>
      </c>
      <c r="V58" s="34">
        <v>0.288</v>
      </c>
      <c r="W58" s="34">
        <v>0.499</v>
      </c>
      <c r="X58" s="34">
        <v>0.093</v>
      </c>
      <c r="Y58" s="48">
        <v>0.061</v>
      </c>
      <c r="Z58" s="34">
        <v>0.466</v>
      </c>
      <c r="AA58" s="34">
        <v>0.512</v>
      </c>
      <c r="AB58" s="34">
        <v>0.243</v>
      </c>
      <c r="AC58" s="34">
        <v>0.299</v>
      </c>
      <c r="AD58" s="34">
        <v>0.519</v>
      </c>
      <c r="AE58" s="34">
        <v>1.068</v>
      </c>
      <c r="AF58" s="34">
        <v>2.3</v>
      </c>
      <c r="AG58" s="34">
        <v>0.601</v>
      </c>
      <c r="AH58" s="34">
        <v>0.247</v>
      </c>
      <c r="AI58" s="34">
        <v>0.641</v>
      </c>
      <c r="AJ58" s="34">
        <v>0.26</v>
      </c>
      <c r="AK58" s="34">
        <v>0.656</v>
      </c>
      <c r="AL58" s="34">
        <v>0.238</v>
      </c>
      <c r="AM58" s="34">
        <v>0.144</v>
      </c>
      <c r="AN58" s="34">
        <v>0.583</v>
      </c>
      <c r="AO58" s="34">
        <v>0.252</v>
      </c>
      <c r="AP58" s="34">
        <v>0.556</v>
      </c>
      <c r="AQ58" s="34">
        <v>0.247</v>
      </c>
      <c r="AR58" s="34">
        <v>0.65</v>
      </c>
      <c r="AS58" s="34">
        <v>0.271</v>
      </c>
      <c r="AT58" s="34">
        <v>0.202</v>
      </c>
      <c r="AU58" s="34">
        <v>0.612</v>
      </c>
      <c r="AV58" s="34">
        <v>0.255</v>
      </c>
      <c r="AW58" s="34">
        <v>0.524</v>
      </c>
      <c r="AX58" s="34">
        <v>0.198</v>
      </c>
      <c r="AY58" s="34">
        <v>0.524</v>
      </c>
      <c r="AZ58" s="34">
        <v>0.196</v>
      </c>
      <c r="BA58" s="34">
        <v>0.727</v>
      </c>
      <c r="BB58" s="34">
        <v>0.254</v>
      </c>
      <c r="BC58" s="34">
        <v>0.664</v>
      </c>
      <c r="BD58" s="34">
        <v>0.193</v>
      </c>
      <c r="BE58" s="34">
        <v>0.139</v>
      </c>
      <c r="BF58" s="34">
        <v>0.695</v>
      </c>
      <c r="BG58" s="34">
        <v>0.07</v>
      </c>
      <c r="BH58" s="34">
        <v>0.205</v>
      </c>
      <c r="BI58" s="34">
        <v>0.531</v>
      </c>
      <c r="BJ58" s="34">
        <v>0.244</v>
      </c>
      <c r="BK58" s="34">
        <v>0.195</v>
      </c>
      <c r="BL58" s="34"/>
    </row>
    <row r="59" ht="14.25" customHeight="1">
      <c r="A59" s="21" t="s">
        <v>190</v>
      </c>
      <c r="B59" s="22"/>
      <c r="C59" s="22"/>
      <c r="D59" s="23">
        <v>0.24</v>
      </c>
      <c r="E59" s="23">
        <v>0.237</v>
      </c>
      <c r="F59" s="23">
        <v>0.231</v>
      </c>
      <c r="G59" s="23">
        <v>0.196</v>
      </c>
      <c r="H59" s="23">
        <v>1.08</v>
      </c>
      <c r="I59" s="23">
        <v>0.367</v>
      </c>
      <c r="J59" s="23">
        <v>0.582</v>
      </c>
      <c r="K59" s="23">
        <v>0.555</v>
      </c>
      <c r="L59" s="23">
        <v>1.915</v>
      </c>
      <c r="M59" s="23">
        <v>0.784</v>
      </c>
      <c r="N59" s="23">
        <v>1.627</v>
      </c>
      <c r="P59" s="23">
        <v>2.215</v>
      </c>
      <c r="Q59" s="23">
        <v>0.331</v>
      </c>
      <c r="R59" s="23">
        <v>0.647</v>
      </c>
      <c r="S59" s="23">
        <v>0.334</v>
      </c>
      <c r="T59" s="23">
        <v>0.268</v>
      </c>
      <c r="U59" s="23">
        <v>0.52</v>
      </c>
      <c r="V59" s="23">
        <v>0.406</v>
      </c>
      <c r="W59" s="23">
        <v>0.704</v>
      </c>
      <c r="X59" s="23">
        <v>0.132</v>
      </c>
      <c r="Y59" s="23">
        <v>0.104</v>
      </c>
      <c r="Z59" s="23">
        <v>0.96</v>
      </c>
      <c r="AA59" s="23">
        <v>0.798</v>
      </c>
      <c r="AB59" s="23">
        <v>0.5</v>
      </c>
      <c r="AC59" s="23">
        <v>0.492</v>
      </c>
      <c r="AD59" s="23">
        <v>0.853</v>
      </c>
      <c r="AE59" s="23">
        <v>1.755</v>
      </c>
      <c r="AF59" s="23">
        <v>3.8</v>
      </c>
      <c r="AG59" s="23">
        <v>0.905</v>
      </c>
      <c r="AH59" s="23">
        <v>0.372</v>
      </c>
      <c r="AI59" s="23">
        <v>0.965</v>
      </c>
      <c r="AJ59" s="23">
        <v>0.391</v>
      </c>
      <c r="AK59" s="23">
        <v>0.988</v>
      </c>
      <c r="AL59" s="23">
        <v>0.394</v>
      </c>
      <c r="AM59" s="23">
        <v>0.238</v>
      </c>
      <c r="AN59" s="23">
        <v>0.878</v>
      </c>
      <c r="AO59" s="23">
        <v>0.38</v>
      </c>
      <c r="AP59" s="23">
        <v>0.872</v>
      </c>
      <c r="AQ59" s="23">
        <v>0.409</v>
      </c>
      <c r="AR59" s="23">
        <v>0.979</v>
      </c>
      <c r="AS59" s="23">
        <v>0.408</v>
      </c>
      <c r="AT59" s="23">
        <v>0.304</v>
      </c>
      <c r="AU59" s="23">
        <v>0.922</v>
      </c>
      <c r="AV59" s="23">
        <v>0.384</v>
      </c>
      <c r="AW59" s="23">
        <v>1.16</v>
      </c>
      <c r="AX59" s="23">
        <v>0.439</v>
      </c>
      <c r="AY59" s="23">
        <v>0.789</v>
      </c>
      <c r="AZ59" s="23">
        <v>0.296</v>
      </c>
      <c r="BA59" s="23">
        <v>1.078</v>
      </c>
      <c r="BB59" s="23">
        <v>0.377</v>
      </c>
      <c r="BC59" s="23">
        <v>1.07</v>
      </c>
      <c r="BD59" s="23">
        <v>0.311</v>
      </c>
      <c r="BE59" s="23">
        <v>0.224</v>
      </c>
      <c r="BF59" s="23">
        <v>1.05</v>
      </c>
      <c r="BG59" s="23">
        <v>0.099</v>
      </c>
      <c r="BH59" s="23">
        <v>0.309</v>
      </c>
      <c r="BI59" s="23">
        <v>0.828</v>
      </c>
      <c r="BJ59" s="23">
        <v>0.38</v>
      </c>
      <c r="BK59" s="23">
        <v>0.304</v>
      </c>
    </row>
    <row r="60" ht="14.25" customHeight="1">
      <c r="A60" s="21" t="s">
        <v>191</v>
      </c>
      <c r="B60" s="22"/>
      <c r="C60" s="22"/>
      <c r="D60" s="23">
        <v>0.496</v>
      </c>
      <c r="E60" s="23">
        <v>0.49</v>
      </c>
      <c r="F60" s="23">
        <v>0.476</v>
      </c>
      <c r="G60" s="23">
        <v>0.404</v>
      </c>
      <c r="H60" s="23">
        <v>2.896</v>
      </c>
      <c r="I60" s="23">
        <v>0.984</v>
      </c>
      <c r="J60" s="23">
        <v>1.508</v>
      </c>
      <c r="K60" s="23">
        <v>1.439</v>
      </c>
      <c r="L60" s="23">
        <v>5.112</v>
      </c>
      <c r="M60" s="23">
        <v>2.093</v>
      </c>
      <c r="N60" s="23">
        <v>4.342</v>
      </c>
      <c r="P60" s="23">
        <v>5.911</v>
      </c>
      <c r="Q60" s="23">
        <v>0.893</v>
      </c>
      <c r="R60" s="23">
        <v>1.743</v>
      </c>
      <c r="S60" s="23">
        <v>0.9</v>
      </c>
      <c r="T60" s="23">
        <v>0.724</v>
      </c>
      <c r="U60" s="23">
        <v>1.401</v>
      </c>
      <c r="V60" s="23">
        <v>1.093</v>
      </c>
      <c r="W60" s="23">
        <v>1.899</v>
      </c>
      <c r="X60" s="23">
        <v>0.355</v>
      </c>
      <c r="Y60" s="23">
        <v>0.288</v>
      </c>
      <c r="Z60" s="23">
        <v>1.995</v>
      </c>
      <c r="AA60" s="23">
        <v>1.956</v>
      </c>
      <c r="AB60" s="23">
        <v>1.171</v>
      </c>
      <c r="AC60" s="23">
        <v>1.33</v>
      </c>
      <c r="AD60" s="23">
        <v>2.307</v>
      </c>
      <c r="AE60" s="23">
        <v>4.745</v>
      </c>
      <c r="AF60" s="23">
        <v>10.2</v>
      </c>
      <c r="AG60" s="23">
        <v>2.613</v>
      </c>
      <c r="AH60" s="23">
        <v>1.072</v>
      </c>
      <c r="AI60" s="23">
        <v>2.785</v>
      </c>
      <c r="AJ60" s="23">
        <v>1.129</v>
      </c>
      <c r="AK60" s="23">
        <v>2.852</v>
      </c>
      <c r="AL60" s="23">
        <v>1.086</v>
      </c>
      <c r="AM60" s="23">
        <v>0.656</v>
      </c>
      <c r="AN60" s="23">
        <v>2.535</v>
      </c>
      <c r="AO60" s="23">
        <v>1.095</v>
      </c>
      <c r="AP60" s="23">
        <v>2.268</v>
      </c>
      <c r="AQ60" s="23">
        <v>1.128</v>
      </c>
      <c r="AR60" s="23">
        <v>2.825</v>
      </c>
      <c r="AS60" s="23">
        <v>1.176</v>
      </c>
      <c r="AT60" s="23">
        <v>0.878</v>
      </c>
      <c r="AU60" s="23">
        <v>2.661</v>
      </c>
      <c r="AV60" s="23">
        <v>1.108</v>
      </c>
      <c r="AW60" s="23">
        <v>2.355</v>
      </c>
      <c r="AX60" s="23">
        <v>0.891</v>
      </c>
      <c r="AY60" s="23">
        <v>2.276</v>
      </c>
      <c r="AZ60" s="23">
        <v>0.853</v>
      </c>
      <c r="BA60" s="23">
        <v>2.855</v>
      </c>
      <c r="BB60" s="23">
        <v>0.998</v>
      </c>
      <c r="BC60" s="23">
        <v>2.916</v>
      </c>
      <c r="BD60" s="23">
        <v>0.849</v>
      </c>
      <c r="BE60" s="23">
        <v>0.611</v>
      </c>
      <c r="BF60" s="23">
        <v>2.756</v>
      </c>
      <c r="BG60" s="23">
        <v>0.479</v>
      </c>
      <c r="BH60" s="23">
        <v>0.812</v>
      </c>
      <c r="BI60" s="23">
        <v>2.27</v>
      </c>
      <c r="BJ60" s="23">
        <v>1.042</v>
      </c>
      <c r="BK60" s="23">
        <v>0.835</v>
      </c>
    </row>
    <row r="61" ht="14.25" customHeight="1">
      <c r="A61" s="21" t="s">
        <v>192</v>
      </c>
      <c r="B61" s="22"/>
      <c r="C61" s="22"/>
      <c r="D61" s="23">
        <v>0.741</v>
      </c>
      <c r="E61" s="23">
        <v>0.733</v>
      </c>
      <c r="F61" s="23">
        <v>0.712</v>
      </c>
      <c r="G61" s="23">
        <v>0.604</v>
      </c>
      <c r="H61" s="23">
        <v>4.196</v>
      </c>
      <c r="I61" s="23">
        <v>1.426</v>
      </c>
      <c r="J61" s="23">
        <v>2.433</v>
      </c>
      <c r="K61" s="23">
        <v>2.32</v>
      </c>
      <c r="L61" s="23">
        <v>7.874</v>
      </c>
      <c r="M61" s="23">
        <v>3.224</v>
      </c>
      <c r="N61" s="23">
        <v>6.689</v>
      </c>
      <c r="P61" s="23">
        <v>9.106</v>
      </c>
      <c r="Q61" s="23">
        <v>1.397</v>
      </c>
      <c r="R61" s="23">
        <v>2.727</v>
      </c>
      <c r="S61" s="23">
        <v>1.408</v>
      </c>
      <c r="T61" s="23">
        <v>1.133</v>
      </c>
      <c r="U61" s="23">
        <v>2.191</v>
      </c>
      <c r="V61" s="23">
        <v>1.709</v>
      </c>
      <c r="W61" s="23">
        <v>2.97</v>
      </c>
      <c r="X61" s="23">
        <v>0.556</v>
      </c>
      <c r="Y61" s="23">
        <v>0.487</v>
      </c>
      <c r="Z61" s="23">
        <v>3.292</v>
      </c>
      <c r="AA61" s="23">
        <v>3.337</v>
      </c>
      <c r="AB61" s="23">
        <v>1.915</v>
      </c>
      <c r="AC61" s="23">
        <v>2.429</v>
      </c>
      <c r="AD61" s="23">
        <v>4.215</v>
      </c>
      <c r="AE61" s="23">
        <v>8.668</v>
      </c>
      <c r="AF61" s="23">
        <v>16.8</v>
      </c>
      <c r="AG61" s="23">
        <v>3.294</v>
      </c>
      <c r="AH61" s="23">
        <v>1.351</v>
      </c>
      <c r="AI61" s="23">
        <v>3.511</v>
      </c>
      <c r="AJ61" s="23">
        <v>1.424</v>
      </c>
      <c r="AK61" s="23">
        <v>3.595</v>
      </c>
      <c r="AL61" s="23">
        <v>1.393</v>
      </c>
      <c r="AM61" s="23">
        <v>0.842</v>
      </c>
      <c r="AN61" s="23">
        <v>3.195</v>
      </c>
      <c r="AO61" s="23">
        <v>1.381</v>
      </c>
      <c r="AP61" s="23">
        <v>3.027</v>
      </c>
      <c r="AQ61" s="23">
        <v>1.447</v>
      </c>
      <c r="AR61" s="23">
        <v>3.561</v>
      </c>
      <c r="AS61" s="23">
        <v>1.483</v>
      </c>
      <c r="AT61" s="23">
        <v>1.106</v>
      </c>
      <c r="AU61" s="23">
        <v>3.355</v>
      </c>
      <c r="AV61" s="23">
        <v>1.397</v>
      </c>
      <c r="AW61" s="23">
        <v>3.099</v>
      </c>
      <c r="AX61" s="23">
        <v>1.173</v>
      </c>
      <c r="AY61" s="23">
        <v>2.869</v>
      </c>
      <c r="AZ61" s="23">
        <v>1.075</v>
      </c>
      <c r="BA61" s="23">
        <v>4.002</v>
      </c>
      <c r="BB61" s="23">
        <v>1.399</v>
      </c>
      <c r="BC61" s="23">
        <v>4.437</v>
      </c>
      <c r="BD61" s="23">
        <v>1.291</v>
      </c>
      <c r="BE61" s="23">
        <v>0.929</v>
      </c>
      <c r="BF61" s="23">
        <v>4.264</v>
      </c>
      <c r="BG61" s="23">
        <v>0.161</v>
      </c>
      <c r="BH61" s="23">
        <v>1.256</v>
      </c>
      <c r="BI61" s="23">
        <v>3.375</v>
      </c>
      <c r="BJ61" s="23">
        <v>1.55</v>
      </c>
      <c r="BK61" s="23">
        <v>1.242</v>
      </c>
    </row>
    <row r="62" ht="14.25" customHeight="1">
      <c r="A62" s="21" t="s">
        <v>193</v>
      </c>
      <c r="B62" s="22"/>
      <c r="C62" s="22"/>
      <c r="D62" s="23">
        <v>0.184</v>
      </c>
      <c r="E62" s="23">
        <v>0.182</v>
      </c>
      <c r="F62" s="23">
        <v>0.177</v>
      </c>
      <c r="G62" s="23">
        <v>0.15</v>
      </c>
      <c r="H62" s="23">
        <v>1.092</v>
      </c>
      <c r="I62" s="23">
        <v>0.371</v>
      </c>
      <c r="J62" s="23">
        <v>0.539</v>
      </c>
      <c r="K62" s="23">
        <v>0.514</v>
      </c>
      <c r="L62" s="23">
        <v>1.88</v>
      </c>
      <c r="M62" s="23">
        <v>0.77</v>
      </c>
      <c r="N62" s="23">
        <v>1.597</v>
      </c>
      <c r="P62" s="23">
        <v>2.174</v>
      </c>
      <c r="Q62" s="23">
        <v>0.316</v>
      </c>
      <c r="R62" s="23">
        <v>0.616</v>
      </c>
      <c r="S62" s="23">
        <v>0.318</v>
      </c>
      <c r="T62" s="23">
        <v>0.256</v>
      </c>
      <c r="U62" s="23">
        <v>0.495</v>
      </c>
      <c r="V62" s="23">
        <v>0.386</v>
      </c>
      <c r="W62" s="23">
        <v>0.671</v>
      </c>
      <c r="X62" s="23">
        <v>0.126</v>
      </c>
      <c r="Y62" s="23">
        <v>0.103</v>
      </c>
      <c r="Z62" s="23">
        <v>0.754</v>
      </c>
      <c r="AA62" s="23">
        <v>0.646</v>
      </c>
      <c r="AB62" s="23">
        <v>0.447</v>
      </c>
      <c r="AC62" s="23">
        <v>0.473</v>
      </c>
      <c r="AD62" s="23">
        <v>0.821</v>
      </c>
      <c r="AE62" s="23">
        <v>1.688</v>
      </c>
      <c r="AF62" s="23">
        <v>3.7</v>
      </c>
      <c r="AG62" s="23">
        <v>0.843</v>
      </c>
      <c r="AH62" s="23">
        <v>0.346</v>
      </c>
      <c r="AI62" s="23">
        <v>0.899</v>
      </c>
      <c r="AJ62" s="23">
        <v>0.365</v>
      </c>
      <c r="AK62" s="23">
        <v>0.92</v>
      </c>
      <c r="AL62" s="23">
        <v>0.351</v>
      </c>
      <c r="AM62" s="23">
        <v>0.212</v>
      </c>
      <c r="AN62" s="23">
        <v>0.818</v>
      </c>
      <c r="AO62" s="23">
        <v>0.354</v>
      </c>
      <c r="AP62" s="23">
        <v>0.796</v>
      </c>
      <c r="AQ62" s="23">
        <v>0.365</v>
      </c>
      <c r="AR62" s="23">
        <v>0.912</v>
      </c>
      <c r="AS62" s="23">
        <v>0.38</v>
      </c>
      <c r="AT62" s="23">
        <v>0.283</v>
      </c>
      <c r="AU62" s="23">
        <v>0.859</v>
      </c>
      <c r="AV62" s="23">
        <v>0.358</v>
      </c>
      <c r="AW62" s="23">
        <v>0.756</v>
      </c>
      <c r="AX62" s="23">
        <v>0.286</v>
      </c>
      <c r="AY62" s="23">
        <v>0.734</v>
      </c>
      <c r="AZ62" s="23">
        <v>0.275</v>
      </c>
      <c r="BA62" s="23">
        <v>1.05</v>
      </c>
      <c r="BB62" s="23">
        <v>0.367</v>
      </c>
      <c r="BC62" s="23">
        <v>1.095</v>
      </c>
      <c r="BD62" s="23">
        <v>0.319</v>
      </c>
      <c r="BE62" s="23">
        <v>0.229</v>
      </c>
      <c r="BF62" s="23">
        <v>0.954</v>
      </c>
      <c r="BG62" s="23">
        <v>0.063</v>
      </c>
      <c r="BH62" s="23">
        <v>0.281</v>
      </c>
      <c r="BI62" s="23">
        <v>0.803</v>
      </c>
      <c r="BJ62" s="23">
        <v>0.369</v>
      </c>
      <c r="BK62" s="23">
        <v>0.295</v>
      </c>
    </row>
    <row r="63" ht="14.25" customHeight="1">
      <c r="A63" s="21" t="s">
        <v>194</v>
      </c>
      <c r="B63" s="22"/>
      <c r="C63" s="22"/>
      <c r="D63" s="23">
        <v>0.173</v>
      </c>
      <c r="E63" s="23">
        <v>0.171</v>
      </c>
      <c r="F63" s="23">
        <v>0.167</v>
      </c>
      <c r="G63" s="23">
        <v>0.141</v>
      </c>
      <c r="H63" s="23">
        <v>1.014</v>
      </c>
      <c r="I63" s="23">
        <v>0.344</v>
      </c>
      <c r="J63" s="23">
        <v>0.607</v>
      </c>
      <c r="K63" s="23">
        <v>0.579</v>
      </c>
      <c r="L63" s="23">
        <v>2.379</v>
      </c>
      <c r="M63" s="23">
        <v>0.974</v>
      </c>
      <c r="N63" s="23">
        <v>2.02</v>
      </c>
      <c r="P63" s="23">
        <v>2.75</v>
      </c>
      <c r="Q63" s="23">
        <v>0.436</v>
      </c>
      <c r="R63" s="23">
        <v>0.851</v>
      </c>
      <c r="S63" s="23">
        <v>0.44</v>
      </c>
      <c r="T63" s="23">
        <v>0.353</v>
      </c>
      <c r="U63" s="23">
        <v>0.684</v>
      </c>
      <c r="V63" s="23">
        <v>0.533</v>
      </c>
      <c r="W63" s="23">
        <v>0.927</v>
      </c>
      <c r="X63" s="23">
        <v>0.173</v>
      </c>
      <c r="Y63" s="23">
        <v>0.147</v>
      </c>
      <c r="Z63" s="23">
        <v>1.03</v>
      </c>
      <c r="AA63" s="23">
        <v>1.403</v>
      </c>
      <c r="AB63" s="23">
        <v>0.619</v>
      </c>
      <c r="AC63" s="23">
        <v>0.643</v>
      </c>
      <c r="AD63" s="23">
        <v>1.116</v>
      </c>
      <c r="AE63" s="23">
        <v>2.296</v>
      </c>
      <c r="AF63" s="23">
        <v>4.5</v>
      </c>
      <c r="AG63" s="23">
        <v>0.916</v>
      </c>
      <c r="AH63" s="23">
        <v>0.376</v>
      </c>
      <c r="AI63" s="23">
        <v>0.976</v>
      </c>
      <c r="AJ63" s="23">
        <v>0.396</v>
      </c>
      <c r="AK63" s="23">
        <v>1.0</v>
      </c>
      <c r="AL63" s="23">
        <v>0.496</v>
      </c>
      <c r="AM63" s="23">
        <v>0.3</v>
      </c>
      <c r="AN63" s="23">
        <v>0.889</v>
      </c>
      <c r="AO63" s="23">
        <v>0.384</v>
      </c>
      <c r="AP63" s="23">
        <v>1.072</v>
      </c>
      <c r="AQ63" s="23">
        <v>0.515</v>
      </c>
      <c r="AR63" s="23">
        <v>0.99</v>
      </c>
      <c r="AS63" s="23">
        <v>0.412</v>
      </c>
      <c r="AT63" s="23">
        <v>0.308</v>
      </c>
      <c r="AU63" s="23">
        <v>0.933</v>
      </c>
      <c r="AV63" s="23">
        <v>0.388</v>
      </c>
      <c r="AW63" s="23">
        <v>0.874</v>
      </c>
      <c r="AX63" s="23">
        <v>0.331</v>
      </c>
      <c r="AY63" s="23">
        <v>0.798</v>
      </c>
      <c r="AZ63" s="23">
        <v>0.299</v>
      </c>
      <c r="BA63" s="23">
        <v>1.078</v>
      </c>
      <c r="BB63" s="23">
        <v>0.377</v>
      </c>
      <c r="BC63" s="23">
        <v>1.099</v>
      </c>
      <c r="BD63" s="23">
        <v>0.32</v>
      </c>
      <c r="BE63" s="23">
        <v>0.23</v>
      </c>
      <c r="BF63" s="23">
        <v>1.095</v>
      </c>
      <c r="BH63" s="23">
        <v>0.323</v>
      </c>
      <c r="BI63" s="23">
        <v>0.797</v>
      </c>
      <c r="BJ63" s="23">
        <v>0.366</v>
      </c>
      <c r="BK63" s="23">
        <v>0.293</v>
      </c>
    </row>
    <row r="64" ht="14.25" customHeight="1">
      <c r="A64" s="21" t="s">
        <v>195</v>
      </c>
      <c r="B64" s="22"/>
      <c r="C64" s="22"/>
      <c r="D64" s="23">
        <v>0.181</v>
      </c>
      <c r="E64" s="23">
        <v>0.179</v>
      </c>
      <c r="F64" s="23">
        <v>0.174</v>
      </c>
      <c r="G64" s="23">
        <v>0.148</v>
      </c>
      <c r="H64" s="23">
        <v>1.08</v>
      </c>
      <c r="I64" s="23">
        <v>0.367</v>
      </c>
      <c r="J64" s="23">
        <v>0.721</v>
      </c>
      <c r="K64" s="23">
        <v>0.688</v>
      </c>
      <c r="L64" s="23">
        <v>2.357</v>
      </c>
      <c r="M64" s="23">
        <v>0.965</v>
      </c>
      <c r="N64" s="23">
        <v>2.002</v>
      </c>
      <c r="P64" s="23">
        <v>2.725</v>
      </c>
      <c r="Q64" s="23">
        <v>0.381</v>
      </c>
      <c r="R64" s="23">
        <v>0.743</v>
      </c>
      <c r="S64" s="23">
        <v>0.384</v>
      </c>
      <c r="T64" s="23">
        <v>0.309</v>
      </c>
      <c r="U64" s="23">
        <v>0.597</v>
      </c>
      <c r="V64" s="23">
        <v>0.466</v>
      </c>
      <c r="W64" s="23">
        <v>0.809</v>
      </c>
      <c r="X64" s="23">
        <v>0.151</v>
      </c>
      <c r="Y64" s="23">
        <v>0.14</v>
      </c>
      <c r="Z64" s="23">
        <v>1.019</v>
      </c>
      <c r="AA64" s="23">
        <v>1.121</v>
      </c>
      <c r="AB64" s="23">
        <v>0.601</v>
      </c>
      <c r="AC64" s="23">
        <v>0.626</v>
      </c>
      <c r="AD64" s="23">
        <v>1.087</v>
      </c>
      <c r="AE64" s="23">
        <v>2.235</v>
      </c>
      <c r="AF64" s="23">
        <v>4.6</v>
      </c>
      <c r="AG64" s="23">
        <v>1.175</v>
      </c>
      <c r="AH64" s="23">
        <v>0.482</v>
      </c>
      <c r="AI64" s="23">
        <v>1.253</v>
      </c>
      <c r="AJ64" s="23">
        <v>0.508</v>
      </c>
      <c r="AK64" s="23">
        <v>1.282</v>
      </c>
      <c r="AL64" s="23">
        <v>0.544</v>
      </c>
      <c r="AM64" s="23">
        <v>0.329</v>
      </c>
      <c r="AN64" s="23">
        <v>1.14</v>
      </c>
      <c r="AO64" s="23">
        <v>0.493</v>
      </c>
      <c r="AP64" s="23">
        <v>1.171</v>
      </c>
      <c r="AQ64" s="23">
        <v>0.565</v>
      </c>
      <c r="AR64" s="23">
        <v>1.271</v>
      </c>
      <c r="AS64" s="23">
        <v>0.529</v>
      </c>
      <c r="AT64" s="23">
        <v>0.395</v>
      </c>
      <c r="AU64" s="23">
        <v>1.197</v>
      </c>
      <c r="AV64" s="23">
        <v>0.498</v>
      </c>
      <c r="AW64" s="23">
        <v>0.976</v>
      </c>
      <c r="AX64" s="23">
        <v>0.369</v>
      </c>
      <c r="AY64" s="23">
        <v>1.023</v>
      </c>
      <c r="AZ64" s="23">
        <v>0.384</v>
      </c>
      <c r="BA64" s="23">
        <v>1.19</v>
      </c>
      <c r="BB64" s="23">
        <v>0.416</v>
      </c>
      <c r="BC64" s="23">
        <v>1.195</v>
      </c>
      <c r="BD64" s="23">
        <v>0.348</v>
      </c>
      <c r="BE64" s="23">
        <v>0.25</v>
      </c>
      <c r="BF64" s="23">
        <v>1.176</v>
      </c>
      <c r="BG64" s="23">
        <v>0.033</v>
      </c>
      <c r="BH64" s="23">
        <v>0.346</v>
      </c>
      <c r="BI64" s="23">
        <v>0.973</v>
      </c>
      <c r="BJ64" s="23">
        <v>0.447</v>
      </c>
      <c r="BK64" s="23">
        <v>0.357</v>
      </c>
    </row>
    <row r="65" ht="14.25" customHeight="1">
      <c r="A65" s="21"/>
      <c r="B65" s="22"/>
      <c r="C65" s="22"/>
      <c r="AM65" s="63"/>
    </row>
    <row r="66" ht="14.25" customHeight="1">
      <c r="A66" s="36" t="s">
        <v>196</v>
      </c>
      <c r="B66" s="37"/>
      <c r="C66" s="38"/>
    </row>
    <row r="67" ht="14.25" customHeight="1">
      <c r="A67" s="39"/>
      <c r="C67" s="40"/>
    </row>
    <row r="68" ht="14.25" customHeight="1">
      <c r="A68" s="39"/>
      <c r="C68" s="40"/>
    </row>
    <row r="69" ht="14.25" customHeight="1">
      <c r="A69" s="39"/>
      <c r="C69" s="40"/>
    </row>
    <row r="70" ht="14.25" customHeight="1">
      <c r="A70" s="41"/>
      <c r="B70" s="42"/>
      <c r="C70" s="43"/>
    </row>
    <row r="71" ht="14.25" customHeight="1">
      <c r="A71" s="44" t="s">
        <v>197</v>
      </c>
      <c r="B71" s="21"/>
      <c r="C71" s="21"/>
    </row>
    <row r="72" ht="14.25" customHeight="1">
      <c r="A72" s="44" t="s">
        <v>198</v>
      </c>
      <c r="B72" s="21"/>
      <c r="C72" s="21"/>
    </row>
    <row r="73" ht="14.25" customHeight="1">
      <c r="A73" s="21"/>
      <c r="B73" s="21"/>
      <c r="C73" s="21"/>
    </row>
    <row r="74" ht="15.0" customHeight="1">
      <c r="A74" s="36" t="s">
        <v>199</v>
      </c>
      <c r="B74" s="37"/>
      <c r="C74" s="38"/>
    </row>
    <row r="75" ht="15.0" customHeight="1">
      <c r="A75" s="41"/>
      <c r="B75" s="42"/>
      <c r="C75" s="43"/>
    </row>
    <row r="76" ht="15.0" customHeight="1">
      <c r="A76" s="44" t="s">
        <v>200</v>
      </c>
      <c r="B76" s="22"/>
      <c r="C76" s="22"/>
    </row>
    <row r="77" ht="14.25" customHeight="1">
      <c r="B77" s="22"/>
      <c r="C77" s="22"/>
    </row>
    <row r="78" ht="14.25" customHeight="1">
      <c r="A78" s="45" t="s">
        <v>201</v>
      </c>
      <c r="B78" s="37"/>
      <c r="C78" s="38"/>
    </row>
    <row r="79" ht="14.25" customHeight="1">
      <c r="A79" s="39"/>
      <c r="C79" s="40"/>
    </row>
    <row r="80" ht="14.25" customHeight="1">
      <c r="A80" s="41"/>
      <c r="B80" s="42"/>
      <c r="C80" s="43"/>
    </row>
    <row r="81" ht="14.25" customHeight="1">
      <c r="A81" s="44" t="s">
        <v>202</v>
      </c>
      <c r="B81" s="22"/>
      <c r="C81" s="22"/>
    </row>
    <row r="82" ht="14.25" customHeight="1">
      <c r="A82" s="21"/>
      <c r="B82" s="22"/>
      <c r="C82" s="22"/>
    </row>
    <row r="83" ht="14.25" customHeight="1">
      <c r="A83" s="21"/>
      <c r="B83" s="22"/>
      <c r="C83" s="22"/>
    </row>
    <row r="84" ht="14.25" customHeight="1">
      <c r="A84" s="21"/>
      <c r="B84" s="22"/>
      <c r="C84" s="22"/>
    </row>
    <row r="85" ht="14.25" customHeight="1">
      <c r="A85" s="21"/>
      <c r="B85" s="22"/>
      <c r="C85" s="22"/>
    </row>
    <row r="86" ht="14.25" customHeight="1">
      <c r="A86" s="21"/>
      <c r="B86" s="22"/>
      <c r="C86" s="22"/>
    </row>
    <row r="87" ht="14.25" customHeight="1">
      <c r="A87" s="21"/>
      <c r="B87" s="22"/>
      <c r="C87" s="22"/>
    </row>
    <row r="88" ht="14.25" customHeight="1">
      <c r="A88" s="21"/>
      <c r="B88" s="22"/>
      <c r="C88" s="22"/>
    </row>
    <row r="89" ht="14.25" customHeight="1">
      <c r="A89" s="21"/>
      <c r="B89" s="22"/>
      <c r="C89" s="22"/>
    </row>
    <row r="90" ht="14.25" customHeight="1">
      <c r="A90" s="21"/>
      <c r="B90" s="22"/>
      <c r="C90" s="22"/>
    </row>
    <row r="91" ht="14.25" customHeight="1">
      <c r="A91" s="21"/>
      <c r="B91" s="22"/>
      <c r="C91" s="22"/>
    </row>
    <row r="92" ht="14.25" customHeight="1">
      <c r="A92" s="21"/>
      <c r="B92" s="22"/>
      <c r="C92" s="22"/>
    </row>
    <row r="93" ht="14.25" customHeight="1">
      <c r="A93" s="21"/>
      <c r="B93" s="22"/>
      <c r="C93" s="22"/>
    </row>
    <row r="94" ht="14.25" customHeight="1">
      <c r="A94" s="21"/>
      <c r="B94" s="22"/>
      <c r="C94" s="22"/>
    </row>
    <row r="95" ht="14.25" customHeight="1">
      <c r="A95" s="21"/>
      <c r="B95" s="22"/>
      <c r="C95" s="22"/>
    </row>
    <row r="96" ht="14.25" customHeight="1">
      <c r="A96" s="21"/>
      <c r="B96" s="22"/>
      <c r="C96" s="22"/>
    </row>
    <row r="97" ht="14.25" customHeight="1">
      <c r="A97" s="21"/>
      <c r="B97" s="22"/>
      <c r="C97" s="22"/>
    </row>
    <row r="98" ht="14.25" customHeight="1">
      <c r="A98" s="21"/>
      <c r="B98" s="22"/>
      <c r="C98" s="22"/>
    </row>
    <row r="99" ht="14.25" customHeight="1">
      <c r="A99" s="21"/>
      <c r="B99" s="22"/>
      <c r="C99" s="22"/>
    </row>
    <row r="100" ht="14.25" customHeight="1">
      <c r="A100" s="21"/>
      <c r="B100" s="22"/>
      <c r="C100" s="22"/>
    </row>
    <row r="101" ht="14.25" customHeight="1">
      <c r="A101" s="21"/>
      <c r="B101" s="22"/>
      <c r="C101" s="22"/>
    </row>
    <row r="102" ht="14.25" customHeight="1">
      <c r="A102" s="21"/>
      <c r="B102" s="22"/>
      <c r="C102" s="22"/>
    </row>
    <row r="103" ht="14.25" customHeight="1">
      <c r="A103" s="21"/>
      <c r="B103" s="22"/>
      <c r="C103" s="22"/>
    </row>
    <row r="104" ht="14.25" customHeight="1">
      <c r="A104" s="21"/>
      <c r="B104" s="22"/>
      <c r="C104" s="22"/>
    </row>
    <row r="105" ht="14.25" customHeight="1">
      <c r="A105" s="21"/>
      <c r="B105" s="22"/>
      <c r="C105" s="22"/>
    </row>
    <row r="106" ht="14.25" customHeight="1">
      <c r="A106" s="21"/>
      <c r="B106" s="22"/>
      <c r="C106" s="22"/>
    </row>
    <row r="107" ht="14.25" customHeight="1">
      <c r="A107" s="21"/>
      <c r="B107" s="22"/>
      <c r="C107" s="22"/>
    </row>
    <row r="108" ht="14.25" customHeight="1">
      <c r="A108" s="21"/>
      <c r="B108" s="22"/>
      <c r="C108" s="22"/>
    </row>
    <row r="109" ht="14.25" customHeight="1">
      <c r="A109" s="21"/>
      <c r="B109" s="22"/>
      <c r="C109" s="22"/>
    </row>
    <row r="110" ht="14.25" customHeight="1">
      <c r="A110" s="21"/>
      <c r="B110" s="22"/>
      <c r="C110" s="22"/>
    </row>
    <row r="111" ht="14.25" customHeight="1">
      <c r="A111" s="21"/>
      <c r="B111" s="22"/>
      <c r="C111" s="22"/>
    </row>
    <row r="112" ht="14.25" customHeight="1">
      <c r="A112" s="21"/>
      <c r="B112" s="22"/>
      <c r="C112" s="22"/>
    </row>
    <row r="113" ht="14.25" customHeight="1">
      <c r="A113" s="21"/>
      <c r="B113" s="22"/>
      <c r="C113" s="22"/>
    </row>
    <row r="114" ht="14.25" customHeight="1">
      <c r="A114" s="21"/>
      <c r="B114" s="22"/>
      <c r="C114" s="22"/>
    </row>
    <row r="115" ht="14.25" customHeight="1">
      <c r="A115" s="21"/>
      <c r="B115" s="22"/>
      <c r="C115" s="22"/>
    </row>
    <row r="116" ht="14.25" customHeight="1">
      <c r="A116" s="21"/>
      <c r="B116" s="22"/>
      <c r="C116" s="22"/>
    </row>
    <row r="117" ht="14.25" customHeight="1">
      <c r="A117" s="21"/>
      <c r="B117" s="22"/>
      <c r="C117" s="22"/>
    </row>
    <row r="118" ht="14.25" customHeight="1">
      <c r="A118" s="21"/>
      <c r="B118" s="22"/>
      <c r="C118" s="22"/>
    </row>
    <row r="119" ht="14.25" customHeight="1">
      <c r="A119" s="21"/>
      <c r="B119" s="22"/>
      <c r="C119" s="22"/>
    </row>
    <row r="120" ht="14.25" customHeight="1">
      <c r="A120" s="21"/>
      <c r="B120" s="22"/>
      <c r="C120" s="22"/>
    </row>
    <row r="121" ht="14.25" customHeight="1">
      <c r="A121" s="21"/>
      <c r="B121" s="22"/>
      <c r="C121" s="22"/>
    </row>
    <row r="122" ht="14.25" customHeight="1">
      <c r="A122" s="21"/>
      <c r="B122" s="22"/>
      <c r="C122" s="22"/>
    </row>
    <row r="123" ht="14.25" customHeight="1">
      <c r="A123" s="21"/>
      <c r="B123" s="22"/>
      <c r="C123" s="22"/>
    </row>
    <row r="124" ht="14.25" customHeight="1">
      <c r="A124" s="21"/>
      <c r="B124" s="22"/>
      <c r="C124" s="22"/>
    </row>
    <row r="125" ht="14.25" customHeight="1">
      <c r="A125" s="21"/>
      <c r="B125" s="22"/>
      <c r="C125" s="22"/>
    </row>
    <row r="126" ht="14.25" customHeight="1">
      <c r="A126" s="21"/>
      <c r="B126" s="22"/>
      <c r="C126" s="22"/>
    </row>
    <row r="127" ht="14.25" customHeight="1">
      <c r="A127" s="21"/>
      <c r="B127" s="22"/>
      <c r="C127" s="22"/>
    </row>
    <row r="128" ht="14.25" customHeight="1">
      <c r="A128" s="21"/>
      <c r="B128" s="22"/>
      <c r="C128" s="22"/>
    </row>
    <row r="129" ht="14.25" customHeight="1">
      <c r="A129" s="21"/>
      <c r="B129" s="22"/>
      <c r="C129" s="22"/>
    </row>
    <row r="130" ht="14.25" customHeight="1">
      <c r="A130" s="21"/>
      <c r="B130" s="22"/>
      <c r="C130" s="22"/>
    </row>
    <row r="131" ht="14.25" customHeight="1">
      <c r="A131" s="21"/>
      <c r="B131" s="22"/>
      <c r="C131" s="22"/>
    </row>
    <row r="132" ht="14.25" customHeight="1">
      <c r="A132" s="21"/>
      <c r="B132" s="22"/>
      <c r="C132" s="22"/>
    </row>
    <row r="133" ht="14.25" customHeight="1">
      <c r="A133" s="21"/>
      <c r="B133" s="22"/>
      <c r="C133" s="22"/>
    </row>
    <row r="134" ht="14.25" customHeight="1">
      <c r="A134" s="21"/>
      <c r="B134" s="22"/>
      <c r="C134" s="22"/>
    </row>
    <row r="135" ht="14.25" customHeight="1">
      <c r="A135" s="21"/>
      <c r="B135" s="22"/>
      <c r="C135" s="22"/>
    </row>
    <row r="136" ht="14.25" customHeight="1">
      <c r="A136" s="21"/>
      <c r="B136" s="22"/>
      <c r="C136" s="22"/>
    </row>
    <row r="137" ht="14.25" customHeight="1">
      <c r="A137" s="21"/>
      <c r="B137" s="22"/>
      <c r="C137" s="22"/>
    </row>
    <row r="138" ht="14.25" customHeight="1">
      <c r="A138" s="21"/>
      <c r="B138" s="22"/>
      <c r="C138" s="22"/>
    </row>
    <row r="139" ht="14.25" customHeight="1">
      <c r="A139" s="21"/>
      <c r="B139" s="22"/>
      <c r="C139" s="22"/>
    </row>
    <row r="140" ht="14.25" customHeight="1">
      <c r="A140" s="21"/>
      <c r="B140" s="22"/>
      <c r="C140" s="22"/>
    </row>
    <row r="141" ht="14.25" customHeight="1">
      <c r="A141" s="21"/>
      <c r="B141" s="22"/>
      <c r="C141" s="22"/>
    </row>
    <row r="142" ht="14.25" customHeight="1">
      <c r="A142" s="21"/>
      <c r="B142" s="22"/>
      <c r="C142" s="22"/>
    </row>
    <row r="143" ht="14.25" customHeight="1">
      <c r="A143" s="21"/>
      <c r="B143" s="22"/>
      <c r="C143" s="22"/>
    </row>
    <row r="144" ht="14.25" customHeight="1">
      <c r="A144" s="21"/>
      <c r="B144" s="22"/>
      <c r="C144" s="22"/>
    </row>
    <row r="145" ht="14.25" customHeight="1">
      <c r="A145" s="21"/>
      <c r="B145" s="22"/>
      <c r="C145" s="22"/>
    </row>
    <row r="146" ht="14.25" customHeight="1">
      <c r="A146" s="21"/>
      <c r="B146" s="22"/>
      <c r="C146" s="22"/>
    </row>
    <row r="147" ht="14.25" customHeight="1">
      <c r="A147" s="21"/>
      <c r="B147" s="22"/>
      <c r="C147" s="22"/>
    </row>
    <row r="148" ht="14.25" customHeight="1">
      <c r="A148" s="21"/>
      <c r="B148" s="22"/>
      <c r="C148" s="22"/>
    </row>
    <row r="149" ht="14.25" customHeight="1">
      <c r="A149" s="21"/>
      <c r="B149" s="22"/>
      <c r="C149" s="22"/>
    </row>
    <row r="150" ht="14.25" customHeight="1">
      <c r="A150" s="21"/>
      <c r="B150" s="22"/>
      <c r="C150" s="22"/>
    </row>
    <row r="151" ht="14.25" customHeight="1">
      <c r="A151" s="21"/>
      <c r="B151" s="22"/>
      <c r="C151" s="22"/>
    </row>
    <row r="152" ht="14.25" customHeight="1">
      <c r="A152" s="21"/>
      <c r="B152" s="22"/>
      <c r="C152" s="22"/>
    </row>
    <row r="153" ht="14.25" customHeight="1">
      <c r="A153" s="21"/>
      <c r="B153" s="22"/>
      <c r="C153" s="22"/>
    </row>
    <row r="154" ht="14.25" customHeight="1">
      <c r="A154" s="21"/>
      <c r="B154" s="22"/>
      <c r="C154" s="22"/>
    </row>
    <row r="155" ht="14.25" customHeight="1">
      <c r="A155" s="21"/>
      <c r="B155" s="22"/>
      <c r="C155" s="22"/>
    </row>
    <row r="156" ht="14.25" customHeight="1">
      <c r="A156" s="21"/>
      <c r="B156" s="22"/>
      <c r="C156" s="22"/>
    </row>
    <row r="157" ht="14.25" customHeight="1">
      <c r="A157" s="21"/>
      <c r="B157" s="22"/>
      <c r="C157" s="22"/>
    </row>
    <row r="158" ht="14.25" customHeight="1">
      <c r="A158" s="21"/>
      <c r="B158" s="22"/>
      <c r="C158" s="22"/>
    </row>
    <row r="159" ht="14.25" customHeight="1">
      <c r="A159" s="21"/>
      <c r="B159" s="22"/>
      <c r="C159" s="22"/>
    </row>
    <row r="160" ht="14.25" customHeight="1">
      <c r="A160" s="21"/>
      <c r="B160" s="22"/>
      <c r="C160" s="22"/>
    </row>
    <row r="161" ht="14.25" customHeight="1">
      <c r="A161" s="21"/>
      <c r="B161" s="22"/>
      <c r="C161" s="22"/>
    </row>
    <row r="162" ht="14.25" customHeight="1">
      <c r="A162" s="21"/>
      <c r="B162" s="22"/>
      <c r="C162" s="22"/>
    </row>
    <row r="163" ht="14.25" customHeight="1">
      <c r="A163" s="21"/>
      <c r="B163" s="22"/>
      <c r="C163" s="22"/>
    </row>
    <row r="164" ht="14.25" customHeight="1">
      <c r="A164" s="21"/>
      <c r="B164" s="22"/>
      <c r="C164" s="22"/>
    </row>
    <row r="165" ht="14.25" customHeight="1">
      <c r="A165" s="21"/>
      <c r="B165" s="22"/>
      <c r="C165" s="22"/>
    </row>
    <row r="166" ht="14.25" customHeight="1">
      <c r="A166" s="21"/>
      <c r="B166" s="22"/>
      <c r="C166" s="22"/>
    </row>
    <row r="167" ht="14.25" customHeight="1">
      <c r="A167" s="21"/>
      <c r="B167" s="22"/>
      <c r="C167" s="22"/>
    </row>
    <row r="168" ht="14.25" customHeight="1">
      <c r="A168" s="21"/>
      <c r="B168" s="22"/>
      <c r="C168" s="22"/>
    </row>
    <row r="169" ht="14.25" customHeight="1">
      <c r="A169" s="21"/>
      <c r="B169" s="22"/>
      <c r="C169" s="22"/>
    </row>
    <row r="170" ht="14.25" customHeight="1">
      <c r="A170" s="21"/>
      <c r="B170" s="22"/>
      <c r="C170" s="22"/>
    </row>
    <row r="171" ht="14.25" customHeight="1">
      <c r="A171" s="21"/>
      <c r="B171" s="22"/>
      <c r="C171" s="22"/>
    </row>
    <row r="172" ht="14.25" customHeight="1">
      <c r="A172" s="21"/>
      <c r="B172" s="22"/>
      <c r="C172" s="22"/>
    </row>
    <row r="173" ht="14.25" customHeight="1">
      <c r="A173" s="21"/>
      <c r="B173" s="22"/>
      <c r="C173" s="22"/>
    </row>
    <row r="174" ht="14.25" customHeight="1">
      <c r="A174" s="21"/>
      <c r="B174" s="22"/>
      <c r="C174" s="22"/>
    </row>
    <row r="175" ht="14.25" customHeight="1">
      <c r="A175" s="21"/>
      <c r="B175" s="22"/>
      <c r="C175" s="22"/>
    </row>
    <row r="176" ht="14.25" customHeight="1">
      <c r="A176" s="21"/>
      <c r="B176" s="22"/>
      <c r="C176" s="22"/>
    </row>
    <row r="177" ht="14.25" customHeight="1">
      <c r="A177" s="21"/>
      <c r="B177" s="22"/>
      <c r="C177" s="22"/>
    </row>
    <row r="178" ht="14.25" customHeight="1">
      <c r="A178" s="21"/>
      <c r="B178" s="22"/>
      <c r="C178" s="22"/>
    </row>
    <row r="179" ht="14.25" customHeight="1">
      <c r="A179" s="21"/>
      <c r="B179" s="22"/>
      <c r="C179" s="22"/>
    </row>
    <row r="180" ht="14.25" customHeight="1">
      <c r="A180" s="21"/>
      <c r="B180" s="22"/>
      <c r="C180" s="22"/>
    </row>
    <row r="181" ht="14.25" customHeight="1">
      <c r="A181" s="21"/>
      <c r="B181" s="22"/>
      <c r="C181" s="22"/>
    </row>
    <row r="182" ht="14.25" customHeight="1">
      <c r="A182" s="21"/>
      <c r="B182" s="22"/>
      <c r="C182" s="22"/>
    </row>
    <row r="183" ht="14.25" customHeight="1">
      <c r="A183" s="21"/>
      <c r="B183" s="22"/>
      <c r="C183" s="22"/>
    </row>
    <row r="184" ht="14.25" customHeight="1">
      <c r="A184" s="21"/>
      <c r="B184" s="22"/>
      <c r="C184" s="22"/>
    </row>
    <row r="185" ht="14.25" customHeight="1">
      <c r="A185" s="21"/>
      <c r="B185" s="22"/>
      <c r="C185" s="22"/>
    </row>
    <row r="186" ht="14.25" customHeight="1">
      <c r="A186" s="21"/>
      <c r="B186" s="22"/>
      <c r="C186" s="22"/>
    </row>
    <row r="187" ht="14.25" customHeight="1">
      <c r="A187" s="21"/>
      <c r="B187" s="22"/>
      <c r="C187" s="22"/>
    </row>
    <row r="188" ht="14.25" customHeight="1">
      <c r="A188" s="21"/>
      <c r="B188" s="22"/>
      <c r="C188" s="22"/>
    </row>
    <row r="189" ht="14.25" customHeight="1">
      <c r="A189" s="21"/>
      <c r="B189" s="22"/>
      <c r="C189" s="22"/>
    </row>
    <row r="190" ht="14.25" customHeight="1">
      <c r="A190" s="21"/>
      <c r="B190" s="22"/>
      <c r="C190" s="22"/>
    </row>
    <row r="191" ht="14.25" customHeight="1">
      <c r="A191" s="21"/>
      <c r="B191" s="22"/>
      <c r="C191" s="22"/>
    </row>
    <row r="192" ht="14.25" customHeight="1">
      <c r="A192" s="21"/>
      <c r="B192" s="22"/>
      <c r="C192" s="22"/>
    </row>
    <row r="193" ht="14.25" customHeight="1">
      <c r="A193" s="21"/>
      <c r="B193" s="22"/>
      <c r="C193" s="22"/>
    </row>
    <row r="194" ht="14.25" customHeight="1">
      <c r="A194" s="21"/>
      <c r="B194" s="22"/>
      <c r="C194" s="22"/>
    </row>
    <row r="195" ht="14.25" customHeight="1">
      <c r="A195" s="21"/>
      <c r="B195" s="22"/>
      <c r="C195" s="22"/>
    </row>
    <row r="196" ht="14.25" customHeight="1">
      <c r="A196" s="21"/>
      <c r="B196" s="22"/>
      <c r="C196" s="22"/>
    </row>
    <row r="197" ht="14.25" customHeight="1">
      <c r="A197" s="21"/>
      <c r="B197" s="22"/>
      <c r="C197" s="22"/>
    </row>
    <row r="198" ht="14.25" customHeight="1">
      <c r="A198" s="21"/>
      <c r="B198" s="22"/>
      <c r="C198" s="22"/>
    </row>
    <row r="199" ht="14.25" customHeight="1">
      <c r="A199" s="21"/>
      <c r="B199" s="22"/>
      <c r="C199" s="22"/>
    </row>
    <row r="200" ht="14.25" customHeight="1">
      <c r="A200" s="21"/>
      <c r="B200" s="22"/>
      <c r="C200" s="22"/>
    </row>
    <row r="201" ht="14.25" customHeight="1">
      <c r="A201" s="21"/>
      <c r="B201" s="22"/>
      <c r="C201" s="22"/>
    </row>
    <row r="202" ht="14.25" customHeight="1">
      <c r="A202" s="21"/>
      <c r="B202" s="22"/>
      <c r="C202" s="22"/>
    </row>
    <row r="203" ht="14.25" customHeight="1">
      <c r="A203" s="21"/>
      <c r="B203" s="22"/>
      <c r="C203" s="22"/>
    </row>
    <row r="204" ht="14.25" customHeight="1">
      <c r="A204" s="21"/>
      <c r="B204" s="22"/>
      <c r="C204" s="22"/>
    </row>
    <row r="205" ht="14.25" customHeight="1">
      <c r="A205" s="21"/>
      <c r="B205" s="22"/>
      <c r="C205" s="22"/>
    </row>
    <row r="206" ht="14.25" customHeight="1">
      <c r="A206" s="21"/>
      <c r="B206" s="22"/>
      <c r="C206" s="22"/>
    </row>
    <row r="207" ht="14.25" customHeight="1">
      <c r="A207" s="21"/>
      <c r="B207" s="22"/>
      <c r="C207" s="22"/>
    </row>
    <row r="208" ht="14.25" customHeight="1">
      <c r="A208" s="21"/>
      <c r="B208" s="22"/>
      <c r="C208" s="22"/>
    </row>
    <row r="209" ht="14.25" customHeight="1">
      <c r="A209" s="21"/>
      <c r="B209" s="22"/>
      <c r="C209" s="22"/>
    </row>
    <row r="210" ht="14.25" customHeight="1">
      <c r="A210" s="21"/>
      <c r="B210" s="22"/>
      <c r="C210" s="22"/>
    </row>
    <row r="211" ht="14.25" customHeight="1">
      <c r="A211" s="21"/>
      <c r="B211" s="22"/>
      <c r="C211" s="22"/>
    </row>
    <row r="212" ht="14.25" customHeight="1">
      <c r="A212" s="21"/>
      <c r="B212" s="22"/>
      <c r="C212" s="22"/>
    </row>
    <row r="213" ht="14.25" customHeight="1">
      <c r="A213" s="21"/>
      <c r="B213" s="22"/>
      <c r="C213" s="22"/>
    </row>
    <row r="214" ht="14.25" customHeight="1">
      <c r="A214" s="21"/>
      <c r="B214" s="22"/>
      <c r="C214" s="22"/>
    </row>
    <row r="215" ht="14.25" customHeight="1">
      <c r="A215" s="21"/>
      <c r="B215" s="22"/>
      <c r="C215" s="22"/>
    </row>
    <row r="216" ht="14.25" customHeight="1">
      <c r="A216" s="21"/>
      <c r="B216" s="22"/>
      <c r="C216" s="22"/>
    </row>
    <row r="217" ht="14.25" customHeight="1">
      <c r="A217" s="21"/>
      <c r="B217" s="22"/>
      <c r="C217" s="22"/>
    </row>
    <row r="218" ht="14.25" customHeight="1">
      <c r="A218" s="21"/>
      <c r="B218" s="22"/>
      <c r="C218" s="22"/>
    </row>
    <row r="219" ht="14.25" customHeight="1">
      <c r="A219" s="21"/>
      <c r="B219" s="22"/>
      <c r="C219" s="22"/>
    </row>
    <row r="220" ht="14.25" customHeight="1">
      <c r="A220" s="21"/>
      <c r="B220" s="22"/>
      <c r="C220" s="22"/>
    </row>
    <row r="221" ht="14.25" customHeight="1">
      <c r="A221" s="21"/>
      <c r="B221" s="22"/>
      <c r="C221" s="22"/>
    </row>
    <row r="222" ht="14.25" customHeight="1">
      <c r="A222" s="21"/>
      <c r="B222" s="22"/>
      <c r="C222" s="22"/>
    </row>
    <row r="223" ht="14.25" customHeight="1">
      <c r="A223" s="21"/>
      <c r="B223" s="22"/>
      <c r="C223" s="22"/>
    </row>
    <row r="224" ht="14.25" customHeight="1">
      <c r="A224" s="21"/>
      <c r="B224" s="22"/>
      <c r="C224" s="22"/>
    </row>
    <row r="225" ht="14.25" customHeight="1">
      <c r="A225" s="21"/>
      <c r="B225" s="22"/>
      <c r="C225" s="22"/>
    </row>
    <row r="226" ht="14.25" customHeight="1">
      <c r="A226" s="21"/>
      <c r="B226" s="22"/>
      <c r="C226" s="22"/>
    </row>
    <row r="227" ht="14.25" customHeight="1">
      <c r="A227" s="21"/>
      <c r="B227" s="22"/>
      <c r="C227" s="22"/>
    </row>
    <row r="228" ht="14.25" customHeight="1">
      <c r="A228" s="21"/>
      <c r="B228" s="22"/>
      <c r="C228" s="22"/>
    </row>
    <row r="229" ht="14.25" customHeight="1">
      <c r="A229" s="21"/>
      <c r="B229" s="22"/>
      <c r="C229" s="22"/>
    </row>
    <row r="230" ht="14.25" customHeight="1">
      <c r="A230" s="21"/>
      <c r="B230" s="22"/>
      <c r="C230" s="22"/>
    </row>
    <row r="231" ht="14.25" customHeight="1">
      <c r="A231" s="21"/>
      <c r="B231" s="22"/>
      <c r="C231" s="22"/>
    </row>
    <row r="232" ht="14.25" customHeight="1">
      <c r="A232" s="21"/>
      <c r="B232" s="22"/>
      <c r="C232" s="22"/>
    </row>
    <row r="233" ht="14.25" customHeight="1">
      <c r="A233" s="21"/>
      <c r="B233" s="22"/>
      <c r="C233" s="22"/>
    </row>
    <row r="234" ht="14.25" customHeight="1">
      <c r="A234" s="21"/>
      <c r="B234" s="22"/>
      <c r="C234" s="22"/>
    </row>
    <row r="235" ht="14.25" customHeight="1">
      <c r="A235" s="21"/>
      <c r="B235" s="22"/>
      <c r="C235" s="22"/>
    </row>
    <row r="236" ht="14.25" customHeight="1">
      <c r="A236" s="21"/>
      <c r="B236" s="22"/>
      <c r="C236" s="22"/>
    </row>
    <row r="237" ht="14.25" customHeight="1">
      <c r="A237" s="21"/>
      <c r="B237" s="22"/>
      <c r="C237" s="22"/>
    </row>
    <row r="238" ht="14.25" customHeight="1">
      <c r="A238" s="21"/>
      <c r="B238" s="22"/>
      <c r="C238" s="22"/>
    </row>
    <row r="239" ht="14.25" customHeight="1">
      <c r="A239" s="21"/>
      <c r="B239" s="22"/>
      <c r="C239" s="22"/>
    </row>
    <row r="240" ht="14.25" customHeight="1">
      <c r="A240" s="21"/>
      <c r="B240" s="22"/>
      <c r="C240" s="22"/>
    </row>
    <row r="241" ht="14.25" customHeight="1">
      <c r="A241" s="21"/>
      <c r="B241" s="22"/>
      <c r="C241" s="22"/>
    </row>
    <row r="242" ht="14.25" customHeight="1">
      <c r="A242" s="21"/>
      <c r="B242" s="22"/>
      <c r="C242" s="22"/>
    </row>
    <row r="243" ht="14.25" customHeight="1">
      <c r="A243" s="21"/>
      <c r="B243" s="22"/>
      <c r="C243" s="22"/>
    </row>
    <row r="244" ht="14.25" customHeight="1">
      <c r="A244" s="21"/>
      <c r="B244" s="22"/>
      <c r="C244" s="22"/>
    </row>
    <row r="245" ht="14.25" customHeight="1">
      <c r="A245" s="21"/>
      <c r="B245" s="22"/>
      <c r="C245" s="22"/>
    </row>
    <row r="246" ht="14.25" customHeight="1">
      <c r="A246" s="21"/>
      <c r="B246" s="22"/>
      <c r="C246" s="22"/>
    </row>
    <row r="247" ht="14.25" customHeight="1">
      <c r="A247" s="21"/>
      <c r="B247" s="22"/>
      <c r="C247" s="22"/>
    </row>
    <row r="248" ht="14.25" customHeight="1">
      <c r="A248" s="21"/>
      <c r="B248" s="22"/>
      <c r="C248" s="22"/>
    </row>
    <row r="249" ht="14.25" customHeight="1">
      <c r="A249" s="21"/>
      <c r="B249" s="22"/>
      <c r="C249" s="22"/>
    </row>
    <row r="250" ht="14.25" customHeight="1">
      <c r="A250" s="21"/>
      <c r="B250" s="22"/>
      <c r="C250" s="22"/>
    </row>
    <row r="251" ht="14.25" customHeight="1">
      <c r="A251" s="21"/>
      <c r="B251" s="22"/>
      <c r="C251" s="22"/>
    </row>
    <row r="252" ht="14.25" customHeight="1">
      <c r="A252" s="21"/>
      <c r="B252" s="22"/>
      <c r="C252" s="22"/>
    </row>
    <row r="253" ht="14.25" customHeight="1">
      <c r="A253" s="21"/>
      <c r="B253" s="22"/>
      <c r="C253" s="22"/>
    </row>
    <row r="254" ht="14.25" customHeight="1">
      <c r="A254" s="21"/>
      <c r="B254" s="22"/>
      <c r="C254" s="22"/>
    </row>
    <row r="255" ht="14.25" customHeight="1">
      <c r="A255" s="21"/>
      <c r="B255" s="22"/>
      <c r="C255" s="22"/>
    </row>
    <row r="256" ht="14.25" customHeight="1">
      <c r="A256" s="21"/>
      <c r="B256" s="22"/>
      <c r="C256" s="22"/>
    </row>
    <row r="257" ht="14.25" customHeight="1">
      <c r="A257" s="21"/>
      <c r="B257" s="22"/>
      <c r="C257" s="22"/>
    </row>
    <row r="258" ht="14.25" customHeight="1">
      <c r="A258" s="21"/>
      <c r="B258" s="22"/>
      <c r="C258" s="22"/>
    </row>
    <row r="259" ht="14.25" customHeight="1">
      <c r="A259" s="21"/>
      <c r="B259" s="22"/>
      <c r="C259" s="22"/>
    </row>
    <row r="260" ht="14.25" customHeight="1">
      <c r="A260" s="21"/>
      <c r="B260" s="22"/>
      <c r="C260" s="22"/>
    </row>
    <row r="261" ht="14.25" customHeight="1">
      <c r="A261" s="21"/>
      <c r="B261" s="22"/>
      <c r="C261" s="22"/>
    </row>
    <row r="262" ht="14.25" customHeight="1">
      <c r="A262" s="21"/>
      <c r="B262" s="22"/>
      <c r="C262" s="22"/>
    </row>
    <row r="263" ht="14.25" customHeight="1">
      <c r="A263" s="21"/>
      <c r="B263" s="22"/>
      <c r="C263" s="22"/>
    </row>
    <row r="264" ht="14.25" customHeight="1">
      <c r="A264" s="21"/>
      <c r="B264" s="22"/>
      <c r="C264" s="22"/>
    </row>
    <row r="265" ht="14.25" customHeight="1">
      <c r="A265" s="21"/>
      <c r="B265" s="22"/>
      <c r="C265" s="22"/>
    </row>
    <row r="266" ht="14.25" customHeight="1">
      <c r="A266" s="21"/>
      <c r="B266" s="22"/>
      <c r="C266" s="22"/>
    </row>
    <row r="267" ht="14.25" customHeight="1">
      <c r="A267" s="21"/>
      <c r="B267" s="22"/>
      <c r="C267" s="22"/>
    </row>
    <row r="268" ht="14.25" customHeight="1">
      <c r="A268" s="21"/>
      <c r="B268" s="22"/>
      <c r="C268" s="22"/>
    </row>
    <row r="269" ht="14.25" customHeight="1">
      <c r="A269" s="21"/>
      <c r="B269" s="22"/>
      <c r="C269" s="22"/>
    </row>
    <row r="270" ht="14.25" customHeight="1">
      <c r="A270" s="21"/>
      <c r="B270" s="22"/>
      <c r="C270" s="22"/>
    </row>
    <row r="271" ht="14.25" customHeight="1">
      <c r="A271" s="21"/>
      <c r="B271" s="22"/>
      <c r="C271" s="22"/>
    </row>
    <row r="272" ht="14.25" customHeight="1">
      <c r="A272" s="21"/>
      <c r="B272" s="22"/>
      <c r="C272" s="22"/>
    </row>
    <row r="273" ht="14.25" customHeight="1">
      <c r="A273" s="21"/>
      <c r="B273" s="22"/>
      <c r="C273" s="22"/>
    </row>
    <row r="274" ht="14.25" customHeight="1">
      <c r="A274" s="21"/>
      <c r="B274" s="22"/>
      <c r="C274" s="22"/>
    </row>
    <row r="275" ht="14.25" customHeight="1">
      <c r="A275" s="21"/>
      <c r="B275" s="22"/>
      <c r="C275" s="22"/>
    </row>
    <row r="276" ht="14.25" customHeight="1">
      <c r="A276" s="21"/>
      <c r="B276" s="22"/>
      <c r="C276" s="22"/>
    </row>
    <row r="277" ht="14.25" customHeight="1">
      <c r="A277" s="21"/>
      <c r="B277" s="22"/>
      <c r="C277" s="22"/>
    </row>
    <row r="278" ht="14.25" customHeight="1">
      <c r="A278" s="21"/>
      <c r="B278" s="22"/>
      <c r="C278" s="22"/>
    </row>
    <row r="279" ht="14.25" customHeight="1">
      <c r="A279" s="21"/>
      <c r="B279" s="22"/>
      <c r="C279" s="22"/>
    </row>
    <row r="280" ht="14.25" customHeight="1">
      <c r="A280" s="21"/>
      <c r="B280" s="22"/>
      <c r="C280" s="22"/>
    </row>
    <row r="281" ht="14.25" customHeight="1">
      <c r="A281" s="21"/>
      <c r="B281" s="22"/>
      <c r="C281" s="22"/>
    </row>
    <row r="282" ht="14.25" customHeight="1">
      <c r="A282" s="21"/>
      <c r="B282" s="22"/>
      <c r="C282" s="22"/>
    </row>
    <row r="283" ht="14.25" customHeight="1">
      <c r="A283" s="21"/>
      <c r="B283" s="22"/>
      <c r="C283" s="22"/>
    </row>
    <row r="284" ht="14.25" customHeight="1">
      <c r="A284" s="21"/>
      <c r="B284" s="22"/>
      <c r="C284" s="22"/>
    </row>
    <row r="285" ht="14.25" customHeight="1">
      <c r="A285" s="21"/>
      <c r="B285" s="22"/>
      <c r="C285" s="22"/>
    </row>
    <row r="286" ht="14.25" customHeight="1">
      <c r="A286" s="21"/>
      <c r="B286" s="22"/>
      <c r="C286" s="22"/>
    </row>
    <row r="287" ht="14.25" customHeight="1">
      <c r="A287" s="21"/>
      <c r="B287" s="22"/>
      <c r="C287" s="22"/>
    </row>
    <row r="288" ht="14.25" customHeight="1">
      <c r="A288" s="21"/>
      <c r="B288" s="22"/>
      <c r="C288" s="22"/>
    </row>
    <row r="289" ht="14.25" customHeight="1">
      <c r="A289" s="21"/>
      <c r="B289" s="22"/>
      <c r="C289" s="22"/>
    </row>
    <row r="290" ht="14.25" customHeight="1">
      <c r="A290" s="21"/>
      <c r="B290" s="22"/>
      <c r="C290" s="22"/>
    </row>
    <row r="291" ht="14.25" customHeight="1">
      <c r="A291" s="21"/>
      <c r="B291" s="22"/>
      <c r="C291" s="22"/>
    </row>
    <row r="292" ht="14.25" customHeight="1">
      <c r="A292" s="21"/>
      <c r="B292" s="22"/>
      <c r="C292" s="22"/>
    </row>
    <row r="293" ht="14.25" customHeight="1">
      <c r="A293" s="21"/>
      <c r="B293" s="22"/>
      <c r="C293" s="22"/>
    </row>
    <row r="294" ht="14.25" customHeight="1">
      <c r="A294" s="21"/>
      <c r="B294" s="22"/>
      <c r="C294" s="22"/>
    </row>
    <row r="295" ht="14.25" customHeight="1">
      <c r="A295" s="21"/>
      <c r="B295" s="22"/>
      <c r="C295" s="22"/>
    </row>
    <row r="296" ht="14.25" customHeight="1">
      <c r="A296" s="21"/>
      <c r="B296" s="22"/>
      <c r="C296" s="22"/>
    </row>
    <row r="297" ht="14.25" customHeight="1">
      <c r="A297" s="21"/>
      <c r="B297" s="22"/>
      <c r="C297" s="22"/>
    </row>
    <row r="298" ht="14.25" customHeight="1">
      <c r="A298" s="21"/>
      <c r="B298" s="22"/>
      <c r="C298" s="22"/>
    </row>
    <row r="299" ht="14.25" customHeight="1">
      <c r="A299" s="21"/>
      <c r="B299" s="22"/>
      <c r="C299" s="22"/>
    </row>
    <row r="300" ht="14.25" customHeight="1">
      <c r="A300" s="21"/>
      <c r="B300" s="22"/>
      <c r="C300" s="22"/>
    </row>
    <row r="301" ht="14.25" customHeight="1">
      <c r="A301" s="21"/>
      <c r="B301" s="22"/>
      <c r="C301" s="22"/>
    </row>
    <row r="302" ht="14.25" customHeight="1">
      <c r="A302" s="21"/>
      <c r="B302" s="22"/>
      <c r="C302" s="22"/>
    </row>
    <row r="303" ht="14.25" customHeight="1">
      <c r="A303" s="21"/>
      <c r="B303" s="22"/>
      <c r="C303" s="22"/>
    </row>
    <row r="304" ht="14.25" customHeight="1">
      <c r="A304" s="21"/>
      <c r="B304" s="22"/>
      <c r="C304" s="22"/>
    </row>
    <row r="305" ht="14.25" customHeight="1">
      <c r="A305" s="21"/>
      <c r="B305" s="22"/>
      <c r="C305" s="22"/>
    </row>
    <row r="306" ht="14.25" customHeight="1">
      <c r="A306" s="21"/>
      <c r="B306" s="22"/>
      <c r="C306" s="22"/>
    </row>
    <row r="307" ht="14.25" customHeight="1">
      <c r="A307" s="21"/>
      <c r="B307" s="22"/>
      <c r="C307" s="22"/>
    </row>
    <row r="308" ht="14.25" customHeight="1">
      <c r="A308" s="21"/>
      <c r="B308" s="22"/>
      <c r="C308" s="22"/>
    </row>
    <row r="309" ht="14.25" customHeight="1">
      <c r="A309" s="21"/>
      <c r="B309" s="22"/>
      <c r="C309" s="22"/>
    </row>
    <row r="310" ht="14.25" customHeight="1">
      <c r="A310" s="21"/>
      <c r="B310" s="22"/>
      <c r="C310" s="22"/>
    </row>
    <row r="311" ht="14.25" customHeight="1">
      <c r="A311" s="21"/>
      <c r="B311" s="22"/>
      <c r="C311" s="22"/>
    </row>
    <row r="312" ht="14.25" customHeight="1">
      <c r="A312" s="21"/>
      <c r="B312" s="22"/>
      <c r="C312" s="22"/>
    </row>
    <row r="313" ht="14.25" customHeight="1">
      <c r="A313" s="21"/>
      <c r="B313" s="22"/>
      <c r="C313" s="22"/>
    </row>
    <row r="314" ht="14.25" customHeight="1">
      <c r="A314" s="21"/>
      <c r="B314" s="22"/>
      <c r="C314" s="22"/>
    </row>
    <row r="315" ht="14.25" customHeight="1">
      <c r="A315" s="21"/>
      <c r="B315" s="22"/>
      <c r="C315" s="22"/>
    </row>
    <row r="316" ht="14.25" customHeight="1">
      <c r="A316" s="21"/>
      <c r="B316" s="22"/>
      <c r="C316" s="22"/>
    </row>
    <row r="317" ht="14.25" customHeight="1">
      <c r="A317" s="21"/>
      <c r="B317" s="22"/>
      <c r="C317" s="22"/>
    </row>
    <row r="318" ht="14.25" customHeight="1">
      <c r="A318" s="21"/>
      <c r="B318" s="22"/>
      <c r="C318" s="22"/>
    </row>
    <row r="319" ht="14.25" customHeight="1">
      <c r="A319" s="21"/>
      <c r="B319" s="22"/>
      <c r="C319" s="22"/>
    </row>
    <row r="320" ht="14.25" customHeight="1">
      <c r="A320" s="21"/>
      <c r="B320" s="22"/>
      <c r="C320" s="22"/>
    </row>
    <row r="321" ht="14.25" customHeight="1">
      <c r="A321" s="21"/>
      <c r="B321" s="22"/>
      <c r="C321" s="22"/>
    </row>
    <row r="322" ht="14.25" customHeight="1">
      <c r="A322" s="21"/>
      <c r="B322" s="22"/>
      <c r="C322" s="22"/>
    </row>
    <row r="323" ht="14.25" customHeight="1">
      <c r="A323" s="21"/>
      <c r="B323" s="22"/>
      <c r="C323" s="22"/>
    </row>
    <row r="324" ht="14.25" customHeight="1">
      <c r="A324" s="21"/>
      <c r="B324" s="22"/>
      <c r="C324" s="22"/>
    </row>
    <row r="325" ht="14.25" customHeight="1">
      <c r="A325" s="21"/>
      <c r="B325" s="22"/>
      <c r="C325" s="22"/>
    </row>
    <row r="326" ht="14.25" customHeight="1">
      <c r="A326" s="21"/>
      <c r="B326" s="22"/>
      <c r="C326" s="22"/>
    </row>
    <row r="327" ht="14.25" customHeight="1">
      <c r="A327" s="21"/>
      <c r="B327" s="22"/>
      <c r="C327" s="22"/>
    </row>
    <row r="328" ht="14.25" customHeight="1">
      <c r="A328" s="21"/>
      <c r="B328" s="22"/>
      <c r="C328" s="22"/>
    </row>
    <row r="329" ht="14.25" customHeight="1">
      <c r="A329" s="21"/>
      <c r="B329" s="22"/>
      <c r="C329" s="22"/>
    </row>
    <row r="330" ht="14.25" customHeight="1">
      <c r="A330" s="21"/>
      <c r="B330" s="22"/>
      <c r="C330" s="22"/>
    </row>
    <row r="331" ht="14.25" customHeight="1">
      <c r="A331" s="21"/>
      <c r="B331" s="22"/>
      <c r="C331" s="22"/>
    </row>
    <row r="332" ht="14.25" customHeight="1">
      <c r="A332" s="21"/>
      <c r="B332" s="22"/>
      <c r="C332" s="22"/>
    </row>
    <row r="333" ht="14.25" customHeight="1">
      <c r="A333" s="21"/>
      <c r="B333" s="22"/>
      <c r="C333" s="22"/>
    </row>
    <row r="334" ht="14.25" customHeight="1">
      <c r="A334" s="21"/>
      <c r="B334" s="22"/>
      <c r="C334" s="22"/>
    </row>
    <row r="335" ht="14.25" customHeight="1">
      <c r="A335" s="21"/>
      <c r="B335" s="22"/>
      <c r="C335" s="22"/>
    </row>
    <row r="336" ht="14.25" customHeight="1">
      <c r="A336" s="21"/>
      <c r="B336" s="22"/>
      <c r="C336" s="22"/>
    </row>
    <row r="337" ht="14.25" customHeight="1">
      <c r="A337" s="21"/>
      <c r="B337" s="22"/>
      <c r="C337" s="22"/>
    </row>
    <row r="338" ht="14.25" customHeight="1">
      <c r="A338" s="21"/>
      <c r="B338" s="22"/>
      <c r="C338" s="22"/>
    </row>
    <row r="339" ht="14.25" customHeight="1">
      <c r="A339" s="21"/>
      <c r="B339" s="22"/>
      <c r="C339" s="22"/>
    </row>
    <row r="340" ht="14.25" customHeight="1">
      <c r="A340" s="21"/>
      <c r="B340" s="22"/>
      <c r="C340" s="22"/>
    </row>
    <row r="341" ht="14.25" customHeight="1">
      <c r="A341" s="21"/>
      <c r="B341" s="22"/>
      <c r="C341" s="22"/>
    </row>
    <row r="342" ht="14.25" customHeight="1">
      <c r="A342" s="21"/>
      <c r="B342" s="22"/>
      <c r="C342" s="22"/>
    </row>
    <row r="343" ht="14.25" customHeight="1">
      <c r="A343" s="21"/>
      <c r="B343" s="22"/>
      <c r="C343" s="22"/>
    </row>
    <row r="344" ht="14.25" customHeight="1">
      <c r="A344" s="21"/>
      <c r="B344" s="22"/>
      <c r="C344" s="22"/>
    </row>
    <row r="345" ht="14.25" customHeight="1">
      <c r="A345" s="21"/>
      <c r="B345" s="22"/>
      <c r="C345" s="22"/>
    </row>
    <row r="346" ht="14.25" customHeight="1">
      <c r="A346" s="21"/>
      <c r="B346" s="22"/>
      <c r="C346" s="22"/>
    </row>
    <row r="347" ht="14.25" customHeight="1">
      <c r="A347" s="21"/>
      <c r="B347" s="22"/>
      <c r="C347" s="22"/>
    </row>
    <row r="348" ht="14.25" customHeight="1">
      <c r="A348" s="21"/>
      <c r="B348" s="22"/>
      <c r="C348" s="22"/>
    </row>
    <row r="349" ht="14.25" customHeight="1">
      <c r="A349" s="21"/>
      <c r="B349" s="22"/>
      <c r="C349" s="22"/>
    </row>
    <row r="350" ht="14.25" customHeight="1">
      <c r="A350" s="21"/>
      <c r="B350" s="22"/>
      <c r="C350" s="22"/>
    </row>
    <row r="351" ht="14.25" customHeight="1">
      <c r="A351" s="21"/>
      <c r="B351" s="22"/>
      <c r="C351" s="22"/>
    </row>
    <row r="352" ht="14.25" customHeight="1">
      <c r="A352" s="21"/>
      <c r="B352" s="22"/>
      <c r="C352" s="22"/>
    </row>
    <row r="353" ht="14.25" customHeight="1">
      <c r="A353" s="21"/>
      <c r="B353" s="22"/>
      <c r="C353" s="22"/>
    </row>
    <row r="354" ht="14.25" customHeight="1">
      <c r="A354" s="21"/>
      <c r="B354" s="22"/>
      <c r="C354" s="22"/>
    </row>
    <row r="355" ht="14.25" customHeight="1">
      <c r="A355" s="21"/>
      <c r="B355" s="22"/>
      <c r="C355" s="22"/>
    </row>
    <row r="356" ht="14.25" customHeight="1">
      <c r="A356" s="21"/>
      <c r="B356" s="22"/>
      <c r="C356" s="22"/>
    </row>
    <row r="357" ht="14.25" customHeight="1">
      <c r="A357" s="21"/>
      <c r="B357" s="22"/>
      <c r="C357" s="22"/>
    </row>
    <row r="358" ht="14.25" customHeight="1">
      <c r="A358" s="21"/>
      <c r="B358" s="22"/>
      <c r="C358" s="22"/>
    </row>
    <row r="359" ht="14.25" customHeight="1">
      <c r="A359" s="21"/>
      <c r="B359" s="22"/>
      <c r="C359" s="22"/>
    </row>
    <row r="360" ht="14.25" customHeight="1">
      <c r="A360" s="21"/>
      <c r="B360" s="22"/>
      <c r="C360" s="22"/>
    </row>
    <row r="361" ht="14.25" customHeight="1">
      <c r="A361" s="21"/>
      <c r="B361" s="22"/>
      <c r="C361" s="22"/>
    </row>
    <row r="362" ht="14.25" customHeight="1">
      <c r="A362" s="21"/>
      <c r="B362" s="22"/>
      <c r="C362" s="22"/>
    </row>
    <row r="363" ht="14.25" customHeight="1">
      <c r="A363" s="21"/>
      <c r="B363" s="22"/>
      <c r="C363" s="22"/>
    </row>
    <row r="364" ht="14.25" customHeight="1">
      <c r="A364" s="21"/>
      <c r="B364" s="22"/>
      <c r="C364" s="22"/>
    </row>
    <row r="365" ht="14.25" customHeight="1">
      <c r="A365" s="21"/>
      <c r="B365" s="22"/>
      <c r="C365" s="22"/>
    </row>
    <row r="366" ht="14.25" customHeight="1">
      <c r="A366" s="21"/>
      <c r="B366" s="22"/>
      <c r="C366" s="22"/>
    </row>
    <row r="367" ht="14.25" customHeight="1">
      <c r="A367" s="21"/>
      <c r="B367" s="22"/>
      <c r="C367" s="22"/>
    </row>
    <row r="368" ht="14.25" customHeight="1">
      <c r="A368" s="21"/>
      <c r="B368" s="22"/>
      <c r="C368" s="22"/>
    </row>
    <row r="369" ht="14.25" customHeight="1">
      <c r="A369" s="21"/>
      <c r="B369" s="22"/>
      <c r="C369" s="22"/>
    </row>
    <row r="370" ht="14.25" customHeight="1">
      <c r="A370" s="21"/>
      <c r="B370" s="22"/>
      <c r="C370" s="22"/>
    </row>
    <row r="371" ht="14.25" customHeight="1">
      <c r="A371" s="21"/>
      <c r="B371" s="22"/>
      <c r="C371" s="22"/>
    </row>
    <row r="372" ht="14.25" customHeight="1">
      <c r="A372" s="21"/>
      <c r="B372" s="22"/>
      <c r="C372" s="22"/>
    </row>
    <row r="373" ht="14.25" customHeight="1">
      <c r="A373" s="21"/>
      <c r="B373" s="22"/>
      <c r="C373" s="22"/>
    </row>
    <row r="374" ht="14.25" customHeight="1">
      <c r="A374" s="21"/>
      <c r="B374" s="22"/>
      <c r="C374" s="22"/>
    </row>
    <row r="375" ht="14.25" customHeight="1">
      <c r="A375" s="21"/>
      <c r="B375" s="22"/>
      <c r="C375" s="22"/>
    </row>
    <row r="376" ht="14.25" customHeight="1">
      <c r="A376" s="21"/>
      <c r="B376" s="22"/>
      <c r="C376" s="22"/>
    </row>
    <row r="377" ht="14.25" customHeight="1">
      <c r="A377" s="21"/>
      <c r="B377" s="22"/>
      <c r="C377" s="22"/>
    </row>
    <row r="378" ht="14.25" customHeight="1">
      <c r="A378" s="21"/>
      <c r="B378" s="22"/>
      <c r="C378" s="22"/>
    </row>
    <row r="379" ht="14.25" customHeight="1">
      <c r="A379" s="21"/>
      <c r="B379" s="22"/>
      <c r="C379" s="22"/>
    </row>
    <row r="380" ht="14.25" customHeight="1">
      <c r="A380" s="21"/>
      <c r="B380" s="22"/>
      <c r="C380" s="22"/>
    </row>
    <row r="381" ht="14.25" customHeight="1">
      <c r="A381" s="21"/>
      <c r="B381" s="22"/>
      <c r="C381" s="22"/>
    </row>
    <row r="382" ht="14.25" customHeight="1">
      <c r="A382" s="21"/>
      <c r="B382" s="22"/>
      <c r="C382" s="22"/>
    </row>
    <row r="383" ht="14.25" customHeight="1">
      <c r="A383" s="21"/>
      <c r="B383" s="22"/>
      <c r="C383" s="22"/>
    </row>
    <row r="384" ht="14.25" customHeight="1">
      <c r="A384" s="21"/>
      <c r="B384" s="22"/>
      <c r="C384" s="22"/>
    </row>
    <row r="385" ht="14.25" customHeight="1">
      <c r="A385" s="21"/>
      <c r="B385" s="22"/>
      <c r="C385" s="22"/>
    </row>
    <row r="386" ht="14.25" customHeight="1">
      <c r="A386" s="21"/>
      <c r="B386" s="22"/>
      <c r="C386" s="22"/>
    </row>
    <row r="387" ht="14.25" customHeight="1">
      <c r="A387" s="21"/>
      <c r="B387" s="22"/>
      <c r="C387" s="22"/>
    </row>
    <row r="388" ht="14.25" customHeight="1">
      <c r="A388" s="21"/>
      <c r="B388" s="22"/>
      <c r="C388" s="22"/>
    </row>
    <row r="389" ht="14.25" customHeight="1">
      <c r="A389" s="21"/>
      <c r="B389" s="22"/>
      <c r="C389" s="22"/>
    </row>
    <row r="390" ht="14.25" customHeight="1">
      <c r="A390" s="21"/>
      <c r="B390" s="22"/>
      <c r="C390" s="22"/>
    </row>
    <row r="391" ht="14.25" customHeight="1">
      <c r="A391" s="21"/>
      <c r="B391" s="22"/>
      <c r="C391" s="22"/>
    </row>
    <row r="392" ht="14.25" customHeight="1">
      <c r="A392" s="21"/>
      <c r="B392" s="22"/>
      <c r="C392" s="22"/>
    </row>
    <row r="393" ht="14.25" customHeight="1">
      <c r="A393" s="21"/>
      <c r="B393" s="22"/>
      <c r="C393" s="22"/>
    </row>
    <row r="394" ht="14.25" customHeight="1">
      <c r="A394" s="21"/>
      <c r="B394" s="22"/>
      <c r="C394" s="22"/>
    </row>
    <row r="395" ht="14.25" customHeight="1">
      <c r="A395" s="21"/>
      <c r="B395" s="22"/>
      <c r="C395" s="22"/>
    </row>
    <row r="396" ht="14.25" customHeight="1">
      <c r="A396" s="21"/>
      <c r="B396" s="22"/>
      <c r="C396" s="22"/>
    </row>
    <row r="397" ht="14.25" customHeight="1">
      <c r="A397" s="21"/>
      <c r="B397" s="22"/>
      <c r="C397" s="22"/>
    </row>
    <row r="398" ht="14.25" customHeight="1">
      <c r="A398" s="21"/>
      <c r="B398" s="22"/>
      <c r="C398" s="22"/>
    </row>
    <row r="399" ht="14.25" customHeight="1">
      <c r="A399" s="21"/>
      <c r="B399" s="22"/>
      <c r="C399" s="22"/>
    </row>
    <row r="400" ht="14.25" customHeight="1">
      <c r="A400" s="21"/>
      <c r="B400" s="22"/>
      <c r="C400" s="22"/>
    </row>
    <row r="401" ht="14.25" customHeight="1">
      <c r="A401" s="21"/>
      <c r="B401" s="22"/>
      <c r="C401" s="22"/>
    </row>
    <row r="402" ht="14.25" customHeight="1">
      <c r="A402" s="21"/>
      <c r="B402" s="22"/>
      <c r="C402" s="22"/>
    </row>
    <row r="403" ht="14.25" customHeight="1">
      <c r="A403" s="21"/>
      <c r="B403" s="22"/>
      <c r="C403" s="22"/>
    </row>
    <row r="404" ht="14.25" customHeight="1">
      <c r="A404" s="21"/>
      <c r="B404" s="22"/>
      <c r="C404" s="22"/>
    </row>
    <row r="405" ht="14.25" customHeight="1">
      <c r="A405" s="21"/>
      <c r="B405" s="22"/>
      <c r="C405" s="22"/>
    </row>
    <row r="406" ht="14.25" customHeight="1">
      <c r="A406" s="21"/>
      <c r="B406" s="22"/>
      <c r="C406" s="22"/>
    </row>
    <row r="407" ht="14.25" customHeight="1">
      <c r="A407" s="21"/>
      <c r="B407" s="22"/>
      <c r="C407" s="22"/>
    </row>
    <row r="408" ht="14.25" customHeight="1">
      <c r="A408" s="21"/>
      <c r="B408" s="22"/>
      <c r="C408" s="22"/>
    </row>
    <row r="409" ht="14.25" customHeight="1">
      <c r="A409" s="21"/>
      <c r="B409" s="22"/>
      <c r="C409" s="22"/>
    </row>
    <row r="410" ht="14.25" customHeight="1">
      <c r="A410" s="21"/>
      <c r="B410" s="22"/>
      <c r="C410" s="22"/>
    </row>
    <row r="411" ht="14.25" customHeight="1">
      <c r="A411" s="21"/>
      <c r="B411" s="22"/>
      <c r="C411" s="22"/>
    </row>
    <row r="412" ht="14.25" customHeight="1">
      <c r="A412" s="21"/>
      <c r="B412" s="22"/>
      <c r="C412" s="22"/>
    </row>
    <row r="413" ht="14.25" customHeight="1">
      <c r="A413" s="21"/>
      <c r="B413" s="22"/>
      <c r="C413" s="22"/>
    </row>
    <row r="414" ht="14.25" customHeight="1">
      <c r="A414" s="21"/>
      <c r="B414" s="22"/>
      <c r="C414" s="22"/>
    </row>
    <row r="415" ht="14.25" customHeight="1">
      <c r="A415" s="21"/>
      <c r="B415" s="22"/>
      <c r="C415" s="22"/>
    </row>
    <row r="416" ht="14.25" customHeight="1">
      <c r="A416" s="21"/>
      <c r="B416" s="22"/>
      <c r="C416" s="22"/>
    </row>
    <row r="417" ht="14.25" customHeight="1">
      <c r="A417" s="21"/>
      <c r="B417" s="22"/>
      <c r="C417" s="22"/>
    </row>
    <row r="418" ht="14.25" customHeight="1">
      <c r="A418" s="21"/>
      <c r="B418" s="22"/>
      <c r="C418" s="22"/>
    </row>
    <row r="419" ht="14.25" customHeight="1">
      <c r="A419" s="21"/>
      <c r="B419" s="22"/>
      <c r="C419" s="22"/>
    </row>
    <row r="420" ht="14.25" customHeight="1">
      <c r="A420" s="21"/>
      <c r="B420" s="22"/>
      <c r="C420" s="22"/>
    </row>
    <row r="421" ht="14.25" customHeight="1">
      <c r="A421" s="21"/>
      <c r="B421" s="22"/>
      <c r="C421" s="22"/>
    </row>
    <row r="422" ht="14.25" customHeight="1">
      <c r="A422" s="21"/>
      <c r="B422" s="22"/>
      <c r="C422" s="22"/>
    </row>
    <row r="423" ht="14.25" customHeight="1">
      <c r="A423" s="21"/>
      <c r="B423" s="22"/>
      <c r="C423" s="22"/>
    </row>
    <row r="424" ht="14.25" customHeight="1">
      <c r="A424" s="21"/>
      <c r="B424" s="22"/>
      <c r="C424" s="22"/>
    </row>
    <row r="425" ht="14.25" customHeight="1">
      <c r="A425" s="21"/>
      <c r="B425" s="22"/>
      <c r="C425" s="22"/>
    </row>
    <row r="426" ht="14.25" customHeight="1">
      <c r="A426" s="21"/>
      <c r="B426" s="22"/>
      <c r="C426" s="22"/>
    </row>
    <row r="427" ht="14.25" customHeight="1">
      <c r="A427" s="21"/>
      <c r="B427" s="22"/>
      <c r="C427" s="22"/>
    </row>
    <row r="428" ht="14.25" customHeight="1">
      <c r="A428" s="21"/>
      <c r="B428" s="22"/>
      <c r="C428" s="22"/>
    </row>
    <row r="429" ht="14.25" customHeight="1">
      <c r="A429" s="21"/>
      <c r="B429" s="22"/>
      <c r="C429" s="22"/>
    </row>
    <row r="430" ht="14.25" customHeight="1">
      <c r="A430" s="21"/>
      <c r="B430" s="22"/>
      <c r="C430" s="22"/>
    </row>
    <row r="431" ht="14.25" customHeight="1">
      <c r="A431" s="21"/>
      <c r="B431" s="22"/>
      <c r="C431" s="22"/>
    </row>
    <row r="432" ht="14.25" customHeight="1">
      <c r="A432" s="21"/>
      <c r="B432" s="22"/>
      <c r="C432" s="22"/>
    </row>
    <row r="433" ht="14.25" customHeight="1">
      <c r="A433" s="21"/>
      <c r="B433" s="22"/>
      <c r="C433" s="22"/>
    </row>
    <row r="434" ht="14.25" customHeight="1">
      <c r="A434" s="21"/>
      <c r="B434" s="22"/>
      <c r="C434" s="22"/>
    </row>
    <row r="435" ht="14.25" customHeight="1">
      <c r="A435" s="21"/>
      <c r="B435" s="22"/>
      <c r="C435" s="22"/>
    </row>
    <row r="436" ht="14.25" customHeight="1">
      <c r="A436" s="21"/>
      <c r="B436" s="22"/>
      <c r="C436" s="22"/>
    </row>
    <row r="437" ht="14.25" customHeight="1">
      <c r="A437" s="21"/>
      <c r="B437" s="22"/>
      <c r="C437" s="22"/>
    </row>
    <row r="438" ht="14.25" customHeight="1">
      <c r="A438" s="21"/>
      <c r="B438" s="22"/>
      <c r="C438" s="22"/>
    </row>
    <row r="439" ht="14.25" customHeight="1">
      <c r="A439" s="21"/>
      <c r="B439" s="22"/>
      <c r="C439" s="22"/>
    </row>
    <row r="440" ht="14.25" customHeight="1">
      <c r="A440" s="21"/>
      <c r="B440" s="22"/>
      <c r="C440" s="22"/>
    </row>
    <row r="441" ht="14.25" customHeight="1">
      <c r="A441" s="21"/>
      <c r="B441" s="22"/>
      <c r="C441" s="22"/>
    </row>
    <row r="442" ht="14.25" customHeight="1">
      <c r="A442" s="21"/>
      <c r="B442" s="22"/>
      <c r="C442" s="22"/>
    </row>
    <row r="443" ht="14.25" customHeight="1">
      <c r="A443" s="21"/>
      <c r="B443" s="22"/>
      <c r="C443" s="22"/>
    </row>
    <row r="444" ht="14.25" customHeight="1">
      <c r="A444" s="21"/>
      <c r="B444" s="22"/>
      <c r="C444" s="22"/>
    </row>
    <row r="445" ht="14.25" customHeight="1">
      <c r="A445" s="21"/>
      <c r="B445" s="22"/>
      <c r="C445" s="22"/>
    </row>
    <row r="446" ht="14.25" customHeight="1">
      <c r="A446" s="21"/>
      <c r="B446" s="22"/>
      <c r="C446" s="22"/>
    </row>
    <row r="447" ht="14.25" customHeight="1">
      <c r="A447" s="21"/>
      <c r="B447" s="22"/>
      <c r="C447" s="22"/>
    </row>
    <row r="448" ht="14.25" customHeight="1">
      <c r="A448" s="21"/>
      <c r="B448" s="22"/>
      <c r="C448" s="22"/>
    </row>
    <row r="449" ht="14.25" customHeight="1">
      <c r="A449" s="21"/>
      <c r="B449" s="22"/>
      <c r="C449" s="22"/>
    </row>
    <row r="450" ht="14.25" customHeight="1">
      <c r="A450" s="21"/>
      <c r="B450" s="22"/>
      <c r="C450" s="22"/>
    </row>
    <row r="451" ht="14.25" customHeight="1">
      <c r="A451" s="21"/>
      <c r="B451" s="22"/>
      <c r="C451" s="22"/>
    </row>
    <row r="452" ht="14.25" customHeight="1">
      <c r="A452" s="21"/>
      <c r="B452" s="22"/>
      <c r="C452" s="22"/>
    </row>
    <row r="453" ht="14.25" customHeight="1">
      <c r="A453" s="21"/>
      <c r="B453" s="22"/>
      <c r="C453" s="22"/>
    </row>
    <row r="454" ht="14.25" customHeight="1">
      <c r="A454" s="21"/>
      <c r="B454" s="22"/>
      <c r="C454" s="22"/>
    </row>
    <row r="455" ht="14.25" customHeight="1">
      <c r="A455" s="21"/>
      <c r="B455" s="22"/>
      <c r="C455" s="22"/>
    </row>
    <row r="456" ht="14.25" customHeight="1">
      <c r="A456" s="21"/>
      <c r="B456" s="22"/>
      <c r="C456" s="22"/>
    </row>
    <row r="457" ht="14.25" customHeight="1">
      <c r="A457" s="21"/>
      <c r="B457" s="22"/>
      <c r="C457" s="22"/>
    </row>
    <row r="458" ht="14.25" customHeight="1">
      <c r="A458" s="21"/>
      <c r="B458" s="22"/>
      <c r="C458" s="22"/>
    </row>
    <row r="459" ht="14.25" customHeight="1">
      <c r="A459" s="21"/>
      <c r="B459" s="22"/>
      <c r="C459" s="22"/>
    </row>
    <row r="460" ht="14.25" customHeight="1">
      <c r="A460" s="21"/>
      <c r="B460" s="22"/>
      <c r="C460" s="22"/>
    </row>
    <row r="461" ht="14.25" customHeight="1">
      <c r="A461" s="21"/>
      <c r="B461" s="22"/>
      <c r="C461" s="22"/>
    </row>
    <row r="462" ht="14.25" customHeight="1">
      <c r="A462" s="21"/>
      <c r="B462" s="22"/>
      <c r="C462" s="22"/>
    </row>
    <row r="463" ht="14.25" customHeight="1">
      <c r="A463" s="21"/>
      <c r="B463" s="22"/>
      <c r="C463" s="22"/>
    </row>
    <row r="464" ht="14.25" customHeight="1">
      <c r="A464" s="21"/>
      <c r="B464" s="22"/>
      <c r="C464" s="22"/>
    </row>
    <row r="465" ht="14.25" customHeight="1">
      <c r="A465" s="21"/>
      <c r="B465" s="22"/>
      <c r="C465" s="22"/>
    </row>
    <row r="466" ht="14.25" customHeight="1">
      <c r="A466" s="21"/>
      <c r="B466" s="22"/>
      <c r="C466" s="22"/>
    </row>
    <row r="467" ht="14.25" customHeight="1">
      <c r="A467" s="21"/>
      <c r="B467" s="22"/>
      <c r="C467" s="22"/>
    </row>
    <row r="468" ht="14.25" customHeight="1">
      <c r="A468" s="21"/>
      <c r="B468" s="22"/>
      <c r="C468" s="22"/>
    </row>
    <row r="469" ht="14.25" customHeight="1">
      <c r="A469" s="21"/>
      <c r="B469" s="22"/>
      <c r="C469" s="22"/>
    </row>
    <row r="470" ht="14.25" customHeight="1">
      <c r="A470" s="21"/>
      <c r="B470" s="22"/>
      <c r="C470" s="22"/>
    </row>
    <row r="471" ht="14.25" customHeight="1">
      <c r="A471" s="21"/>
      <c r="B471" s="22"/>
      <c r="C471" s="22"/>
    </row>
    <row r="472" ht="14.25" customHeight="1">
      <c r="A472" s="21"/>
      <c r="B472" s="22"/>
      <c r="C472" s="22"/>
    </row>
    <row r="473" ht="14.25" customHeight="1">
      <c r="A473" s="21"/>
      <c r="B473" s="22"/>
      <c r="C473" s="22"/>
    </row>
    <row r="474" ht="14.25" customHeight="1">
      <c r="A474" s="21"/>
      <c r="B474" s="22"/>
      <c r="C474" s="22"/>
    </row>
    <row r="475" ht="14.25" customHeight="1">
      <c r="A475" s="21"/>
      <c r="B475" s="22"/>
      <c r="C475" s="22"/>
    </row>
    <row r="476" ht="14.25" customHeight="1">
      <c r="A476" s="21"/>
      <c r="B476" s="22"/>
      <c r="C476" s="22"/>
    </row>
    <row r="477" ht="14.25" customHeight="1">
      <c r="A477" s="21"/>
      <c r="B477" s="22"/>
      <c r="C477" s="22"/>
    </row>
    <row r="478" ht="14.25" customHeight="1">
      <c r="A478" s="21"/>
      <c r="B478" s="22"/>
      <c r="C478" s="22"/>
    </row>
    <row r="479" ht="14.25" customHeight="1">
      <c r="A479" s="21"/>
      <c r="B479" s="22"/>
      <c r="C479" s="22"/>
    </row>
    <row r="480" ht="14.25" customHeight="1">
      <c r="A480" s="21"/>
      <c r="B480" s="22"/>
      <c r="C480" s="22"/>
    </row>
    <row r="481" ht="14.25" customHeight="1">
      <c r="A481" s="21"/>
      <c r="B481" s="22"/>
      <c r="C481" s="22"/>
    </row>
    <row r="482" ht="14.25" customHeight="1">
      <c r="A482" s="21"/>
      <c r="B482" s="22"/>
      <c r="C482" s="22"/>
    </row>
    <row r="483" ht="14.25" customHeight="1">
      <c r="A483" s="21"/>
      <c r="B483" s="22"/>
      <c r="C483" s="22"/>
    </row>
    <row r="484" ht="14.25" customHeight="1">
      <c r="A484" s="21"/>
      <c r="B484" s="22"/>
      <c r="C484" s="22"/>
    </row>
    <row r="485" ht="14.25" customHeight="1">
      <c r="A485" s="21"/>
      <c r="B485" s="22"/>
      <c r="C485" s="22"/>
    </row>
    <row r="486" ht="14.25" customHeight="1">
      <c r="A486" s="21"/>
      <c r="B486" s="22"/>
      <c r="C486" s="22"/>
    </row>
    <row r="487" ht="14.25" customHeight="1">
      <c r="A487" s="21"/>
      <c r="B487" s="22"/>
      <c r="C487" s="22"/>
    </row>
    <row r="488" ht="14.25" customHeight="1">
      <c r="A488" s="21"/>
      <c r="B488" s="22"/>
      <c r="C488" s="22"/>
    </row>
    <row r="489" ht="14.25" customHeight="1">
      <c r="A489" s="21"/>
      <c r="B489" s="22"/>
      <c r="C489" s="22"/>
    </row>
    <row r="490" ht="14.25" customHeight="1">
      <c r="A490" s="21"/>
      <c r="B490" s="22"/>
      <c r="C490" s="22"/>
    </row>
    <row r="491" ht="14.25" customHeight="1">
      <c r="A491" s="21"/>
      <c r="B491" s="22"/>
      <c r="C491" s="22"/>
    </row>
    <row r="492" ht="14.25" customHeight="1">
      <c r="A492" s="21"/>
      <c r="B492" s="22"/>
      <c r="C492" s="22"/>
    </row>
    <row r="493" ht="14.25" customHeight="1">
      <c r="A493" s="21"/>
      <c r="B493" s="22"/>
      <c r="C493" s="22"/>
    </row>
    <row r="494" ht="14.25" customHeight="1">
      <c r="A494" s="21"/>
      <c r="B494" s="22"/>
      <c r="C494" s="22"/>
    </row>
    <row r="495" ht="14.25" customHeight="1">
      <c r="A495" s="21"/>
      <c r="B495" s="22"/>
      <c r="C495" s="22"/>
    </row>
    <row r="496" ht="14.25" customHeight="1">
      <c r="A496" s="21"/>
      <c r="B496" s="22"/>
      <c r="C496" s="22"/>
    </row>
    <row r="497" ht="14.25" customHeight="1">
      <c r="A497" s="21"/>
      <c r="B497" s="22"/>
      <c r="C497" s="22"/>
    </row>
    <row r="498" ht="14.25" customHeight="1">
      <c r="A498" s="21"/>
      <c r="B498" s="22"/>
      <c r="C498" s="22"/>
    </row>
    <row r="499" ht="14.25" customHeight="1">
      <c r="A499" s="21"/>
      <c r="B499" s="22"/>
      <c r="C499" s="22"/>
    </row>
    <row r="500" ht="14.25" customHeight="1">
      <c r="A500" s="21"/>
      <c r="B500" s="22"/>
      <c r="C500" s="22"/>
    </row>
    <row r="501" ht="14.25" customHeight="1">
      <c r="A501" s="21"/>
      <c r="B501" s="22"/>
      <c r="C501" s="22"/>
    </row>
    <row r="502" ht="14.25" customHeight="1">
      <c r="A502" s="21"/>
      <c r="B502" s="22"/>
      <c r="C502" s="22"/>
    </row>
    <row r="503" ht="14.25" customHeight="1">
      <c r="A503" s="21"/>
      <c r="B503" s="22"/>
      <c r="C503" s="22"/>
    </row>
    <row r="504" ht="14.25" customHeight="1">
      <c r="A504" s="21"/>
      <c r="B504" s="22"/>
      <c r="C504" s="22"/>
    </row>
    <row r="505" ht="14.25" customHeight="1">
      <c r="A505" s="21"/>
      <c r="B505" s="22"/>
      <c r="C505" s="22"/>
    </row>
    <row r="506" ht="14.25" customHeight="1">
      <c r="A506" s="21"/>
      <c r="B506" s="22"/>
      <c r="C506" s="22"/>
    </row>
    <row r="507" ht="14.25" customHeight="1">
      <c r="A507" s="21"/>
      <c r="B507" s="22"/>
      <c r="C507" s="22"/>
    </row>
    <row r="508" ht="14.25" customHeight="1">
      <c r="A508" s="21"/>
      <c r="B508" s="22"/>
      <c r="C508" s="22"/>
    </row>
    <row r="509" ht="14.25" customHeight="1">
      <c r="A509" s="21"/>
      <c r="B509" s="22"/>
      <c r="C509" s="22"/>
    </row>
    <row r="510" ht="14.25" customHeight="1">
      <c r="A510" s="21"/>
      <c r="B510" s="22"/>
      <c r="C510" s="22"/>
    </row>
    <row r="511" ht="14.25" customHeight="1">
      <c r="A511" s="21"/>
      <c r="B511" s="22"/>
      <c r="C511" s="22"/>
    </row>
    <row r="512" ht="14.25" customHeight="1">
      <c r="A512" s="21"/>
      <c r="B512" s="22"/>
      <c r="C512" s="22"/>
    </row>
    <row r="513" ht="14.25" customHeight="1">
      <c r="A513" s="21"/>
      <c r="B513" s="22"/>
      <c r="C513" s="22"/>
    </row>
    <row r="514" ht="14.25" customHeight="1">
      <c r="A514" s="21"/>
      <c r="B514" s="22"/>
      <c r="C514" s="22"/>
    </row>
    <row r="515" ht="14.25" customHeight="1">
      <c r="A515" s="21"/>
      <c r="B515" s="22"/>
      <c r="C515" s="22"/>
    </row>
    <row r="516" ht="14.25" customHeight="1">
      <c r="A516" s="21"/>
      <c r="B516" s="22"/>
      <c r="C516" s="22"/>
    </row>
    <row r="517" ht="14.25" customHeight="1">
      <c r="A517" s="21"/>
      <c r="B517" s="22"/>
      <c r="C517" s="22"/>
    </row>
    <row r="518" ht="14.25" customHeight="1">
      <c r="A518" s="21"/>
      <c r="B518" s="22"/>
      <c r="C518" s="22"/>
    </row>
    <row r="519" ht="14.25" customHeight="1">
      <c r="A519" s="21"/>
      <c r="B519" s="22"/>
      <c r="C519" s="22"/>
    </row>
    <row r="520" ht="14.25" customHeight="1">
      <c r="A520" s="21"/>
      <c r="B520" s="22"/>
      <c r="C520" s="22"/>
    </row>
    <row r="521" ht="14.25" customHeight="1">
      <c r="A521" s="21"/>
      <c r="B521" s="22"/>
      <c r="C521" s="22"/>
    </row>
    <row r="522" ht="14.25" customHeight="1">
      <c r="A522" s="21"/>
      <c r="B522" s="22"/>
      <c r="C522" s="22"/>
    </row>
    <row r="523" ht="14.25" customHeight="1">
      <c r="A523" s="21"/>
      <c r="B523" s="22"/>
      <c r="C523" s="22"/>
    </row>
    <row r="524" ht="14.25" customHeight="1">
      <c r="A524" s="21"/>
      <c r="B524" s="22"/>
      <c r="C524" s="22"/>
    </row>
    <row r="525" ht="14.25" customHeight="1">
      <c r="A525" s="21"/>
      <c r="B525" s="22"/>
      <c r="C525" s="22"/>
    </row>
    <row r="526" ht="14.25" customHeight="1">
      <c r="A526" s="21"/>
      <c r="B526" s="22"/>
      <c r="C526" s="22"/>
    </row>
    <row r="527" ht="14.25" customHeight="1">
      <c r="A527" s="21"/>
      <c r="B527" s="22"/>
      <c r="C527" s="22"/>
    </row>
    <row r="528" ht="14.25" customHeight="1">
      <c r="A528" s="21"/>
      <c r="B528" s="22"/>
      <c r="C528" s="22"/>
    </row>
    <row r="529" ht="14.25" customHeight="1">
      <c r="A529" s="21"/>
      <c r="B529" s="22"/>
      <c r="C529" s="22"/>
    </row>
    <row r="530" ht="14.25" customHeight="1">
      <c r="A530" s="21"/>
      <c r="B530" s="22"/>
      <c r="C530" s="22"/>
    </row>
    <row r="531" ht="14.25" customHeight="1">
      <c r="A531" s="21"/>
      <c r="B531" s="22"/>
      <c r="C531" s="22"/>
    </row>
    <row r="532" ht="14.25" customHeight="1">
      <c r="A532" s="21"/>
      <c r="B532" s="22"/>
      <c r="C532" s="22"/>
    </row>
    <row r="533" ht="14.25" customHeight="1">
      <c r="A533" s="21"/>
      <c r="B533" s="22"/>
      <c r="C533" s="22"/>
    </row>
    <row r="534" ht="14.25" customHeight="1">
      <c r="A534" s="21"/>
      <c r="B534" s="22"/>
      <c r="C534" s="22"/>
    </row>
    <row r="535" ht="14.25" customHeight="1">
      <c r="A535" s="21"/>
      <c r="B535" s="22"/>
      <c r="C535" s="22"/>
    </row>
    <row r="536" ht="14.25" customHeight="1">
      <c r="A536" s="21"/>
      <c r="B536" s="22"/>
      <c r="C536" s="22"/>
    </row>
    <row r="537" ht="14.25" customHeight="1">
      <c r="A537" s="21"/>
      <c r="B537" s="22"/>
      <c r="C537" s="22"/>
    </row>
    <row r="538" ht="14.25" customHeight="1">
      <c r="A538" s="21"/>
      <c r="B538" s="22"/>
      <c r="C538" s="22"/>
    </row>
    <row r="539" ht="14.25" customHeight="1">
      <c r="A539" s="21"/>
      <c r="B539" s="22"/>
      <c r="C539" s="22"/>
    </row>
    <row r="540" ht="14.25" customHeight="1">
      <c r="A540" s="21"/>
      <c r="B540" s="22"/>
      <c r="C540" s="22"/>
    </row>
    <row r="541" ht="14.25" customHeight="1">
      <c r="A541" s="21"/>
      <c r="B541" s="22"/>
      <c r="C541" s="22"/>
    </row>
    <row r="542" ht="14.25" customHeight="1">
      <c r="A542" s="21"/>
      <c r="B542" s="22"/>
      <c r="C542" s="22"/>
    </row>
    <row r="543" ht="14.25" customHeight="1">
      <c r="A543" s="21"/>
      <c r="B543" s="22"/>
      <c r="C543" s="22"/>
    </row>
    <row r="544" ht="14.25" customHeight="1">
      <c r="A544" s="21"/>
      <c r="B544" s="22"/>
      <c r="C544" s="22"/>
    </row>
    <row r="545" ht="14.25" customHeight="1">
      <c r="A545" s="21"/>
      <c r="B545" s="22"/>
      <c r="C545" s="22"/>
    </row>
    <row r="546" ht="14.25" customHeight="1">
      <c r="A546" s="21"/>
      <c r="B546" s="22"/>
      <c r="C546" s="22"/>
    </row>
    <row r="547" ht="14.25" customHeight="1">
      <c r="A547" s="21"/>
      <c r="B547" s="22"/>
      <c r="C547" s="22"/>
    </row>
    <row r="548" ht="14.25" customHeight="1">
      <c r="A548" s="21"/>
      <c r="B548" s="22"/>
      <c r="C548" s="22"/>
    </row>
    <row r="549" ht="14.25" customHeight="1">
      <c r="A549" s="21"/>
      <c r="B549" s="22"/>
      <c r="C549" s="22"/>
    </row>
    <row r="550" ht="14.25" customHeight="1">
      <c r="A550" s="21"/>
      <c r="B550" s="22"/>
      <c r="C550" s="22"/>
    </row>
    <row r="551" ht="14.25" customHeight="1">
      <c r="A551" s="21"/>
      <c r="B551" s="22"/>
      <c r="C551" s="22"/>
    </row>
    <row r="552" ht="14.25" customHeight="1">
      <c r="A552" s="21"/>
      <c r="B552" s="22"/>
      <c r="C552" s="22"/>
    </row>
    <row r="553" ht="14.25" customHeight="1">
      <c r="A553" s="21"/>
      <c r="B553" s="22"/>
      <c r="C553" s="22"/>
    </row>
    <row r="554" ht="14.25" customHeight="1">
      <c r="A554" s="21"/>
      <c r="B554" s="22"/>
      <c r="C554" s="22"/>
    </row>
    <row r="555" ht="14.25" customHeight="1">
      <c r="A555" s="21"/>
      <c r="B555" s="22"/>
      <c r="C555" s="22"/>
    </row>
    <row r="556" ht="14.25" customHeight="1">
      <c r="A556" s="21"/>
      <c r="B556" s="22"/>
      <c r="C556" s="22"/>
    </row>
    <row r="557" ht="14.25" customHeight="1">
      <c r="A557" s="21"/>
      <c r="B557" s="22"/>
      <c r="C557" s="22"/>
    </row>
    <row r="558" ht="14.25" customHeight="1">
      <c r="A558" s="21"/>
      <c r="B558" s="22"/>
      <c r="C558" s="22"/>
    </row>
    <row r="559" ht="14.25" customHeight="1">
      <c r="A559" s="21"/>
      <c r="B559" s="22"/>
      <c r="C559" s="22"/>
    </row>
    <row r="560" ht="14.25" customHeight="1">
      <c r="A560" s="21"/>
      <c r="B560" s="22"/>
      <c r="C560" s="22"/>
    </row>
    <row r="561" ht="14.25" customHeight="1">
      <c r="A561" s="21"/>
      <c r="B561" s="22"/>
      <c r="C561" s="22"/>
    </row>
    <row r="562" ht="14.25" customHeight="1">
      <c r="A562" s="21"/>
      <c r="B562" s="22"/>
      <c r="C562" s="22"/>
    </row>
    <row r="563" ht="14.25" customHeight="1">
      <c r="A563" s="21"/>
      <c r="B563" s="22"/>
      <c r="C563" s="22"/>
    </row>
    <row r="564" ht="14.25" customHeight="1">
      <c r="A564" s="21"/>
      <c r="B564" s="22"/>
      <c r="C564" s="22"/>
    </row>
    <row r="565" ht="14.25" customHeight="1">
      <c r="A565" s="21"/>
      <c r="B565" s="22"/>
      <c r="C565" s="22"/>
    </row>
    <row r="566" ht="14.25" customHeight="1">
      <c r="A566" s="21"/>
      <c r="B566" s="22"/>
      <c r="C566" s="22"/>
    </row>
    <row r="567" ht="14.25" customHeight="1">
      <c r="A567" s="21"/>
      <c r="B567" s="22"/>
      <c r="C567" s="22"/>
    </row>
    <row r="568" ht="14.25" customHeight="1">
      <c r="A568" s="21"/>
      <c r="B568" s="22"/>
      <c r="C568" s="22"/>
    </row>
    <row r="569" ht="14.25" customHeight="1">
      <c r="A569" s="21"/>
      <c r="B569" s="22"/>
      <c r="C569" s="22"/>
    </row>
    <row r="570" ht="14.25" customHeight="1">
      <c r="A570" s="21"/>
      <c r="B570" s="22"/>
      <c r="C570" s="22"/>
    </row>
    <row r="571" ht="14.25" customHeight="1">
      <c r="A571" s="21"/>
      <c r="B571" s="22"/>
      <c r="C571" s="22"/>
    </row>
    <row r="572" ht="14.25" customHeight="1">
      <c r="A572" s="21"/>
      <c r="B572" s="22"/>
      <c r="C572" s="22"/>
    </row>
    <row r="573" ht="14.25" customHeight="1">
      <c r="A573" s="21"/>
      <c r="B573" s="22"/>
      <c r="C573" s="22"/>
    </row>
    <row r="574" ht="14.25" customHeight="1">
      <c r="A574" s="21"/>
      <c r="B574" s="22"/>
      <c r="C574" s="22"/>
    </row>
    <row r="575" ht="14.25" customHeight="1">
      <c r="A575" s="21"/>
      <c r="B575" s="22"/>
      <c r="C575" s="22"/>
    </row>
    <row r="576" ht="14.25" customHeight="1">
      <c r="A576" s="21"/>
      <c r="B576" s="22"/>
      <c r="C576" s="22"/>
    </row>
    <row r="577" ht="14.25" customHeight="1">
      <c r="A577" s="21"/>
      <c r="B577" s="22"/>
      <c r="C577" s="22"/>
    </row>
    <row r="578" ht="14.25" customHeight="1">
      <c r="A578" s="21"/>
      <c r="B578" s="22"/>
      <c r="C578" s="22"/>
    </row>
    <row r="579" ht="14.25" customHeight="1">
      <c r="A579" s="21"/>
      <c r="B579" s="22"/>
      <c r="C579" s="22"/>
    </row>
    <row r="580" ht="14.25" customHeight="1">
      <c r="A580" s="21"/>
      <c r="B580" s="22"/>
      <c r="C580" s="22"/>
    </row>
    <row r="581" ht="14.25" customHeight="1">
      <c r="A581" s="21"/>
      <c r="B581" s="22"/>
      <c r="C581" s="22"/>
    </row>
    <row r="582" ht="14.25" customHeight="1">
      <c r="A582" s="21"/>
      <c r="B582" s="22"/>
      <c r="C582" s="22"/>
    </row>
    <row r="583" ht="14.25" customHeight="1">
      <c r="A583" s="21"/>
      <c r="B583" s="22"/>
      <c r="C583" s="22"/>
    </row>
    <row r="584" ht="14.25" customHeight="1">
      <c r="A584" s="21"/>
      <c r="B584" s="22"/>
      <c r="C584" s="22"/>
    </row>
    <row r="585" ht="14.25" customHeight="1">
      <c r="A585" s="21"/>
      <c r="B585" s="22"/>
      <c r="C585" s="22"/>
    </row>
    <row r="586" ht="14.25" customHeight="1">
      <c r="A586" s="21"/>
      <c r="B586" s="22"/>
      <c r="C586" s="22"/>
    </row>
    <row r="587" ht="14.25" customHeight="1">
      <c r="A587" s="21"/>
      <c r="B587" s="22"/>
      <c r="C587" s="22"/>
    </row>
    <row r="588" ht="14.25" customHeight="1">
      <c r="A588" s="21"/>
      <c r="B588" s="22"/>
      <c r="C588" s="22"/>
    </row>
    <row r="589" ht="14.25" customHeight="1">
      <c r="A589" s="21"/>
      <c r="B589" s="22"/>
      <c r="C589" s="22"/>
    </row>
    <row r="590" ht="14.25" customHeight="1">
      <c r="A590" s="21"/>
      <c r="B590" s="22"/>
      <c r="C590" s="22"/>
    </row>
    <row r="591" ht="14.25" customHeight="1">
      <c r="A591" s="21"/>
      <c r="B591" s="22"/>
      <c r="C591" s="22"/>
    </row>
    <row r="592" ht="14.25" customHeight="1">
      <c r="A592" s="21"/>
      <c r="B592" s="22"/>
      <c r="C592" s="22"/>
    </row>
    <row r="593" ht="14.25" customHeight="1">
      <c r="A593" s="21"/>
      <c r="B593" s="22"/>
      <c r="C593" s="22"/>
    </row>
    <row r="594" ht="14.25" customHeight="1">
      <c r="A594" s="21"/>
      <c r="B594" s="22"/>
      <c r="C594" s="22"/>
    </row>
    <row r="595" ht="14.25" customHeight="1">
      <c r="A595" s="21"/>
      <c r="B595" s="22"/>
      <c r="C595" s="22"/>
    </row>
    <row r="596" ht="14.25" customHeight="1">
      <c r="A596" s="21"/>
      <c r="B596" s="22"/>
      <c r="C596" s="22"/>
    </row>
    <row r="597" ht="14.25" customHeight="1">
      <c r="A597" s="21"/>
      <c r="B597" s="22"/>
      <c r="C597" s="22"/>
    </row>
    <row r="598" ht="14.25" customHeight="1">
      <c r="A598" s="21"/>
      <c r="B598" s="22"/>
      <c r="C598" s="22"/>
    </row>
    <row r="599" ht="14.25" customHeight="1">
      <c r="A599" s="21"/>
      <c r="B599" s="22"/>
      <c r="C599" s="22"/>
    </row>
    <row r="600" ht="14.25" customHeight="1">
      <c r="A600" s="21"/>
      <c r="B600" s="22"/>
      <c r="C600" s="22"/>
    </row>
    <row r="601" ht="14.25" customHeight="1">
      <c r="A601" s="21"/>
      <c r="B601" s="22"/>
      <c r="C601" s="22"/>
    </row>
    <row r="602" ht="14.25" customHeight="1">
      <c r="A602" s="21"/>
      <c r="B602" s="22"/>
      <c r="C602" s="22"/>
    </row>
    <row r="603" ht="14.25" customHeight="1">
      <c r="A603" s="21"/>
      <c r="B603" s="22"/>
      <c r="C603" s="22"/>
    </row>
    <row r="604" ht="14.25" customHeight="1">
      <c r="A604" s="21"/>
      <c r="B604" s="22"/>
      <c r="C604" s="22"/>
    </row>
    <row r="605" ht="14.25" customHeight="1">
      <c r="A605" s="21"/>
      <c r="B605" s="22"/>
      <c r="C605" s="22"/>
    </row>
    <row r="606" ht="14.25" customHeight="1">
      <c r="A606" s="21"/>
      <c r="B606" s="22"/>
      <c r="C606" s="22"/>
    </row>
    <row r="607" ht="14.25" customHeight="1">
      <c r="A607" s="21"/>
      <c r="B607" s="22"/>
      <c r="C607" s="22"/>
    </row>
    <row r="608" ht="14.25" customHeight="1">
      <c r="A608" s="21"/>
      <c r="B608" s="22"/>
      <c r="C608" s="22"/>
    </row>
    <row r="609" ht="14.25" customHeight="1">
      <c r="A609" s="21"/>
      <c r="B609" s="22"/>
      <c r="C609" s="22"/>
    </row>
    <row r="610" ht="14.25" customHeight="1">
      <c r="A610" s="21"/>
      <c r="B610" s="22"/>
      <c r="C610" s="22"/>
    </row>
    <row r="611" ht="14.25" customHeight="1">
      <c r="A611" s="21"/>
      <c r="B611" s="22"/>
      <c r="C611" s="22"/>
    </row>
    <row r="612" ht="14.25" customHeight="1">
      <c r="A612" s="21"/>
      <c r="B612" s="22"/>
      <c r="C612" s="22"/>
    </row>
    <row r="613" ht="14.25" customHeight="1">
      <c r="A613" s="21"/>
      <c r="B613" s="22"/>
      <c r="C613" s="22"/>
    </row>
    <row r="614" ht="14.25" customHeight="1">
      <c r="A614" s="21"/>
      <c r="B614" s="22"/>
      <c r="C614" s="22"/>
    </row>
    <row r="615" ht="14.25" customHeight="1">
      <c r="A615" s="21"/>
      <c r="B615" s="22"/>
      <c r="C615" s="22"/>
    </row>
    <row r="616" ht="14.25" customHeight="1">
      <c r="A616" s="21"/>
      <c r="B616" s="22"/>
      <c r="C616" s="22"/>
    </row>
    <row r="617" ht="14.25" customHeight="1">
      <c r="A617" s="21"/>
      <c r="B617" s="22"/>
      <c r="C617" s="22"/>
    </row>
    <row r="618" ht="14.25" customHeight="1">
      <c r="A618" s="21"/>
      <c r="B618" s="22"/>
      <c r="C618" s="22"/>
    </row>
    <row r="619" ht="14.25" customHeight="1">
      <c r="A619" s="21"/>
      <c r="B619" s="22"/>
      <c r="C619" s="22"/>
    </row>
    <row r="620" ht="14.25" customHeight="1">
      <c r="A620" s="21"/>
      <c r="B620" s="22"/>
      <c r="C620" s="22"/>
    </row>
    <row r="621" ht="14.25" customHeight="1">
      <c r="A621" s="21"/>
      <c r="B621" s="22"/>
      <c r="C621" s="22"/>
    </row>
    <row r="622" ht="14.25" customHeight="1">
      <c r="A622" s="21"/>
      <c r="B622" s="22"/>
      <c r="C622" s="22"/>
    </row>
    <row r="623" ht="14.25" customHeight="1">
      <c r="A623" s="21"/>
      <c r="B623" s="22"/>
      <c r="C623" s="22"/>
    </row>
    <row r="624" ht="14.25" customHeight="1">
      <c r="A624" s="21"/>
      <c r="B624" s="22"/>
      <c r="C624" s="22"/>
    </row>
    <row r="625" ht="14.25" customHeight="1">
      <c r="A625" s="21"/>
      <c r="B625" s="22"/>
      <c r="C625" s="22"/>
    </row>
    <row r="626" ht="14.25" customHeight="1">
      <c r="A626" s="21"/>
      <c r="B626" s="22"/>
      <c r="C626" s="22"/>
    </row>
    <row r="627" ht="14.25" customHeight="1">
      <c r="A627" s="21"/>
      <c r="B627" s="22"/>
      <c r="C627" s="22"/>
    </row>
    <row r="628" ht="14.25" customHeight="1">
      <c r="A628" s="21"/>
      <c r="B628" s="22"/>
      <c r="C628" s="22"/>
    </row>
    <row r="629" ht="14.25" customHeight="1">
      <c r="A629" s="21"/>
      <c r="B629" s="22"/>
      <c r="C629" s="22"/>
    </row>
    <row r="630" ht="14.25" customHeight="1">
      <c r="A630" s="21"/>
      <c r="B630" s="22"/>
      <c r="C630" s="22"/>
    </row>
    <row r="631" ht="14.25" customHeight="1">
      <c r="A631" s="21"/>
      <c r="B631" s="22"/>
      <c r="C631" s="22"/>
    </row>
    <row r="632" ht="14.25" customHeight="1">
      <c r="A632" s="21"/>
      <c r="B632" s="22"/>
      <c r="C632" s="22"/>
    </row>
    <row r="633" ht="14.25" customHeight="1">
      <c r="A633" s="21"/>
      <c r="B633" s="22"/>
      <c r="C633" s="22"/>
    </row>
    <row r="634" ht="14.25" customHeight="1">
      <c r="A634" s="21"/>
      <c r="B634" s="22"/>
      <c r="C634" s="22"/>
    </row>
    <row r="635" ht="14.25" customHeight="1">
      <c r="A635" s="21"/>
      <c r="B635" s="22"/>
      <c r="C635" s="22"/>
    </row>
    <row r="636" ht="14.25" customHeight="1">
      <c r="A636" s="21"/>
      <c r="B636" s="22"/>
      <c r="C636" s="22"/>
    </row>
    <row r="637" ht="14.25" customHeight="1">
      <c r="A637" s="21"/>
      <c r="B637" s="22"/>
      <c r="C637" s="22"/>
    </row>
    <row r="638" ht="14.25" customHeight="1">
      <c r="A638" s="21"/>
      <c r="B638" s="22"/>
      <c r="C638" s="22"/>
    </row>
    <row r="639" ht="14.25" customHeight="1">
      <c r="A639" s="21"/>
      <c r="B639" s="22"/>
      <c r="C639" s="22"/>
    </row>
    <row r="640" ht="14.25" customHeight="1">
      <c r="A640" s="21"/>
      <c r="B640" s="22"/>
      <c r="C640" s="22"/>
    </row>
    <row r="641" ht="14.25" customHeight="1">
      <c r="A641" s="21"/>
      <c r="B641" s="22"/>
      <c r="C641" s="22"/>
    </row>
    <row r="642" ht="14.25" customHeight="1">
      <c r="A642" s="21"/>
      <c r="B642" s="22"/>
      <c r="C642" s="22"/>
    </row>
    <row r="643" ht="14.25" customHeight="1">
      <c r="A643" s="21"/>
      <c r="B643" s="22"/>
      <c r="C643" s="22"/>
    </row>
    <row r="644" ht="14.25" customHeight="1">
      <c r="A644" s="21"/>
      <c r="B644" s="22"/>
      <c r="C644" s="22"/>
    </row>
    <row r="645" ht="14.25" customHeight="1">
      <c r="A645" s="21"/>
      <c r="B645" s="22"/>
      <c r="C645" s="22"/>
    </row>
    <row r="646" ht="14.25" customHeight="1">
      <c r="A646" s="21"/>
      <c r="B646" s="22"/>
      <c r="C646" s="22"/>
    </row>
    <row r="647" ht="14.25" customHeight="1">
      <c r="A647" s="21"/>
      <c r="B647" s="22"/>
      <c r="C647" s="22"/>
    </row>
    <row r="648" ht="14.25" customHeight="1">
      <c r="A648" s="21"/>
      <c r="B648" s="22"/>
      <c r="C648" s="22"/>
    </row>
    <row r="649" ht="14.25" customHeight="1">
      <c r="A649" s="21"/>
      <c r="B649" s="22"/>
      <c r="C649" s="22"/>
    </row>
    <row r="650" ht="14.25" customHeight="1">
      <c r="A650" s="21"/>
      <c r="B650" s="22"/>
      <c r="C650" s="22"/>
    </row>
    <row r="651" ht="14.25" customHeight="1">
      <c r="A651" s="21"/>
      <c r="B651" s="22"/>
      <c r="C651" s="22"/>
    </row>
    <row r="652" ht="14.25" customHeight="1">
      <c r="A652" s="21"/>
      <c r="B652" s="22"/>
      <c r="C652" s="22"/>
    </row>
    <row r="653" ht="14.25" customHeight="1">
      <c r="A653" s="21"/>
      <c r="B653" s="22"/>
      <c r="C653" s="22"/>
    </row>
    <row r="654" ht="14.25" customHeight="1">
      <c r="A654" s="21"/>
      <c r="B654" s="22"/>
      <c r="C654" s="22"/>
    </row>
    <row r="655" ht="14.25" customHeight="1">
      <c r="A655" s="21"/>
      <c r="B655" s="22"/>
      <c r="C655" s="22"/>
    </row>
    <row r="656" ht="14.25" customHeight="1">
      <c r="A656" s="21"/>
      <c r="B656" s="22"/>
      <c r="C656" s="22"/>
    </row>
    <row r="657" ht="14.25" customHeight="1">
      <c r="A657" s="21"/>
      <c r="B657" s="22"/>
      <c r="C657" s="22"/>
    </row>
    <row r="658" ht="14.25" customHeight="1">
      <c r="A658" s="21"/>
      <c r="B658" s="22"/>
      <c r="C658" s="22"/>
    </row>
    <row r="659" ht="14.25" customHeight="1">
      <c r="A659" s="21"/>
      <c r="B659" s="22"/>
      <c r="C659" s="22"/>
    </row>
    <row r="660" ht="14.25" customHeight="1">
      <c r="A660" s="21"/>
      <c r="B660" s="22"/>
      <c r="C660" s="22"/>
    </row>
    <row r="661" ht="14.25" customHeight="1">
      <c r="A661" s="21"/>
      <c r="B661" s="22"/>
      <c r="C661" s="22"/>
    </row>
    <row r="662" ht="14.25" customHeight="1">
      <c r="A662" s="21"/>
      <c r="B662" s="22"/>
      <c r="C662" s="22"/>
    </row>
    <row r="663" ht="14.25" customHeight="1">
      <c r="A663" s="21"/>
      <c r="B663" s="22"/>
      <c r="C663" s="22"/>
    </row>
    <row r="664" ht="14.25" customHeight="1">
      <c r="A664" s="21"/>
      <c r="B664" s="22"/>
      <c r="C664" s="22"/>
    </row>
    <row r="665" ht="14.25" customHeight="1">
      <c r="A665" s="21"/>
      <c r="B665" s="22"/>
      <c r="C665" s="22"/>
    </row>
    <row r="666" ht="14.25" customHeight="1">
      <c r="A666" s="21"/>
      <c r="B666" s="22"/>
      <c r="C666" s="22"/>
    </row>
    <row r="667" ht="14.25" customHeight="1">
      <c r="A667" s="21"/>
      <c r="B667" s="22"/>
      <c r="C667" s="22"/>
    </row>
    <row r="668" ht="14.25" customHeight="1">
      <c r="A668" s="21"/>
      <c r="B668" s="22"/>
      <c r="C668" s="22"/>
    </row>
    <row r="669" ht="14.25" customHeight="1">
      <c r="A669" s="21"/>
      <c r="B669" s="22"/>
      <c r="C669" s="22"/>
    </row>
    <row r="670" ht="14.25" customHeight="1">
      <c r="A670" s="21"/>
      <c r="B670" s="22"/>
      <c r="C670" s="22"/>
    </row>
    <row r="671" ht="14.25" customHeight="1">
      <c r="A671" s="21"/>
      <c r="B671" s="22"/>
      <c r="C671" s="22"/>
    </row>
    <row r="672" ht="14.25" customHeight="1">
      <c r="A672" s="21"/>
      <c r="B672" s="22"/>
      <c r="C672" s="22"/>
    </row>
    <row r="673" ht="14.25" customHeight="1">
      <c r="A673" s="21"/>
      <c r="B673" s="22"/>
      <c r="C673" s="22"/>
    </row>
    <row r="674" ht="14.25" customHeight="1">
      <c r="A674" s="21"/>
      <c r="B674" s="22"/>
      <c r="C674" s="22"/>
    </row>
    <row r="675" ht="14.25" customHeight="1">
      <c r="A675" s="21"/>
      <c r="B675" s="22"/>
      <c r="C675" s="22"/>
    </row>
    <row r="676" ht="14.25" customHeight="1">
      <c r="A676" s="21"/>
      <c r="B676" s="22"/>
      <c r="C676" s="22"/>
    </row>
    <row r="677" ht="14.25" customHeight="1">
      <c r="A677" s="21"/>
      <c r="B677" s="22"/>
      <c r="C677" s="22"/>
    </row>
    <row r="678" ht="14.25" customHeight="1">
      <c r="A678" s="21"/>
      <c r="B678" s="22"/>
      <c r="C678" s="22"/>
    </row>
    <row r="679" ht="14.25" customHeight="1">
      <c r="A679" s="21"/>
      <c r="B679" s="22"/>
      <c r="C679" s="22"/>
    </row>
    <row r="680" ht="14.25" customHeight="1">
      <c r="A680" s="21"/>
      <c r="B680" s="22"/>
      <c r="C680" s="22"/>
    </row>
    <row r="681" ht="14.25" customHeight="1">
      <c r="A681" s="21"/>
      <c r="B681" s="22"/>
      <c r="C681" s="22"/>
    </row>
    <row r="682" ht="14.25" customHeight="1">
      <c r="A682" s="21"/>
      <c r="B682" s="22"/>
      <c r="C682" s="22"/>
    </row>
    <row r="683" ht="14.25" customHeight="1">
      <c r="A683" s="21"/>
      <c r="B683" s="22"/>
      <c r="C683" s="22"/>
    </row>
    <row r="684" ht="14.25" customHeight="1">
      <c r="A684" s="21"/>
      <c r="B684" s="22"/>
      <c r="C684" s="22"/>
    </row>
    <row r="685" ht="14.25" customHeight="1">
      <c r="A685" s="21"/>
      <c r="B685" s="22"/>
      <c r="C685" s="22"/>
    </row>
    <row r="686" ht="14.25" customHeight="1">
      <c r="A686" s="21"/>
      <c r="B686" s="22"/>
      <c r="C686" s="22"/>
    </row>
    <row r="687" ht="14.25" customHeight="1">
      <c r="A687" s="21"/>
      <c r="B687" s="22"/>
      <c r="C687" s="22"/>
    </row>
    <row r="688" ht="14.25" customHeight="1">
      <c r="A688" s="21"/>
      <c r="B688" s="22"/>
      <c r="C688" s="22"/>
    </row>
    <row r="689" ht="14.25" customHeight="1">
      <c r="A689" s="21"/>
      <c r="B689" s="22"/>
      <c r="C689" s="22"/>
    </row>
    <row r="690" ht="14.25" customHeight="1">
      <c r="A690" s="21"/>
      <c r="B690" s="22"/>
      <c r="C690" s="22"/>
    </row>
    <row r="691" ht="14.25" customHeight="1">
      <c r="A691" s="21"/>
      <c r="B691" s="22"/>
      <c r="C691" s="22"/>
    </row>
    <row r="692" ht="14.25" customHeight="1">
      <c r="A692" s="21"/>
      <c r="B692" s="22"/>
      <c r="C692" s="22"/>
    </row>
    <row r="693" ht="14.25" customHeight="1">
      <c r="A693" s="21"/>
      <c r="B693" s="22"/>
      <c r="C693" s="22"/>
    </row>
    <row r="694" ht="14.25" customHeight="1">
      <c r="A694" s="21"/>
      <c r="B694" s="22"/>
      <c r="C694" s="22"/>
    </row>
    <row r="695" ht="14.25" customHeight="1">
      <c r="A695" s="21"/>
      <c r="B695" s="22"/>
      <c r="C695" s="22"/>
    </row>
    <row r="696" ht="14.25" customHeight="1">
      <c r="A696" s="21"/>
      <c r="B696" s="22"/>
      <c r="C696" s="22"/>
    </row>
    <row r="697" ht="14.25" customHeight="1">
      <c r="A697" s="21"/>
      <c r="B697" s="22"/>
      <c r="C697" s="22"/>
    </row>
    <row r="698" ht="14.25" customHeight="1">
      <c r="A698" s="21"/>
      <c r="B698" s="22"/>
      <c r="C698" s="22"/>
    </row>
    <row r="699" ht="14.25" customHeight="1">
      <c r="A699" s="21"/>
      <c r="B699" s="22"/>
      <c r="C699" s="22"/>
    </row>
    <row r="700" ht="14.25" customHeight="1">
      <c r="A700" s="21"/>
      <c r="B700" s="22"/>
      <c r="C700" s="22"/>
    </row>
    <row r="701" ht="14.25" customHeight="1">
      <c r="A701" s="21"/>
      <c r="B701" s="22"/>
      <c r="C701" s="22"/>
    </row>
    <row r="702" ht="14.25" customHeight="1">
      <c r="A702" s="21"/>
      <c r="B702" s="22"/>
      <c r="C702" s="22"/>
    </row>
    <row r="703" ht="14.25" customHeight="1">
      <c r="A703" s="21"/>
      <c r="B703" s="22"/>
      <c r="C703" s="22"/>
    </row>
    <row r="704" ht="14.25" customHeight="1">
      <c r="A704" s="21"/>
      <c r="B704" s="22"/>
      <c r="C704" s="22"/>
    </row>
    <row r="705" ht="14.25" customHeight="1">
      <c r="A705" s="21"/>
      <c r="B705" s="22"/>
      <c r="C705" s="22"/>
    </row>
    <row r="706" ht="14.25" customHeight="1">
      <c r="A706" s="21"/>
      <c r="B706" s="22"/>
      <c r="C706" s="22"/>
    </row>
    <row r="707" ht="14.25" customHeight="1">
      <c r="A707" s="21"/>
      <c r="B707" s="22"/>
      <c r="C707" s="22"/>
    </row>
    <row r="708" ht="14.25" customHeight="1">
      <c r="A708" s="21"/>
      <c r="B708" s="22"/>
      <c r="C708" s="22"/>
    </row>
    <row r="709" ht="14.25" customHeight="1">
      <c r="A709" s="21"/>
      <c r="B709" s="22"/>
      <c r="C709" s="22"/>
    </row>
    <row r="710" ht="14.25" customHeight="1">
      <c r="A710" s="21"/>
      <c r="B710" s="22"/>
      <c r="C710" s="22"/>
    </row>
    <row r="711" ht="14.25" customHeight="1">
      <c r="A711" s="21"/>
      <c r="B711" s="22"/>
      <c r="C711" s="22"/>
    </row>
    <row r="712" ht="14.25" customHeight="1">
      <c r="A712" s="21"/>
      <c r="B712" s="22"/>
      <c r="C712" s="22"/>
    </row>
    <row r="713" ht="14.25" customHeight="1">
      <c r="A713" s="21"/>
      <c r="B713" s="22"/>
      <c r="C713" s="22"/>
    </row>
    <row r="714" ht="14.25" customHeight="1">
      <c r="A714" s="21"/>
      <c r="B714" s="22"/>
      <c r="C714" s="22"/>
    </row>
    <row r="715" ht="14.25" customHeight="1">
      <c r="A715" s="21"/>
      <c r="B715" s="22"/>
      <c r="C715" s="22"/>
    </row>
    <row r="716" ht="14.25" customHeight="1">
      <c r="A716" s="21"/>
      <c r="B716" s="22"/>
      <c r="C716" s="22"/>
    </row>
    <row r="717" ht="14.25" customHeight="1">
      <c r="A717" s="21"/>
      <c r="B717" s="22"/>
      <c r="C717" s="22"/>
    </row>
    <row r="718" ht="14.25" customHeight="1">
      <c r="A718" s="21"/>
      <c r="B718" s="22"/>
      <c r="C718" s="22"/>
    </row>
    <row r="719" ht="14.25" customHeight="1">
      <c r="A719" s="21"/>
      <c r="B719" s="22"/>
      <c r="C719" s="22"/>
    </row>
    <row r="720" ht="14.25" customHeight="1">
      <c r="A720" s="21"/>
      <c r="B720" s="22"/>
      <c r="C720" s="22"/>
    </row>
    <row r="721" ht="14.25" customHeight="1">
      <c r="A721" s="21"/>
      <c r="B721" s="22"/>
      <c r="C721" s="22"/>
    </row>
    <row r="722" ht="14.25" customHeight="1">
      <c r="A722" s="21"/>
      <c r="B722" s="22"/>
      <c r="C722" s="22"/>
    </row>
    <row r="723" ht="14.25" customHeight="1">
      <c r="A723" s="21"/>
      <c r="B723" s="22"/>
      <c r="C723" s="22"/>
    </row>
    <row r="724" ht="14.25" customHeight="1">
      <c r="A724" s="21"/>
      <c r="B724" s="22"/>
      <c r="C724" s="22"/>
    </row>
    <row r="725" ht="14.25" customHeight="1">
      <c r="A725" s="21"/>
      <c r="B725" s="22"/>
      <c r="C725" s="22"/>
    </row>
    <row r="726" ht="14.25" customHeight="1">
      <c r="A726" s="21"/>
      <c r="B726" s="22"/>
      <c r="C726" s="22"/>
    </row>
    <row r="727" ht="14.25" customHeight="1">
      <c r="A727" s="21"/>
      <c r="B727" s="22"/>
      <c r="C727" s="22"/>
    </row>
    <row r="728" ht="14.25" customHeight="1">
      <c r="A728" s="21"/>
      <c r="B728" s="22"/>
      <c r="C728" s="22"/>
    </row>
    <row r="729" ht="14.25" customHeight="1">
      <c r="A729" s="21"/>
      <c r="B729" s="22"/>
      <c r="C729" s="22"/>
    </row>
    <row r="730" ht="14.25" customHeight="1">
      <c r="A730" s="21"/>
      <c r="B730" s="22"/>
      <c r="C730" s="22"/>
    </row>
    <row r="731" ht="14.25" customHeight="1">
      <c r="A731" s="21"/>
      <c r="B731" s="22"/>
      <c r="C731" s="22"/>
    </row>
    <row r="732" ht="14.25" customHeight="1">
      <c r="A732" s="21"/>
      <c r="B732" s="22"/>
      <c r="C732" s="22"/>
    </row>
    <row r="733" ht="14.25" customHeight="1">
      <c r="A733" s="21"/>
      <c r="B733" s="22"/>
      <c r="C733" s="22"/>
    </row>
    <row r="734" ht="14.25" customHeight="1">
      <c r="A734" s="21"/>
      <c r="B734" s="22"/>
      <c r="C734" s="22"/>
    </row>
    <row r="735" ht="14.25" customHeight="1">
      <c r="A735" s="21"/>
      <c r="B735" s="22"/>
      <c r="C735" s="22"/>
    </row>
    <row r="736" ht="14.25" customHeight="1">
      <c r="A736" s="21"/>
      <c r="B736" s="22"/>
      <c r="C736" s="22"/>
    </row>
    <row r="737" ht="14.25" customHeight="1">
      <c r="A737" s="21"/>
      <c r="B737" s="22"/>
      <c r="C737" s="22"/>
    </row>
    <row r="738" ht="14.25" customHeight="1">
      <c r="A738" s="21"/>
      <c r="B738" s="22"/>
      <c r="C738" s="22"/>
    </row>
    <row r="739" ht="14.25" customHeight="1">
      <c r="A739" s="21"/>
      <c r="B739" s="22"/>
      <c r="C739" s="22"/>
    </row>
    <row r="740" ht="14.25" customHeight="1">
      <c r="A740" s="21"/>
      <c r="B740" s="22"/>
      <c r="C740" s="22"/>
    </row>
    <row r="741" ht="14.25" customHeight="1">
      <c r="A741" s="21"/>
      <c r="B741" s="22"/>
      <c r="C741" s="22"/>
    </row>
    <row r="742" ht="14.25" customHeight="1">
      <c r="A742" s="21"/>
      <c r="B742" s="22"/>
      <c r="C742" s="22"/>
    </row>
    <row r="743" ht="14.25" customHeight="1">
      <c r="A743" s="21"/>
      <c r="B743" s="22"/>
      <c r="C743" s="22"/>
    </row>
    <row r="744" ht="14.25" customHeight="1">
      <c r="A744" s="21"/>
      <c r="B744" s="22"/>
      <c r="C744" s="22"/>
    </row>
    <row r="745" ht="14.25" customHeight="1">
      <c r="A745" s="21"/>
      <c r="B745" s="22"/>
      <c r="C745" s="22"/>
    </row>
    <row r="746" ht="14.25" customHeight="1">
      <c r="A746" s="21"/>
      <c r="B746" s="22"/>
      <c r="C746" s="22"/>
    </row>
    <row r="747" ht="14.25" customHeight="1">
      <c r="A747" s="21"/>
      <c r="B747" s="22"/>
      <c r="C747" s="22"/>
    </row>
    <row r="748" ht="14.25" customHeight="1">
      <c r="A748" s="21"/>
      <c r="B748" s="22"/>
      <c r="C748" s="22"/>
    </row>
    <row r="749" ht="14.25" customHeight="1">
      <c r="A749" s="21"/>
      <c r="B749" s="22"/>
      <c r="C749" s="22"/>
    </row>
    <row r="750" ht="14.25" customHeight="1">
      <c r="A750" s="21"/>
      <c r="B750" s="22"/>
      <c r="C750" s="22"/>
    </row>
    <row r="751" ht="14.25" customHeight="1">
      <c r="A751" s="21"/>
      <c r="B751" s="22"/>
      <c r="C751" s="22"/>
    </row>
    <row r="752" ht="14.25" customHeight="1">
      <c r="A752" s="21"/>
      <c r="B752" s="22"/>
      <c r="C752" s="22"/>
    </row>
    <row r="753" ht="14.25" customHeight="1">
      <c r="A753" s="21"/>
      <c r="B753" s="22"/>
      <c r="C753" s="22"/>
    </row>
    <row r="754" ht="14.25" customHeight="1">
      <c r="A754" s="21"/>
      <c r="B754" s="22"/>
      <c r="C754" s="22"/>
    </row>
    <row r="755" ht="14.25" customHeight="1">
      <c r="A755" s="21"/>
      <c r="B755" s="22"/>
      <c r="C755" s="22"/>
    </row>
    <row r="756" ht="14.25" customHeight="1">
      <c r="A756" s="21"/>
      <c r="B756" s="22"/>
      <c r="C756" s="22"/>
    </row>
    <row r="757" ht="14.25" customHeight="1">
      <c r="A757" s="21"/>
      <c r="B757" s="22"/>
      <c r="C757" s="22"/>
    </row>
    <row r="758" ht="14.25" customHeight="1">
      <c r="A758" s="21"/>
      <c r="B758" s="22"/>
      <c r="C758" s="22"/>
    </row>
    <row r="759" ht="14.25" customHeight="1">
      <c r="A759" s="21"/>
      <c r="B759" s="22"/>
      <c r="C759" s="22"/>
    </row>
    <row r="760" ht="14.25" customHeight="1">
      <c r="A760" s="21"/>
      <c r="B760" s="22"/>
      <c r="C760" s="22"/>
    </row>
    <row r="761" ht="14.25" customHeight="1">
      <c r="A761" s="21"/>
      <c r="B761" s="22"/>
      <c r="C761" s="22"/>
    </row>
    <row r="762" ht="14.25" customHeight="1">
      <c r="A762" s="21"/>
      <c r="B762" s="22"/>
      <c r="C762" s="22"/>
    </row>
    <row r="763" ht="14.25" customHeight="1">
      <c r="A763" s="21"/>
      <c r="B763" s="22"/>
      <c r="C763" s="22"/>
    </row>
    <row r="764" ht="14.25" customHeight="1">
      <c r="A764" s="21"/>
      <c r="B764" s="22"/>
      <c r="C764" s="22"/>
    </row>
    <row r="765" ht="14.25" customHeight="1">
      <c r="A765" s="21"/>
      <c r="B765" s="22"/>
      <c r="C765" s="22"/>
    </row>
    <row r="766" ht="14.25" customHeight="1">
      <c r="A766" s="21"/>
      <c r="B766" s="22"/>
      <c r="C766" s="22"/>
    </row>
    <row r="767" ht="14.25" customHeight="1">
      <c r="A767" s="21"/>
      <c r="B767" s="22"/>
      <c r="C767" s="22"/>
    </row>
    <row r="768" ht="14.25" customHeight="1">
      <c r="A768" s="21"/>
      <c r="B768" s="22"/>
      <c r="C768" s="22"/>
    </row>
    <row r="769" ht="14.25" customHeight="1">
      <c r="A769" s="21"/>
      <c r="B769" s="22"/>
      <c r="C769" s="22"/>
    </row>
    <row r="770" ht="14.25" customHeight="1">
      <c r="A770" s="21"/>
      <c r="B770" s="22"/>
      <c r="C770" s="22"/>
    </row>
    <row r="771" ht="14.25" customHeight="1">
      <c r="A771" s="21"/>
      <c r="B771" s="22"/>
      <c r="C771" s="22"/>
    </row>
    <row r="772" ht="14.25" customHeight="1">
      <c r="A772" s="21"/>
      <c r="B772" s="22"/>
      <c r="C772" s="22"/>
    </row>
    <row r="773" ht="14.25" customHeight="1">
      <c r="A773" s="21"/>
      <c r="B773" s="22"/>
      <c r="C773" s="22"/>
    </row>
    <row r="774" ht="14.25" customHeight="1">
      <c r="A774" s="21"/>
      <c r="B774" s="22"/>
      <c r="C774" s="22"/>
    </row>
    <row r="775" ht="14.25" customHeight="1">
      <c r="A775" s="21"/>
      <c r="B775" s="22"/>
      <c r="C775" s="22"/>
    </row>
    <row r="776" ht="14.25" customHeight="1">
      <c r="A776" s="21"/>
      <c r="B776" s="22"/>
      <c r="C776" s="22"/>
    </row>
    <row r="777" ht="14.25" customHeight="1">
      <c r="A777" s="21"/>
      <c r="B777" s="22"/>
      <c r="C777" s="22"/>
    </row>
    <row r="778" ht="14.25" customHeight="1">
      <c r="A778" s="21"/>
      <c r="B778" s="22"/>
      <c r="C778" s="22"/>
    </row>
    <row r="779" ht="14.25" customHeight="1">
      <c r="A779" s="21"/>
      <c r="B779" s="22"/>
      <c r="C779" s="22"/>
    </row>
    <row r="780" ht="14.25" customHeight="1">
      <c r="A780" s="21"/>
      <c r="B780" s="22"/>
      <c r="C780" s="22"/>
    </row>
    <row r="781" ht="14.25" customHeight="1">
      <c r="A781" s="21"/>
      <c r="B781" s="22"/>
      <c r="C781" s="22"/>
    </row>
    <row r="782" ht="14.25" customHeight="1">
      <c r="A782" s="21"/>
      <c r="B782" s="22"/>
      <c r="C782" s="22"/>
    </row>
    <row r="783" ht="14.25" customHeight="1">
      <c r="A783" s="21"/>
      <c r="B783" s="22"/>
      <c r="C783" s="22"/>
    </row>
    <row r="784" ht="14.25" customHeight="1">
      <c r="A784" s="21"/>
      <c r="B784" s="22"/>
      <c r="C784" s="22"/>
    </row>
    <row r="785" ht="14.25" customHeight="1">
      <c r="A785" s="21"/>
      <c r="B785" s="22"/>
      <c r="C785" s="22"/>
    </row>
    <row r="786" ht="14.25" customHeight="1">
      <c r="A786" s="21"/>
      <c r="B786" s="22"/>
      <c r="C786" s="22"/>
    </row>
    <row r="787" ht="14.25" customHeight="1">
      <c r="A787" s="21"/>
      <c r="B787" s="22"/>
      <c r="C787" s="22"/>
    </row>
    <row r="788" ht="14.25" customHeight="1">
      <c r="A788" s="21"/>
      <c r="B788" s="22"/>
      <c r="C788" s="22"/>
    </row>
    <row r="789" ht="14.25" customHeight="1">
      <c r="A789" s="21"/>
      <c r="B789" s="22"/>
      <c r="C789" s="22"/>
    </row>
    <row r="790" ht="14.25" customHeight="1">
      <c r="A790" s="21"/>
      <c r="B790" s="22"/>
      <c r="C790" s="22"/>
    </row>
    <row r="791" ht="14.25" customHeight="1">
      <c r="A791" s="21"/>
      <c r="B791" s="22"/>
      <c r="C791" s="22"/>
    </row>
    <row r="792" ht="14.25" customHeight="1">
      <c r="A792" s="21"/>
      <c r="B792" s="22"/>
      <c r="C792" s="22"/>
    </row>
    <row r="793" ht="14.25" customHeight="1">
      <c r="A793" s="21"/>
      <c r="B793" s="22"/>
      <c r="C793" s="22"/>
    </row>
    <row r="794" ht="14.25" customHeight="1">
      <c r="A794" s="21"/>
      <c r="B794" s="22"/>
      <c r="C794" s="22"/>
    </row>
    <row r="795" ht="14.25" customHeight="1">
      <c r="A795" s="21"/>
      <c r="B795" s="22"/>
      <c r="C795" s="22"/>
    </row>
    <row r="796" ht="14.25" customHeight="1">
      <c r="A796" s="21"/>
      <c r="B796" s="22"/>
      <c r="C796" s="22"/>
    </row>
    <row r="797" ht="14.25" customHeight="1">
      <c r="A797" s="21"/>
      <c r="B797" s="22"/>
      <c r="C797" s="22"/>
    </row>
    <row r="798" ht="14.25" customHeight="1">
      <c r="A798" s="21"/>
      <c r="B798" s="22"/>
      <c r="C798" s="22"/>
    </row>
    <row r="799" ht="14.25" customHeight="1">
      <c r="A799" s="21"/>
      <c r="B799" s="22"/>
      <c r="C799" s="22"/>
    </row>
    <row r="800" ht="14.25" customHeight="1">
      <c r="A800" s="21"/>
      <c r="B800" s="22"/>
      <c r="C800" s="22"/>
    </row>
    <row r="801" ht="14.25" customHeight="1">
      <c r="A801" s="21"/>
      <c r="B801" s="22"/>
      <c r="C801" s="22"/>
    </row>
    <row r="802" ht="14.25" customHeight="1">
      <c r="A802" s="21"/>
      <c r="B802" s="22"/>
      <c r="C802" s="22"/>
    </row>
    <row r="803" ht="14.25" customHeight="1">
      <c r="A803" s="21"/>
      <c r="B803" s="22"/>
      <c r="C803" s="22"/>
    </row>
    <row r="804" ht="14.25" customHeight="1">
      <c r="A804" s="21"/>
      <c r="B804" s="22"/>
      <c r="C804" s="22"/>
    </row>
    <row r="805" ht="14.25" customHeight="1">
      <c r="A805" s="21"/>
      <c r="B805" s="22"/>
      <c r="C805" s="22"/>
    </row>
    <row r="806" ht="14.25" customHeight="1">
      <c r="A806" s="21"/>
      <c r="B806" s="22"/>
      <c r="C806" s="22"/>
    </row>
    <row r="807" ht="14.25" customHeight="1">
      <c r="A807" s="21"/>
      <c r="B807" s="22"/>
      <c r="C807" s="22"/>
    </row>
    <row r="808" ht="14.25" customHeight="1">
      <c r="A808" s="21"/>
      <c r="B808" s="22"/>
      <c r="C808" s="22"/>
    </row>
    <row r="809" ht="14.25" customHeight="1">
      <c r="A809" s="21"/>
      <c r="B809" s="22"/>
      <c r="C809" s="22"/>
    </row>
    <row r="810" ht="14.25" customHeight="1">
      <c r="A810" s="21"/>
      <c r="B810" s="22"/>
      <c r="C810" s="22"/>
    </row>
    <row r="811" ht="14.25" customHeight="1">
      <c r="A811" s="21"/>
      <c r="B811" s="22"/>
      <c r="C811" s="22"/>
    </row>
    <row r="812" ht="14.25" customHeight="1">
      <c r="A812" s="21"/>
      <c r="B812" s="22"/>
      <c r="C812" s="22"/>
    </row>
    <row r="813" ht="14.25" customHeight="1">
      <c r="A813" s="21"/>
      <c r="B813" s="22"/>
      <c r="C813" s="22"/>
    </row>
    <row r="814" ht="14.25" customHeight="1">
      <c r="A814" s="21"/>
      <c r="B814" s="22"/>
      <c r="C814" s="22"/>
    </row>
    <row r="815" ht="14.25" customHeight="1">
      <c r="A815" s="21"/>
      <c r="B815" s="22"/>
      <c r="C815" s="22"/>
    </row>
    <row r="816" ht="14.25" customHeight="1">
      <c r="A816" s="21"/>
      <c r="B816" s="22"/>
      <c r="C816" s="22"/>
    </row>
    <row r="817" ht="14.25" customHeight="1">
      <c r="A817" s="21"/>
      <c r="B817" s="22"/>
      <c r="C817" s="22"/>
    </row>
    <row r="818" ht="14.25" customHeight="1">
      <c r="A818" s="21"/>
      <c r="B818" s="22"/>
      <c r="C818" s="22"/>
    </row>
    <row r="819" ht="14.25" customHeight="1">
      <c r="A819" s="21"/>
      <c r="B819" s="22"/>
      <c r="C819" s="22"/>
    </row>
    <row r="820" ht="14.25" customHeight="1">
      <c r="A820" s="21"/>
      <c r="B820" s="22"/>
      <c r="C820" s="22"/>
    </row>
    <row r="821" ht="14.25" customHeight="1">
      <c r="A821" s="21"/>
      <c r="B821" s="22"/>
      <c r="C821" s="22"/>
    </row>
    <row r="822" ht="14.25" customHeight="1">
      <c r="A822" s="21"/>
      <c r="B822" s="22"/>
      <c r="C822" s="22"/>
    </row>
    <row r="823" ht="14.25" customHeight="1">
      <c r="A823" s="21"/>
      <c r="B823" s="22"/>
      <c r="C823" s="22"/>
    </row>
    <row r="824" ht="14.25" customHeight="1">
      <c r="A824" s="21"/>
      <c r="B824" s="22"/>
      <c r="C824" s="22"/>
    </row>
    <row r="825" ht="14.25" customHeight="1">
      <c r="A825" s="21"/>
      <c r="B825" s="22"/>
      <c r="C825" s="22"/>
    </row>
    <row r="826" ht="14.25" customHeight="1">
      <c r="A826" s="21"/>
      <c r="B826" s="22"/>
      <c r="C826" s="22"/>
    </row>
    <row r="827" ht="14.25" customHeight="1">
      <c r="A827" s="21"/>
      <c r="B827" s="22"/>
      <c r="C827" s="22"/>
    </row>
    <row r="828" ht="14.25" customHeight="1">
      <c r="A828" s="21"/>
      <c r="B828" s="22"/>
      <c r="C828" s="22"/>
    </row>
    <row r="829" ht="14.25" customHeight="1">
      <c r="A829" s="21"/>
      <c r="B829" s="22"/>
      <c r="C829" s="22"/>
    </row>
    <row r="830" ht="14.25" customHeight="1">
      <c r="A830" s="21"/>
      <c r="B830" s="22"/>
      <c r="C830" s="22"/>
    </row>
    <row r="831" ht="14.25" customHeight="1">
      <c r="A831" s="21"/>
      <c r="B831" s="22"/>
      <c r="C831" s="22"/>
    </row>
    <row r="832" ht="14.25" customHeight="1">
      <c r="A832" s="21"/>
      <c r="B832" s="22"/>
      <c r="C832" s="22"/>
    </row>
    <row r="833" ht="14.25" customHeight="1">
      <c r="A833" s="21"/>
      <c r="B833" s="22"/>
      <c r="C833" s="22"/>
    </row>
    <row r="834" ht="14.25" customHeight="1">
      <c r="A834" s="21"/>
      <c r="B834" s="22"/>
      <c r="C834" s="22"/>
    </row>
    <row r="835" ht="14.25" customHeight="1">
      <c r="A835" s="21"/>
      <c r="B835" s="22"/>
      <c r="C835" s="22"/>
    </row>
    <row r="836" ht="14.25" customHeight="1">
      <c r="A836" s="21"/>
      <c r="B836" s="22"/>
      <c r="C836" s="22"/>
    </row>
    <row r="837" ht="14.25" customHeight="1">
      <c r="A837" s="21"/>
      <c r="B837" s="22"/>
      <c r="C837" s="22"/>
    </row>
    <row r="838" ht="14.25" customHeight="1">
      <c r="A838" s="21"/>
      <c r="B838" s="22"/>
      <c r="C838" s="22"/>
    </row>
    <row r="839" ht="14.25" customHeight="1">
      <c r="A839" s="21"/>
      <c r="B839" s="22"/>
      <c r="C839" s="22"/>
    </row>
    <row r="840" ht="14.25" customHeight="1">
      <c r="A840" s="21"/>
      <c r="B840" s="22"/>
      <c r="C840" s="22"/>
    </row>
    <row r="841" ht="14.25" customHeight="1">
      <c r="A841" s="21"/>
      <c r="B841" s="22"/>
      <c r="C841" s="22"/>
    </row>
    <row r="842" ht="14.25" customHeight="1">
      <c r="A842" s="21"/>
      <c r="B842" s="22"/>
      <c r="C842" s="22"/>
    </row>
    <row r="843" ht="14.25" customHeight="1">
      <c r="A843" s="21"/>
      <c r="B843" s="22"/>
      <c r="C843" s="22"/>
    </row>
    <row r="844" ht="14.25" customHeight="1">
      <c r="A844" s="21"/>
      <c r="B844" s="22"/>
      <c r="C844" s="22"/>
    </row>
    <row r="845" ht="14.25" customHeight="1">
      <c r="A845" s="21"/>
      <c r="B845" s="22"/>
      <c r="C845" s="22"/>
    </row>
    <row r="846" ht="14.25" customHeight="1">
      <c r="A846" s="21"/>
      <c r="B846" s="22"/>
      <c r="C846" s="22"/>
    </row>
    <row r="847" ht="14.25" customHeight="1">
      <c r="A847" s="21"/>
      <c r="B847" s="22"/>
      <c r="C847" s="22"/>
    </row>
    <row r="848" ht="14.25" customHeight="1">
      <c r="A848" s="21"/>
      <c r="B848" s="22"/>
      <c r="C848" s="22"/>
    </row>
    <row r="849" ht="14.25" customHeight="1">
      <c r="A849" s="21"/>
      <c r="B849" s="22"/>
      <c r="C849" s="22"/>
    </row>
    <row r="850" ht="14.25" customHeight="1">
      <c r="A850" s="21"/>
      <c r="B850" s="22"/>
      <c r="C850" s="22"/>
    </row>
    <row r="851" ht="14.25" customHeight="1">
      <c r="A851" s="21"/>
      <c r="B851" s="22"/>
      <c r="C851" s="22"/>
    </row>
    <row r="852" ht="14.25" customHeight="1">
      <c r="A852" s="21"/>
      <c r="B852" s="22"/>
      <c r="C852" s="22"/>
    </row>
    <row r="853" ht="14.25" customHeight="1">
      <c r="A853" s="21"/>
      <c r="B853" s="22"/>
      <c r="C853" s="22"/>
    </row>
    <row r="854" ht="14.25" customHeight="1">
      <c r="A854" s="21"/>
      <c r="B854" s="22"/>
      <c r="C854" s="22"/>
    </row>
    <row r="855" ht="14.25" customHeight="1">
      <c r="A855" s="21"/>
      <c r="B855" s="22"/>
      <c r="C855" s="22"/>
    </row>
    <row r="856" ht="14.25" customHeight="1">
      <c r="A856" s="21"/>
      <c r="B856" s="22"/>
      <c r="C856" s="22"/>
    </row>
    <row r="857" ht="14.25" customHeight="1">
      <c r="A857" s="21"/>
      <c r="B857" s="22"/>
      <c r="C857" s="22"/>
    </row>
    <row r="858" ht="14.25" customHeight="1">
      <c r="A858" s="21"/>
      <c r="B858" s="22"/>
      <c r="C858" s="22"/>
    </row>
    <row r="859" ht="14.25" customHeight="1">
      <c r="A859" s="21"/>
      <c r="B859" s="22"/>
      <c r="C859" s="22"/>
    </row>
    <row r="860" ht="14.25" customHeight="1">
      <c r="A860" s="21"/>
      <c r="B860" s="22"/>
      <c r="C860" s="22"/>
    </row>
    <row r="861" ht="14.25" customHeight="1">
      <c r="A861" s="21"/>
      <c r="B861" s="22"/>
      <c r="C861" s="22"/>
    </row>
    <row r="862" ht="14.25" customHeight="1">
      <c r="A862" s="21"/>
      <c r="B862" s="22"/>
      <c r="C862" s="22"/>
    </row>
    <row r="863" ht="14.25" customHeight="1">
      <c r="A863" s="21"/>
      <c r="B863" s="22"/>
      <c r="C863" s="22"/>
    </row>
    <row r="864" ht="14.25" customHeight="1">
      <c r="A864" s="21"/>
      <c r="B864" s="22"/>
      <c r="C864" s="22"/>
    </row>
    <row r="865" ht="14.25" customHeight="1">
      <c r="A865" s="21"/>
      <c r="B865" s="22"/>
      <c r="C865" s="22"/>
    </row>
    <row r="866" ht="14.25" customHeight="1">
      <c r="A866" s="21"/>
      <c r="B866" s="22"/>
      <c r="C866" s="22"/>
    </row>
    <row r="867" ht="14.25" customHeight="1">
      <c r="A867" s="21"/>
      <c r="B867" s="22"/>
      <c r="C867" s="22"/>
    </row>
    <row r="868" ht="14.25" customHeight="1">
      <c r="A868" s="21"/>
      <c r="B868" s="22"/>
      <c r="C868" s="22"/>
    </row>
    <row r="869" ht="14.25" customHeight="1">
      <c r="A869" s="21"/>
      <c r="B869" s="22"/>
      <c r="C869" s="22"/>
    </row>
    <row r="870" ht="14.25" customHeight="1">
      <c r="A870" s="21"/>
      <c r="B870" s="22"/>
      <c r="C870" s="22"/>
    </row>
    <row r="871" ht="14.25" customHeight="1">
      <c r="A871" s="21"/>
      <c r="B871" s="22"/>
      <c r="C871" s="22"/>
    </row>
    <row r="872" ht="14.25" customHeight="1">
      <c r="A872" s="21"/>
      <c r="B872" s="22"/>
      <c r="C872" s="22"/>
    </row>
    <row r="873" ht="14.25" customHeight="1">
      <c r="A873" s="21"/>
      <c r="B873" s="22"/>
      <c r="C873" s="22"/>
    </row>
    <row r="874" ht="14.25" customHeight="1">
      <c r="A874" s="21"/>
      <c r="B874" s="22"/>
      <c r="C874" s="22"/>
    </row>
    <row r="875" ht="14.25" customHeight="1">
      <c r="A875" s="21"/>
      <c r="B875" s="22"/>
      <c r="C875" s="22"/>
    </row>
    <row r="876" ht="14.25" customHeight="1">
      <c r="A876" s="21"/>
      <c r="B876" s="22"/>
      <c r="C876" s="22"/>
    </row>
    <row r="877" ht="14.25" customHeight="1">
      <c r="A877" s="21"/>
      <c r="B877" s="22"/>
      <c r="C877" s="22"/>
    </row>
    <row r="878" ht="14.25" customHeight="1">
      <c r="A878" s="21"/>
      <c r="B878" s="22"/>
      <c r="C878" s="22"/>
    </row>
    <row r="879" ht="14.25" customHeight="1">
      <c r="A879" s="21"/>
      <c r="B879" s="22"/>
      <c r="C879" s="22"/>
    </row>
    <row r="880" ht="14.25" customHeight="1">
      <c r="A880" s="21"/>
      <c r="B880" s="22"/>
      <c r="C880" s="22"/>
    </row>
    <row r="881" ht="14.25" customHeight="1">
      <c r="A881" s="21"/>
      <c r="B881" s="22"/>
      <c r="C881" s="22"/>
    </row>
    <row r="882" ht="14.25" customHeight="1">
      <c r="A882" s="21"/>
      <c r="B882" s="22"/>
      <c r="C882" s="22"/>
    </row>
    <row r="883" ht="14.25" customHeight="1">
      <c r="A883" s="21"/>
      <c r="B883" s="22"/>
      <c r="C883" s="22"/>
    </row>
    <row r="884" ht="14.25" customHeight="1">
      <c r="A884" s="21"/>
      <c r="B884" s="22"/>
      <c r="C884" s="22"/>
    </row>
    <row r="885" ht="14.25" customHeight="1">
      <c r="A885" s="21"/>
      <c r="B885" s="22"/>
      <c r="C885" s="22"/>
    </row>
    <row r="886" ht="14.25" customHeight="1">
      <c r="A886" s="21"/>
      <c r="B886" s="22"/>
      <c r="C886" s="22"/>
    </row>
    <row r="887" ht="14.25" customHeight="1">
      <c r="A887" s="21"/>
      <c r="B887" s="22"/>
      <c r="C887" s="22"/>
    </row>
    <row r="888" ht="14.25" customHeight="1">
      <c r="A888" s="21"/>
      <c r="B888" s="22"/>
      <c r="C888" s="22"/>
    </row>
    <row r="889" ht="14.25" customHeight="1">
      <c r="A889" s="21"/>
      <c r="B889" s="22"/>
      <c r="C889" s="22"/>
    </row>
    <row r="890" ht="14.25" customHeight="1">
      <c r="A890" s="21"/>
      <c r="B890" s="22"/>
      <c r="C890" s="22"/>
    </row>
    <row r="891" ht="14.25" customHeight="1">
      <c r="A891" s="21"/>
      <c r="B891" s="22"/>
      <c r="C891" s="22"/>
    </row>
    <row r="892" ht="14.25" customHeight="1">
      <c r="A892" s="21"/>
      <c r="B892" s="22"/>
      <c r="C892" s="22"/>
    </row>
    <row r="893" ht="14.25" customHeight="1">
      <c r="A893" s="21"/>
      <c r="B893" s="22"/>
      <c r="C893" s="22"/>
    </row>
    <row r="894" ht="14.25" customHeight="1">
      <c r="A894" s="21"/>
      <c r="B894" s="22"/>
      <c r="C894" s="22"/>
    </row>
    <row r="895" ht="14.25" customHeight="1">
      <c r="A895" s="21"/>
      <c r="B895" s="22"/>
      <c r="C895" s="22"/>
    </row>
    <row r="896" ht="14.25" customHeight="1">
      <c r="A896" s="21"/>
      <c r="B896" s="22"/>
      <c r="C896" s="22"/>
    </row>
    <row r="897" ht="14.25" customHeight="1">
      <c r="A897" s="21"/>
      <c r="B897" s="22"/>
      <c r="C897" s="22"/>
    </row>
    <row r="898" ht="14.25" customHeight="1">
      <c r="A898" s="21"/>
      <c r="B898" s="22"/>
      <c r="C898" s="22"/>
    </row>
    <row r="899" ht="14.25" customHeight="1">
      <c r="A899" s="21"/>
      <c r="B899" s="22"/>
      <c r="C899" s="22"/>
    </row>
    <row r="900" ht="14.25" customHeight="1">
      <c r="A900" s="21"/>
      <c r="B900" s="22"/>
      <c r="C900" s="22"/>
    </row>
    <row r="901" ht="14.25" customHeight="1">
      <c r="A901" s="21"/>
      <c r="B901" s="22"/>
      <c r="C901" s="22"/>
    </row>
    <row r="902" ht="14.25" customHeight="1">
      <c r="A902" s="21"/>
      <c r="B902" s="22"/>
      <c r="C902" s="22"/>
    </row>
    <row r="903" ht="14.25" customHeight="1">
      <c r="A903" s="21"/>
      <c r="B903" s="22"/>
      <c r="C903" s="22"/>
    </row>
    <row r="904" ht="14.25" customHeight="1">
      <c r="A904" s="21"/>
      <c r="B904" s="22"/>
      <c r="C904" s="22"/>
    </row>
    <row r="905" ht="14.25" customHeight="1">
      <c r="A905" s="21"/>
      <c r="B905" s="22"/>
      <c r="C905" s="22"/>
    </row>
    <row r="906" ht="14.25" customHeight="1">
      <c r="A906" s="21"/>
      <c r="B906" s="22"/>
      <c r="C906" s="22"/>
    </row>
    <row r="907" ht="14.25" customHeight="1">
      <c r="A907" s="21"/>
      <c r="B907" s="22"/>
      <c r="C907" s="22"/>
    </row>
    <row r="908" ht="14.25" customHeight="1">
      <c r="A908" s="21"/>
      <c r="B908" s="22"/>
      <c r="C908" s="22"/>
    </row>
    <row r="909" ht="14.25" customHeight="1">
      <c r="A909" s="21"/>
      <c r="B909" s="22"/>
      <c r="C909" s="22"/>
    </row>
    <row r="910" ht="14.25" customHeight="1">
      <c r="A910" s="21"/>
      <c r="B910" s="22"/>
      <c r="C910" s="22"/>
    </row>
    <row r="911" ht="14.25" customHeight="1">
      <c r="A911" s="21"/>
      <c r="B911" s="22"/>
      <c r="C911" s="22"/>
    </row>
    <row r="912" ht="14.25" customHeight="1">
      <c r="A912" s="21"/>
      <c r="B912" s="22"/>
      <c r="C912" s="22"/>
    </row>
    <row r="913" ht="14.25" customHeight="1">
      <c r="A913" s="21"/>
      <c r="B913" s="22"/>
      <c r="C913" s="22"/>
    </row>
    <row r="914" ht="14.25" customHeight="1">
      <c r="A914" s="21"/>
      <c r="B914" s="22"/>
      <c r="C914" s="22"/>
    </row>
    <row r="915" ht="14.25" customHeight="1">
      <c r="A915" s="21"/>
      <c r="B915" s="22"/>
      <c r="C915" s="22"/>
    </row>
    <row r="916" ht="14.25" customHeight="1">
      <c r="A916" s="21"/>
      <c r="B916" s="22"/>
      <c r="C916" s="22"/>
    </row>
    <row r="917" ht="14.25" customHeight="1">
      <c r="A917" s="21"/>
      <c r="B917" s="22"/>
      <c r="C917" s="22"/>
    </row>
    <row r="918" ht="14.25" customHeight="1">
      <c r="A918" s="21"/>
      <c r="B918" s="22"/>
      <c r="C918" s="22"/>
    </row>
    <row r="919" ht="14.25" customHeight="1">
      <c r="A919" s="21"/>
      <c r="B919" s="22"/>
      <c r="C919" s="22"/>
    </row>
    <row r="920" ht="14.25" customHeight="1">
      <c r="A920" s="21"/>
      <c r="B920" s="22"/>
      <c r="C920" s="22"/>
    </row>
    <row r="921" ht="14.25" customHeight="1">
      <c r="A921" s="21"/>
      <c r="B921" s="22"/>
      <c r="C921" s="22"/>
    </row>
    <row r="922" ht="14.25" customHeight="1">
      <c r="A922" s="21"/>
      <c r="B922" s="22"/>
      <c r="C922" s="22"/>
    </row>
    <row r="923" ht="14.25" customHeight="1">
      <c r="A923" s="21"/>
      <c r="B923" s="22"/>
      <c r="C923" s="22"/>
    </row>
    <row r="924" ht="14.25" customHeight="1">
      <c r="A924" s="21"/>
      <c r="B924" s="22"/>
      <c r="C924" s="22"/>
    </row>
    <row r="925" ht="14.25" customHeight="1">
      <c r="A925" s="21"/>
      <c r="B925" s="22"/>
      <c r="C925" s="22"/>
    </row>
    <row r="926" ht="14.25" customHeight="1">
      <c r="A926" s="21"/>
      <c r="B926" s="22"/>
      <c r="C926" s="22"/>
    </row>
    <row r="927" ht="14.25" customHeight="1">
      <c r="A927" s="21"/>
      <c r="B927" s="22"/>
      <c r="C927" s="22"/>
    </row>
    <row r="928" ht="14.25" customHeight="1">
      <c r="A928" s="21"/>
      <c r="B928" s="22"/>
      <c r="C928" s="22"/>
    </row>
    <row r="929" ht="14.25" customHeight="1">
      <c r="A929" s="21"/>
      <c r="B929" s="22"/>
      <c r="C929" s="22"/>
    </row>
    <row r="930" ht="14.25" customHeight="1">
      <c r="A930" s="21"/>
      <c r="B930" s="22"/>
      <c r="C930" s="22"/>
    </row>
    <row r="931" ht="14.25" customHeight="1">
      <c r="A931" s="21"/>
      <c r="B931" s="22"/>
      <c r="C931" s="22"/>
    </row>
    <row r="932" ht="14.25" customHeight="1">
      <c r="A932" s="21"/>
      <c r="B932" s="22"/>
      <c r="C932" s="22"/>
    </row>
    <row r="933" ht="14.25" customHeight="1">
      <c r="A933" s="21"/>
      <c r="B933" s="22"/>
      <c r="C933" s="22"/>
    </row>
    <row r="934" ht="14.25" customHeight="1">
      <c r="A934" s="21"/>
      <c r="B934" s="22"/>
      <c r="C934" s="22"/>
    </row>
    <row r="935" ht="14.25" customHeight="1">
      <c r="A935" s="21"/>
      <c r="B935" s="22"/>
      <c r="C935" s="22"/>
    </row>
    <row r="936" ht="14.25" customHeight="1">
      <c r="A936" s="21"/>
      <c r="B936" s="22"/>
      <c r="C936" s="22"/>
    </row>
    <row r="937" ht="14.25" customHeight="1">
      <c r="A937" s="21"/>
      <c r="B937" s="22"/>
      <c r="C937" s="22"/>
    </row>
    <row r="938" ht="14.25" customHeight="1">
      <c r="A938" s="21"/>
      <c r="B938" s="22"/>
      <c r="C938" s="22"/>
    </row>
    <row r="939" ht="14.25" customHeight="1">
      <c r="A939" s="21"/>
      <c r="B939" s="22"/>
      <c r="C939" s="22"/>
    </row>
    <row r="940" ht="14.25" customHeight="1">
      <c r="A940" s="21"/>
      <c r="B940" s="22"/>
      <c r="C940" s="22"/>
    </row>
    <row r="941" ht="14.25" customHeight="1">
      <c r="A941" s="21"/>
      <c r="B941" s="22"/>
      <c r="C941" s="22"/>
    </row>
    <row r="942" ht="14.25" customHeight="1">
      <c r="A942" s="21"/>
      <c r="B942" s="22"/>
      <c r="C942" s="22"/>
    </row>
    <row r="943" ht="14.25" customHeight="1">
      <c r="A943" s="21"/>
      <c r="B943" s="22"/>
      <c r="C943" s="22"/>
    </row>
    <row r="944" ht="14.25" customHeight="1">
      <c r="A944" s="21"/>
      <c r="B944" s="22"/>
      <c r="C944" s="22"/>
    </row>
    <row r="945" ht="14.25" customHeight="1">
      <c r="A945" s="21"/>
      <c r="B945" s="22"/>
      <c r="C945" s="22"/>
    </row>
    <row r="946" ht="14.25" customHeight="1">
      <c r="A946" s="21"/>
      <c r="B946" s="22"/>
      <c r="C946" s="22"/>
    </row>
    <row r="947" ht="14.25" customHeight="1">
      <c r="A947" s="21"/>
      <c r="B947" s="22"/>
      <c r="C947" s="22"/>
    </row>
    <row r="948" ht="14.25" customHeight="1">
      <c r="A948" s="21"/>
      <c r="B948" s="22"/>
      <c r="C948" s="22"/>
    </row>
    <row r="949" ht="14.25" customHeight="1">
      <c r="A949" s="21"/>
      <c r="B949" s="22"/>
      <c r="C949" s="22"/>
    </row>
    <row r="950" ht="14.25" customHeight="1">
      <c r="A950" s="21"/>
      <c r="B950" s="22"/>
      <c r="C950" s="22"/>
    </row>
    <row r="951" ht="14.25" customHeight="1">
      <c r="A951" s="21"/>
      <c r="B951" s="22"/>
      <c r="C951" s="22"/>
    </row>
    <row r="952" ht="14.25" customHeight="1">
      <c r="A952" s="21"/>
      <c r="B952" s="22"/>
      <c r="C952" s="22"/>
    </row>
    <row r="953" ht="14.25" customHeight="1">
      <c r="A953" s="21"/>
      <c r="B953" s="22"/>
      <c r="C953" s="22"/>
    </row>
    <row r="954" ht="14.25" customHeight="1">
      <c r="A954" s="21"/>
      <c r="B954" s="22"/>
      <c r="C954" s="22"/>
    </row>
    <row r="955" ht="14.25" customHeight="1">
      <c r="A955" s="21"/>
      <c r="B955" s="22"/>
      <c r="C955" s="22"/>
    </row>
    <row r="956" ht="14.25" customHeight="1">
      <c r="A956" s="21"/>
      <c r="B956" s="22"/>
      <c r="C956" s="22"/>
    </row>
    <row r="957" ht="14.25" customHeight="1">
      <c r="A957" s="21"/>
      <c r="B957" s="22"/>
      <c r="C957" s="22"/>
    </row>
    <row r="958" ht="14.25" customHeight="1">
      <c r="A958" s="21"/>
      <c r="B958" s="22"/>
      <c r="C958" s="22"/>
    </row>
    <row r="959" ht="14.25" customHeight="1">
      <c r="A959" s="21"/>
      <c r="B959" s="22"/>
      <c r="C959" s="22"/>
    </row>
    <row r="960" ht="14.25" customHeight="1">
      <c r="A960" s="21"/>
      <c r="B960" s="22"/>
      <c r="C960" s="22"/>
    </row>
    <row r="961" ht="14.25" customHeight="1">
      <c r="A961" s="21"/>
      <c r="B961" s="22"/>
      <c r="C961" s="22"/>
    </row>
    <row r="962" ht="14.25" customHeight="1">
      <c r="A962" s="21"/>
      <c r="B962" s="22"/>
      <c r="C962" s="22"/>
    </row>
    <row r="963" ht="14.25" customHeight="1">
      <c r="A963" s="21"/>
      <c r="B963" s="22"/>
      <c r="C963" s="22"/>
    </row>
    <row r="964" ht="14.25" customHeight="1">
      <c r="A964" s="21"/>
      <c r="B964" s="22"/>
      <c r="C964" s="22"/>
    </row>
    <row r="965" ht="14.25" customHeight="1">
      <c r="A965" s="21"/>
      <c r="B965" s="22"/>
      <c r="C965" s="22"/>
    </row>
    <row r="966" ht="14.25" customHeight="1">
      <c r="A966" s="21"/>
      <c r="B966" s="22"/>
      <c r="C966" s="22"/>
    </row>
    <row r="967" ht="14.25" customHeight="1">
      <c r="A967" s="21"/>
      <c r="B967" s="22"/>
      <c r="C967" s="22"/>
    </row>
    <row r="968" ht="14.25" customHeight="1">
      <c r="A968" s="21"/>
      <c r="B968" s="22"/>
      <c r="C968" s="22"/>
    </row>
    <row r="969" ht="14.25" customHeight="1">
      <c r="A969" s="21"/>
      <c r="B969" s="22"/>
      <c r="C969" s="22"/>
    </row>
    <row r="970" ht="14.25" customHeight="1">
      <c r="A970" s="21"/>
      <c r="B970" s="22"/>
      <c r="C970" s="22"/>
    </row>
    <row r="971" ht="14.25" customHeight="1">
      <c r="A971" s="21"/>
      <c r="B971" s="22"/>
      <c r="C971" s="22"/>
    </row>
    <row r="972" ht="14.25" customHeight="1">
      <c r="A972" s="21"/>
      <c r="B972" s="22"/>
      <c r="C972" s="22"/>
    </row>
    <row r="973" ht="14.25" customHeight="1">
      <c r="A973" s="21"/>
      <c r="B973" s="22"/>
      <c r="C973" s="22"/>
    </row>
    <row r="974" ht="14.25" customHeight="1">
      <c r="A974" s="21"/>
      <c r="B974" s="22"/>
      <c r="C974" s="22"/>
    </row>
    <row r="975" ht="14.25" customHeight="1">
      <c r="A975" s="21"/>
      <c r="B975" s="22"/>
      <c r="C975" s="22"/>
    </row>
    <row r="976" ht="14.25" customHeight="1">
      <c r="A976" s="21"/>
      <c r="B976" s="22"/>
      <c r="C976" s="22"/>
    </row>
    <row r="977" ht="14.25" customHeight="1">
      <c r="A977" s="21"/>
      <c r="B977" s="22"/>
      <c r="C977" s="22"/>
    </row>
    <row r="978" ht="14.25" customHeight="1">
      <c r="A978" s="21"/>
      <c r="B978" s="22"/>
      <c r="C978" s="22"/>
    </row>
    <row r="979" ht="14.25" customHeight="1">
      <c r="A979" s="21"/>
      <c r="B979" s="22"/>
      <c r="C979" s="22"/>
    </row>
    <row r="980" ht="14.25" customHeight="1">
      <c r="A980" s="21"/>
      <c r="B980" s="22"/>
      <c r="C980" s="22"/>
    </row>
    <row r="981" ht="14.25" customHeight="1">
      <c r="A981" s="21"/>
      <c r="B981" s="22"/>
      <c r="C981" s="22"/>
    </row>
    <row r="982" ht="14.25" customHeight="1">
      <c r="A982" s="21"/>
      <c r="B982" s="22"/>
      <c r="C982" s="22"/>
    </row>
    <row r="983" ht="14.25" customHeight="1">
      <c r="A983" s="21"/>
      <c r="B983" s="22"/>
      <c r="C983" s="22"/>
    </row>
    <row r="984" ht="14.25" customHeight="1">
      <c r="A984" s="21"/>
      <c r="B984" s="22"/>
      <c r="C984" s="22"/>
    </row>
    <row r="985" ht="14.25" customHeight="1">
      <c r="A985" s="21"/>
      <c r="B985" s="22"/>
      <c r="C985" s="22"/>
    </row>
    <row r="986" ht="14.25" customHeight="1">
      <c r="A986" s="21"/>
      <c r="B986" s="22"/>
      <c r="C986" s="22"/>
    </row>
    <row r="987" ht="14.25" customHeight="1">
      <c r="A987" s="21"/>
      <c r="B987" s="22"/>
      <c r="C987" s="22"/>
    </row>
    <row r="988" ht="14.25" customHeight="1">
      <c r="A988" s="21"/>
      <c r="B988" s="22"/>
      <c r="C988" s="22"/>
    </row>
    <row r="989" ht="14.25" customHeight="1">
      <c r="A989" s="21"/>
      <c r="B989" s="22"/>
      <c r="C989" s="22"/>
    </row>
    <row r="990" ht="14.25" customHeight="1">
      <c r="A990" s="21"/>
      <c r="B990" s="22"/>
      <c r="C990" s="22"/>
    </row>
    <row r="991" ht="14.25" customHeight="1">
      <c r="A991" s="21"/>
      <c r="B991" s="22"/>
      <c r="C991" s="22"/>
    </row>
    <row r="992" ht="14.25" customHeight="1">
      <c r="A992" s="21"/>
      <c r="B992" s="22"/>
      <c r="C992" s="22"/>
    </row>
    <row r="993" ht="14.25" customHeight="1">
      <c r="A993" s="21"/>
      <c r="B993" s="22"/>
      <c r="C993" s="22"/>
    </row>
    <row r="994" ht="14.25" customHeight="1">
      <c r="A994" s="21"/>
      <c r="B994" s="22"/>
      <c r="C994" s="22"/>
    </row>
    <row r="995" ht="14.25" customHeight="1">
      <c r="A995" s="21"/>
      <c r="B995" s="22"/>
      <c r="C995" s="22"/>
    </row>
    <row r="996" ht="14.25" customHeight="1">
      <c r="A996" s="21"/>
      <c r="B996" s="22"/>
      <c r="C996" s="22"/>
    </row>
    <row r="997" ht="14.25" customHeight="1">
      <c r="A997" s="21"/>
      <c r="B997" s="22"/>
      <c r="C997" s="22"/>
    </row>
    <row r="998" ht="14.25" customHeight="1">
      <c r="A998" s="21"/>
      <c r="B998" s="22"/>
      <c r="C998" s="22"/>
    </row>
    <row r="999" ht="14.25" customHeight="1">
      <c r="A999" s="21"/>
      <c r="B999" s="22"/>
      <c r="C999" s="22"/>
    </row>
    <row r="1000" ht="14.25" customHeight="1">
      <c r="A1000" s="21"/>
      <c r="B1000" s="22"/>
      <c r="C1000" s="22"/>
    </row>
  </sheetData>
  <mergeCells count="19">
    <mergeCell ref="X1:AF1"/>
    <mergeCell ref="AG1:AZ1"/>
    <mergeCell ref="BA1:BB1"/>
    <mergeCell ref="BC1:BE1"/>
    <mergeCell ref="BF1:BH1"/>
    <mergeCell ref="BI1:BL1"/>
    <mergeCell ref="B2:C2"/>
    <mergeCell ref="A3:C3"/>
    <mergeCell ref="B54:B55"/>
    <mergeCell ref="A66:C70"/>
    <mergeCell ref="A74:C75"/>
    <mergeCell ref="A78:C80"/>
    <mergeCell ref="A1:A2"/>
    <mergeCell ref="B1:C1"/>
    <mergeCell ref="D1:G1"/>
    <mergeCell ref="H1:I1"/>
    <mergeCell ref="J1:M1"/>
    <mergeCell ref="N1:P1"/>
    <mergeCell ref="Q1:W1"/>
  </mergeCells>
  <printOptions/>
  <pageMargins bottom="0.75" footer="0.0" header="0.0" left="0.7" right="0.7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5.86"/>
    <col customWidth="1" min="2" max="2" width="11.0"/>
    <col customWidth="1" min="3" max="3" width="9.14"/>
    <col customWidth="1" min="4" max="26" width="8.71"/>
  </cols>
  <sheetData>
    <row r="1" ht="14.25" customHeight="1">
      <c r="A1" s="1"/>
      <c r="B1" s="2" t="s">
        <v>0</v>
      </c>
      <c r="D1" s="3" t="s">
        <v>440</v>
      </c>
      <c r="H1" s="3" t="s">
        <v>441</v>
      </c>
      <c r="L1" s="3" t="s">
        <v>442</v>
      </c>
      <c r="M1" s="3" t="s">
        <v>443</v>
      </c>
      <c r="N1" s="3" t="s">
        <v>444</v>
      </c>
      <c r="O1" s="3" t="s">
        <v>445</v>
      </c>
      <c r="P1" s="3" t="s">
        <v>446</v>
      </c>
      <c r="T1" s="3" t="s">
        <v>447</v>
      </c>
      <c r="U1" s="3" t="s">
        <v>448</v>
      </c>
      <c r="V1" s="3" t="s">
        <v>449</v>
      </c>
      <c r="W1" s="3"/>
      <c r="X1" s="3"/>
      <c r="Y1" s="3"/>
      <c r="Z1" s="3"/>
    </row>
    <row r="2" ht="14.25" customHeight="1">
      <c r="A2" s="4"/>
      <c r="B2" s="5" t="s">
        <v>44</v>
      </c>
      <c r="C2" s="4"/>
      <c r="D2" s="6" t="s">
        <v>55</v>
      </c>
      <c r="E2" s="7" t="s">
        <v>269</v>
      </c>
      <c r="F2" s="7" t="s">
        <v>450</v>
      </c>
      <c r="G2" s="7" t="s">
        <v>451</v>
      </c>
      <c r="H2" s="6" t="s">
        <v>55</v>
      </c>
      <c r="I2" s="7" t="s">
        <v>452</v>
      </c>
      <c r="J2" s="6" t="s">
        <v>453</v>
      </c>
      <c r="K2" s="7" t="s">
        <v>454</v>
      </c>
      <c r="L2" s="6" t="s">
        <v>55</v>
      </c>
      <c r="M2" s="6" t="s">
        <v>55</v>
      </c>
      <c r="N2" s="6" t="s">
        <v>55</v>
      </c>
      <c r="O2" s="6" t="s">
        <v>55</v>
      </c>
      <c r="P2" s="6" t="s">
        <v>55</v>
      </c>
      <c r="Q2" s="11" t="s">
        <v>59</v>
      </c>
      <c r="R2" s="7" t="s">
        <v>450</v>
      </c>
      <c r="S2" s="7" t="s">
        <v>455</v>
      </c>
      <c r="T2" s="6" t="s">
        <v>55</v>
      </c>
      <c r="U2" s="9" t="s">
        <v>60</v>
      </c>
      <c r="V2" s="6" t="s">
        <v>55</v>
      </c>
    </row>
    <row r="3" ht="14.25" customHeight="1">
      <c r="A3" s="15" t="s">
        <v>88</v>
      </c>
      <c r="B3" s="16"/>
      <c r="C3" s="17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</row>
    <row r="4" ht="14.25" customHeight="1">
      <c r="A4" s="19" t="s">
        <v>89</v>
      </c>
      <c r="B4" s="20" t="s">
        <v>90</v>
      </c>
      <c r="C4" s="20" t="s">
        <v>91</v>
      </c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</row>
    <row r="5" ht="14.25" customHeight="1">
      <c r="A5" s="21" t="s">
        <v>92</v>
      </c>
      <c r="B5" s="22" t="s">
        <v>93</v>
      </c>
      <c r="C5" s="22"/>
      <c r="D5" s="23">
        <v>92.45</v>
      </c>
      <c r="E5" s="23">
        <v>91.08</v>
      </c>
      <c r="F5" s="23">
        <v>91.1</v>
      </c>
      <c r="G5" s="23">
        <v>88.52</v>
      </c>
      <c r="H5" s="23">
        <v>92.82</v>
      </c>
      <c r="I5" s="23">
        <v>90.66</v>
      </c>
      <c r="J5" s="23">
        <v>92.82</v>
      </c>
      <c r="K5" s="23">
        <v>90.66</v>
      </c>
      <c r="L5" s="23">
        <v>92.12</v>
      </c>
      <c r="M5" s="23">
        <v>89.18</v>
      </c>
      <c r="N5" s="23">
        <v>88.34</v>
      </c>
      <c r="O5" s="23">
        <v>89.85</v>
      </c>
      <c r="P5" s="23">
        <v>89.74</v>
      </c>
      <c r="Q5" s="23">
        <v>9.5</v>
      </c>
      <c r="R5" s="23">
        <v>87.74</v>
      </c>
      <c r="S5" s="23">
        <v>83.48</v>
      </c>
      <c r="T5" s="23">
        <v>90.37</v>
      </c>
      <c r="U5" s="23">
        <v>89.88</v>
      </c>
      <c r="V5" s="23">
        <v>89.61</v>
      </c>
    </row>
    <row r="6" ht="14.25" customHeight="1">
      <c r="A6" s="21" t="s">
        <v>94</v>
      </c>
      <c r="B6" s="22" t="s">
        <v>95</v>
      </c>
      <c r="C6" s="22"/>
      <c r="D6" s="23">
        <v>22.0</v>
      </c>
      <c r="E6" s="23">
        <v>28.0</v>
      </c>
      <c r="F6" s="23">
        <v>26.0</v>
      </c>
      <c r="G6" s="23">
        <v>35.0</v>
      </c>
      <c r="H6" s="23">
        <v>22.0</v>
      </c>
      <c r="I6" s="23">
        <v>29.0</v>
      </c>
      <c r="J6" s="23">
        <v>22.0</v>
      </c>
      <c r="K6" s="23">
        <v>29.0</v>
      </c>
      <c r="L6" s="23">
        <v>22.0</v>
      </c>
      <c r="M6" s="23">
        <v>33.0</v>
      </c>
      <c r="N6" s="23">
        <v>37.0</v>
      </c>
      <c r="O6" s="23">
        <v>38.0</v>
      </c>
      <c r="P6" s="23">
        <v>34.0</v>
      </c>
      <c r="Q6" s="23">
        <v>296.0</v>
      </c>
      <c r="R6" s="23">
        <v>39.0</v>
      </c>
      <c r="S6" s="23">
        <v>56.0</v>
      </c>
      <c r="T6" s="23">
        <v>31.0</v>
      </c>
      <c r="U6" s="23">
        <v>32.0</v>
      </c>
      <c r="V6" s="23">
        <v>31.0</v>
      </c>
    </row>
    <row r="7" ht="14.25" customHeight="1">
      <c r="A7" s="21" t="s">
        <v>96</v>
      </c>
      <c r="B7" s="22" t="s">
        <v>97</v>
      </c>
      <c r="C7" s="22" t="s">
        <v>98</v>
      </c>
      <c r="D7" s="24">
        <v>3.09</v>
      </c>
      <c r="E7" s="23">
        <v>2.17</v>
      </c>
      <c r="F7" s="24">
        <v>3.58</v>
      </c>
      <c r="G7" s="24">
        <v>3.91</v>
      </c>
      <c r="H7" s="23">
        <v>2.11</v>
      </c>
      <c r="I7" s="24">
        <v>3.28</v>
      </c>
      <c r="J7" s="23">
        <v>2.11</v>
      </c>
      <c r="K7" s="24">
        <v>3.28</v>
      </c>
      <c r="L7" s="23">
        <v>2.5</v>
      </c>
      <c r="M7" s="24">
        <v>3.31</v>
      </c>
      <c r="N7" s="23">
        <v>2.66</v>
      </c>
      <c r="O7" s="23">
        <v>1.49</v>
      </c>
      <c r="P7" s="23">
        <v>2.24</v>
      </c>
      <c r="Q7" s="26">
        <v>9.58</v>
      </c>
      <c r="R7" s="24">
        <v>3.45</v>
      </c>
      <c r="S7" s="23">
        <v>1.56</v>
      </c>
      <c r="T7" s="23">
        <v>1.94</v>
      </c>
      <c r="U7" s="24">
        <v>3.83</v>
      </c>
      <c r="V7" s="23">
        <v>3.12</v>
      </c>
    </row>
    <row r="8" ht="14.25" customHeight="1">
      <c r="A8" s="21" t="s">
        <v>99</v>
      </c>
      <c r="B8" s="22" t="s">
        <v>100</v>
      </c>
      <c r="C8" s="22"/>
      <c r="D8" s="23">
        <v>0.34</v>
      </c>
      <c r="E8" s="23">
        <v>0.47</v>
      </c>
      <c r="F8" s="23">
        <v>0.33</v>
      </c>
      <c r="G8" s="23">
        <v>0.46</v>
      </c>
      <c r="H8" s="23">
        <v>0.35</v>
      </c>
      <c r="I8" s="23">
        <v>0.58</v>
      </c>
      <c r="J8" s="23">
        <v>0.35</v>
      </c>
      <c r="K8" s="23">
        <v>0.58</v>
      </c>
      <c r="L8" s="23">
        <v>0.1</v>
      </c>
      <c r="M8" s="23">
        <v>0.41</v>
      </c>
      <c r="N8" s="23">
        <v>0.29</v>
      </c>
      <c r="O8" s="23">
        <v>0.53</v>
      </c>
      <c r="P8" s="23">
        <v>0.49</v>
      </c>
      <c r="Q8" s="23">
        <v>0.99</v>
      </c>
      <c r="R8" s="23">
        <v>0.35</v>
      </c>
      <c r="S8" s="23">
        <v>0.22</v>
      </c>
      <c r="T8" s="23">
        <v>0.19</v>
      </c>
      <c r="U8" s="23">
        <v>0.68</v>
      </c>
      <c r="V8" s="23">
        <v>0.57</v>
      </c>
    </row>
    <row r="9" ht="14.25" customHeight="1">
      <c r="A9" s="21" t="s">
        <v>101</v>
      </c>
      <c r="B9" s="22" t="s">
        <v>102</v>
      </c>
      <c r="C9" s="22"/>
      <c r="D9" s="23">
        <v>3.26</v>
      </c>
      <c r="E9" s="23">
        <v>5.29</v>
      </c>
      <c r="F9" s="23">
        <v>4.04</v>
      </c>
      <c r="G9" s="23">
        <v>6.04</v>
      </c>
      <c r="H9" s="23">
        <v>3.87</v>
      </c>
      <c r="I9" s="23">
        <v>4.44</v>
      </c>
      <c r="J9" s="23">
        <v>3.87</v>
      </c>
      <c r="K9" s="23">
        <v>4.44</v>
      </c>
      <c r="L9" s="23">
        <v>4.3</v>
      </c>
      <c r="M9" s="23">
        <v>6.09</v>
      </c>
      <c r="N9" s="23">
        <v>7.81</v>
      </c>
      <c r="O9" s="23">
        <v>6.86</v>
      </c>
      <c r="P9" s="23">
        <v>6.79</v>
      </c>
      <c r="Q9" s="23">
        <v>75.37</v>
      </c>
      <c r="R9" s="23">
        <v>7.68</v>
      </c>
      <c r="S9" s="23">
        <v>14.39</v>
      </c>
      <c r="T9" s="23">
        <v>6.97</v>
      </c>
      <c r="U9" s="23">
        <v>4.64</v>
      </c>
      <c r="V9" s="23">
        <v>5.1</v>
      </c>
    </row>
    <row r="10" ht="14.25" customHeight="1">
      <c r="A10" s="21" t="s">
        <v>103</v>
      </c>
      <c r="B10" s="22" t="s">
        <v>104</v>
      </c>
      <c r="C10" s="22"/>
      <c r="D10" s="23">
        <v>1.0</v>
      </c>
      <c r="E10" s="23">
        <v>2.2</v>
      </c>
      <c r="F10" s="23">
        <v>1.8</v>
      </c>
      <c r="G10" s="23">
        <v>2.5</v>
      </c>
      <c r="H10" s="23">
        <v>1.3</v>
      </c>
      <c r="I10" s="23">
        <v>2.2</v>
      </c>
      <c r="J10" s="23">
        <v>1.3</v>
      </c>
      <c r="K10" s="23">
        <v>2.2</v>
      </c>
      <c r="L10" s="23">
        <v>0.6</v>
      </c>
      <c r="M10" s="23">
        <v>2.3</v>
      </c>
      <c r="N10" s="23">
        <v>2.7</v>
      </c>
      <c r="O10" s="23">
        <v>3.8</v>
      </c>
      <c r="P10" s="23">
        <v>2.5</v>
      </c>
      <c r="Q10" s="25">
        <v>11.5</v>
      </c>
      <c r="R10" s="23">
        <v>3.6</v>
      </c>
      <c r="S10" s="23">
        <v>2.1</v>
      </c>
      <c r="T10" s="23">
        <v>2.7</v>
      </c>
      <c r="U10" s="23">
        <v>2.5</v>
      </c>
      <c r="V10" s="23">
        <v>2.8</v>
      </c>
    </row>
    <row r="11" ht="14.25" customHeight="1">
      <c r="A11" s="21" t="s">
        <v>105</v>
      </c>
      <c r="B11" s="22"/>
      <c r="C11" s="22"/>
      <c r="D11" s="23">
        <v>1.98</v>
      </c>
      <c r="E11" s="23">
        <v>2.34</v>
      </c>
      <c r="F11" s="23">
        <v>0.0</v>
      </c>
      <c r="G11" s="23">
        <v>0.0</v>
      </c>
      <c r="H11" s="23">
        <v>2.5</v>
      </c>
      <c r="I11" s="23">
        <v>2.26</v>
      </c>
      <c r="J11" s="23">
        <v>2.5</v>
      </c>
      <c r="K11" s="23">
        <v>2.26</v>
      </c>
      <c r="L11" s="23">
        <v>1.72</v>
      </c>
      <c r="M11" s="23">
        <v>1.11</v>
      </c>
      <c r="N11" s="23">
        <v>0.22</v>
      </c>
      <c r="O11" s="23">
        <v>1.16</v>
      </c>
      <c r="P11" s="23">
        <v>2.38</v>
      </c>
      <c r="Q11" s="23">
        <v>2.21</v>
      </c>
      <c r="R11" s="23">
        <v>0.3</v>
      </c>
      <c r="S11" s="23">
        <v>3.84</v>
      </c>
      <c r="T11" s="23">
        <v>2.07</v>
      </c>
      <c r="V11" s="23">
        <v>0.6</v>
      </c>
    </row>
    <row r="12" ht="14.25" customHeight="1">
      <c r="A12" s="19" t="s">
        <v>106</v>
      </c>
      <c r="B12" s="27"/>
      <c r="C12" s="27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</row>
    <row r="13" ht="14.25" customHeight="1">
      <c r="A13" s="21" t="s">
        <v>107</v>
      </c>
      <c r="B13" s="22">
        <v>1000.0</v>
      </c>
      <c r="C13" s="22">
        <v>2500.0</v>
      </c>
      <c r="D13" s="23">
        <v>3.0</v>
      </c>
      <c r="E13" s="23">
        <v>6.0</v>
      </c>
      <c r="F13" s="23">
        <v>4.0</v>
      </c>
      <c r="G13" s="23">
        <v>6.0</v>
      </c>
      <c r="H13" s="23">
        <v>3.0</v>
      </c>
      <c r="I13" s="23">
        <v>3.0</v>
      </c>
      <c r="J13" s="23">
        <v>3.0</v>
      </c>
      <c r="K13" s="23">
        <v>3.0</v>
      </c>
      <c r="L13" s="23">
        <v>18.0</v>
      </c>
      <c r="M13" s="23">
        <v>3.0</v>
      </c>
      <c r="N13" s="23">
        <v>0.0</v>
      </c>
      <c r="O13" s="23">
        <v>15.0</v>
      </c>
      <c r="P13" s="23">
        <v>2.0</v>
      </c>
      <c r="Q13" s="23">
        <v>11.0</v>
      </c>
      <c r="R13" s="23">
        <v>2.0</v>
      </c>
      <c r="S13" s="23">
        <v>3.0</v>
      </c>
      <c r="T13" s="23">
        <v>1.0</v>
      </c>
      <c r="U13" s="23">
        <v>10.0</v>
      </c>
      <c r="V13" s="23">
        <v>43.0</v>
      </c>
    </row>
    <row r="14" ht="14.25" customHeight="1">
      <c r="A14" s="21" t="s">
        <v>108</v>
      </c>
      <c r="B14" s="22" t="s">
        <v>109</v>
      </c>
      <c r="C14" s="22" t="s">
        <v>110</v>
      </c>
      <c r="D14" s="23">
        <v>0.5</v>
      </c>
      <c r="E14" s="23">
        <v>1.74</v>
      </c>
      <c r="F14" s="23">
        <v>0.25</v>
      </c>
      <c r="G14" s="23">
        <v>0.33</v>
      </c>
      <c r="H14" s="23">
        <v>0.31</v>
      </c>
      <c r="I14" s="23">
        <v>0.4</v>
      </c>
      <c r="J14" s="23">
        <v>0.31</v>
      </c>
      <c r="K14" s="23">
        <v>0.4</v>
      </c>
      <c r="L14" s="23">
        <v>0.4</v>
      </c>
      <c r="M14" s="23">
        <v>1.33</v>
      </c>
      <c r="N14" s="23">
        <v>1.15</v>
      </c>
      <c r="O14" s="24">
        <v>3.47</v>
      </c>
      <c r="P14" s="23">
        <v>0.41</v>
      </c>
      <c r="Q14" s="23">
        <v>1.72</v>
      </c>
      <c r="R14" s="23">
        <v>0.53</v>
      </c>
      <c r="S14" s="23">
        <v>0.44</v>
      </c>
      <c r="T14" s="23">
        <v>0.3</v>
      </c>
      <c r="U14" s="23">
        <v>1.43</v>
      </c>
      <c r="V14" s="26">
        <v>12.18</v>
      </c>
    </row>
    <row r="15" ht="14.25" customHeight="1">
      <c r="A15" s="21" t="s">
        <v>111</v>
      </c>
      <c r="B15" s="22" t="s">
        <v>112</v>
      </c>
      <c r="C15" s="22">
        <v>350.0</v>
      </c>
      <c r="D15" s="23">
        <v>9.0</v>
      </c>
      <c r="E15" s="23">
        <v>12.0</v>
      </c>
      <c r="F15" s="23">
        <v>11.0</v>
      </c>
      <c r="G15" s="23">
        <v>14.0</v>
      </c>
      <c r="I15" s="23">
        <v>13.0</v>
      </c>
      <c r="J15" s="23">
        <v>10.0</v>
      </c>
      <c r="K15" s="23">
        <v>13.0</v>
      </c>
      <c r="L15" s="23">
        <v>9.0</v>
      </c>
      <c r="M15" s="23">
        <v>18.0</v>
      </c>
      <c r="N15" s="23">
        <v>16.0</v>
      </c>
      <c r="O15" s="23">
        <v>13.0</v>
      </c>
      <c r="P15" s="23">
        <v>20.0</v>
      </c>
      <c r="Q15" s="25">
        <v>132.0</v>
      </c>
      <c r="R15" s="23">
        <v>19.0</v>
      </c>
      <c r="S15" s="23">
        <v>14.0</v>
      </c>
      <c r="T15" s="23">
        <v>10.0</v>
      </c>
      <c r="U15" s="23">
        <v>7.0</v>
      </c>
      <c r="V15" s="23">
        <v>19.0</v>
      </c>
    </row>
    <row r="16" ht="14.25" customHeight="1">
      <c r="A16" s="21" t="s">
        <v>113</v>
      </c>
      <c r="B16" s="22" t="s">
        <v>114</v>
      </c>
      <c r="C16" s="22">
        <v>4000.0</v>
      </c>
      <c r="D16" s="23">
        <v>86.0</v>
      </c>
      <c r="E16" s="23">
        <v>87.0</v>
      </c>
      <c r="F16" s="23">
        <v>105.0</v>
      </c>
      <c r="G16" s="23">
        <v>127.0</v>
      </c>
      <c r="H16" s="23">
        <v>108.0</v>
      </c>
      <c r="I16" s="23">
        <v>135.0</v>
      </c>
      <c r="J16" s="23">
        <v>108.0</v>
      </c>
      <c r="K16" s="23">
        <v>135.0</v>
      </c>
      <c r="L16" s="23">
        <v>120.0</v>
      </c>
      <c r="M16" s="23">
        <v>120.0</v>
      </c>
      <c r="N16" s="23">
        <v>105.0</v>
      </c>
      <c r="O16" s="23">
        <v>57.0</v>
      </c>
      <c r="P16" s="23">
        <v>112.0</v>
      </c>
      <c r="Q16" s="25">
        <v>294.0</v>
      </c>
      <c r="R16" s="23">
        <v>111.0</v>
      </c>
      <c r="S16" s="23">
        <v>29.0</v>
      </c>
      <c r="T16" s="23">
        <v>74.0</v>
      </c>
      <c r="U16" s="23">
        <v>61.0</v>
      </c>
      <c r="V16" s="24">
        <v>194.0</v>
      </c>
    </row>
    <row r="17" ht="14.25" customHeight="1">
      <c r="A17" s="21" t="s">
        <v>115</v>
      </c>
      <c r="B17" s="22" t="s">
        <v>116</v>
      </c>
      <c r="C17" s="22" t="s">
        <v>100</v>
      </c>
      <c r="D17" s="23">
        <v>318.0</v>
      </c>
      <c r="E17" s="23">
        <v>356.0</v>
      </c>
      <c r="F17" s="23">
        <v>396.0</v>
      </c>
      <c r="G17" s="24">
        <v>488.0</v>
      </c>
      <c r="H17" s="23">
        <v>364.0</v>
      </c>
      <c r="I17" s="24">
        <v>437.0</v>
      </c>
      <c r="J17" s="23">
        <v>364.0</v>
      </c>
      <c r="K17" s="24">
        <v>437.0</v>
      </c>
      <c r="L17" s="24">
        <v>448.0</v>
      </c>
      <c r="M17" s="24">
        <v>420.0</v>
      </c>
      <c r="N17" s="23">
        <v>359.0</v>
      </c>
      <c r="O17" s="24">
        <v>506.0</v>
      </c>
      <c r="P17" s="23">
        <v>304.0</v>
      </c>
      <c r="Q17" s="50">
        <v>1534.0</v>
      </c>
      <c r="R17" s="23">
        <v>326.0</v>
      </c>
      <c r="S17" s="23">
        <v>117.0</v>
      </c>
      <c r="T17" s="23">
        <v>204.0</v>
      </c>
      <c r="U17" s="23">
        <v>78.0</v>
      </c>
      <c r="V17" s="23">
        <v>411.0</v>
      </c>
    </row>
    <row r="18" ht="14.25" customHeight="1">
      <c r="A18" s="21" t="s">
        <v>117</v>
      </c>
      <c r="B18" s="22" t="s">
        <v>118</v>
      </c>
      <c r="C18" s="22">
        <v>2300.0</v>
      </c>
      <c r="D18" s="23">
        <v>5.0</v>
      </c>
      <c r="E18" s="23">
        <v>2.0</v>
      </c>
      <c r="F18" s="23">
        <v>12.0</v>
      </c>
      <c r="G18" s="23">
        <v>17.0</v>
      </c>
      <c r="H18" s="23">
        <v>9.0</v>
      </c>
      <c r="I18" s="23">
        <v>11.0</v>
      </c>
      <c r="J18" s="23">
        <v>9.0</v>
      </c>
      <c r="K18" s="23">
        <v>11.0</v>
      </c>
      <c r="L18" s="23">
        <v>6.0</v>
      </c>
      <c r="M18" s="23">
        <v>18.0</v>
      </c>
      <c r="N18" s="23">
        <v>3.0</v>
      </c>
      <c r="O18" s="23">
        <v>9.0</v>
      </c>
      <c r="P18" s="23">
        <v>9.0</v>
      </c>
      <c r="Q18" s="23">
        <v>13.0</v>
      </c>
      <c r="R18" s="23">
        <v>5.0</v>
      </c>
      <c r="S18" s="23">
        <v>4.0</v>
      </c>
      <c r="T18" s="23">
        <v>1.0</v>
      </c>
      <c r="U18" s="34">
        <v>384.0</v>
      </c>
      <c r="V18" s="23">
        <v>21.0</v>
      </c>
    </row>
    <row r="19" ht="14.25" customHeight="1">
      <c r="A19" s="21" t="s">
        <v>119</v>
      </c>
      <c r="B19" s="22" t="s">
        <v>120</v>
      </c>
      <c r="C19" s="22">
        <v>40.0</v>
      </c>
      <c r="D19" s="23">
        <v>0.52</v>
      </c>
      <c r="E19" s="23">
        <v>0.87</v>
      </c>
      <c r="F19" s="23">
        <v>0.57</v>
      </c>
      <c r="G19" s="23">
        <v>0.73</v>
      </c>
      <c r="H19" s="23">
        <v>0.53</v>
      </c>
      <c r="I19" s="23">
        <v>0.65</v>
      </c>
      <c r="J19" s="23">
        <v>0.53</v>
      </c>
      <c r="K19" s="23">
        <v>0.65</v>
      </c>
      <c r="L19" s="24">
        <v>1.1</v>
      </c>
      <c r="M19" s="23">
        <v>0.77</v>
      </c>
      <c r="N19" s="23">
        <v>0.65</v>
      </c>
      <c r="O19" s="23">
        <v>0.71</v>
      </c>
      <c r="P19" s="24">
        <v>1.03</v>
      </c>
      <c r="Q19" s="50">
        <v>7.66</v>
      </c>
      <c r="R19" s="23">
        <v>0.96</v>
      </c>
      <c r="S19" s="24">
        <v>1.33</v>
      </c>
      <c r="T19" s="23">
        <v>0.75</v>
      </c>
      <c r="U19" s="23">
        <v>0.67</v>
      </c>
      <c r="V19" s="24">
        <v>2.03</v>
      </c>
    </row>
    <row r="20" ht="14.25" customHeight="1">
      <c r="A20" s="21" t="s">
        <v>121</v>
      </c>
      <c r="B20" s="22" t="s">
        <v>122</v>
      </c>
      <c r="C20" s="22">
        <v>10.0</v>
      </c>
      <c r="D20" s="23">
        <v>0.318</v>
      </c>
      <c r="E20" s="25">
        <v>0.504</v>
      </c>
      <c r="F20" s="23">
        <v>0.291</v>
      </c>
      <c r="G20" s="23">
        <v>0.37</v>
      </c>
      <c r="H20" s="23">
        <v>0.286</v>
      </c>
      <c r="I20" s="24">
        <v>0.389</v>
      </c>
      <c r="J20" s="23">
        <v>0.286</v>
      </c>
      <c r="K20" s="24">
        <v>0.389</v>
      </c>
      <c r="L20" s="23">
        <v>0.5</v>
      </c>
      <c r="M20" s="23">
        <v>0.244</v>
      </c>
      <c r="N20" s="23">
        <v>0.107</v>
      </c>
      <c r="O20" s="23">
        <v>0.353</v>
      </c>
      <c r="P20" s="23">
        <v>0.142</v>
      </c>
      <c r="Q20" s="26">
        <v>5.165</v>
      </c>
      <c r="R20" s="23">
        <v>0.163</v>
      </c>
      <c r="S20" s="50">
        <v>0.896</v>
      </c>
      <c r="T20" s="23">
        <v>0.252</v>
      </c>
      <c r="U20" s="23">
        <v>0.133</v>
      </c>
      <c r="V20" s="25">
        <v>0.625</v>
      </c>
    </row>
    <row r="21" ht="14.25" customHeight="1">
      <c r="A21" s="21" t="s">
        <v>123</v>
      </c>
      <c r="B21" s="22" t="s">
        <v>124</v>
      </c>
      <c r="C21" s="22">
        <v>11.0</v>
      </c>
      <c r="D21" s="23">
        <v>0.047</v>
      </c>
      <c r="E21" s="23">
        <v>0.115</v>
      </c>
      <c r="F21" s="23">
        <v>0.047</v>
      </c>
      <c r="G21" s="23">
        <v>0.064</v>
      </c>
      <c r="H21" s="23">
        <v>0.069</v>
      </c>
      <c r="I21" s="23">
        <v>0.067</v>
      </c>
      <c r="J21" s="23">
        <v>0.069</v>
      </c>
      <c r="K21" s="23">
        <v>0.067</v>
      </c>
      <c r="L21" s="23">
        <v>0.142</v>
      </c>
      <c r="M21" s="23">
        <v>0.113</v>
      </c>
      <c r="N21" s="23">
        <v>0.075</v>
      </c>
      <c r="O21" s="23">
        <v>0.286</v>
      </c>
      <c r="P21" s="23">
        <v>0.23</v>
      </c>
      <c r="Q21" s="25">
        <v>1.176</v>
      </c>
      <c r="R21" s="23">
        <v>0.223</v>
      </c>
      <c r="S21" s="23">
        <v>0.204</v>
      </c>
      <c r="T21" s="23">
        <v>0.059</v>
      </c>
      <c r="U21" s="23">
        <v>0.098</v>
      </c>
      <c r="V21" s="24">
        <v>0.587</v>
      </c>
    </row>
    <row r="22" ht="14.25" customHeight="1">
      <c r="A22" s="21" t="s">
        <v>125</v>
      </c>
      <c r="B22" s="22" t="s">
        <v>126</v>
      </c>
      <c r="C22" s="22">
        <v>400.0</v>
      </c>
      <c r="D22" s="23">
        <v>9.3</v>
      </c>
      <c r="E22" s="23">
        <v>11.9</v>
      </c>
      <c r="F22" s="23">
        <v>13.9</v>
      </c>
      <c r="G22" s="23">
        <v>18.0</v>
      </c>
      <c r="H22" s="24">
        <v>18.6</v>
      </c>
      <c r="I22" s="24">
        <v>21.9</v>
      </c>
      <c r="J22" s="24">
        <v>18.6</v>
      </c>
      <c r="K22" s="24">
        <v>21.9</v>
      </c>
      <c r="L22" s="23">
        <v>26.0</v>
      </c>
      <c r="M22" s="23">
        <v>2.6</v>
      </c>
      <c r="N22" s="23">
        <v>2.2</v>
      </c>
      <c r="O22" s="23">
        <v>2.2</v>
      </c>
      <c r="P22" s="23">
        <v>5.7</v>
      </c>
      <c r="Q22" s="50">
        <v>46.1</v>
      </c>
      <c r="R22" s="23">
        <v>6.3</v>
      </c>
      <c r="S22" s="25">
        <v>24.8</v>
      </c>
      <c r="T22" s="23">
        <v>2.2</v>
      </c>
      <c r="U22" s="23">
        <v>15.2</v>
      </c>
      <c r="V22" s="23">
        <v>2.2</v>
      </c>
    </row>
    <row r="23" ht="14.25" customHeight="1">
      <c r="A23" s="21" t="s">
        <v>127</v>
      </c>
      <c r="B23" s="22" t="s">
        <v>128</v>
      </c>
      <c r="C23" s="22" t="s">
        <v>129</v>
      </c>
    </row>
    <row r="24" ht="14.25" customHeight="1">
      <c r="A24" s="19" t="s">
        <v>130</v>
      </c>
      <c r="B24" s="27"/>
      <c r="C24" s="27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 ht="14.25" customHeight="1">
      <c r="A25" s="21" t="s">
        <v>131</v>
      </c>
      <c r="B25" s="22">
        <v>90.0</v>
      </c>
      <c r="C25" s="22">
        <v>2000.0</v>
      </c>
      <c r="D25" s="23">
        <v>2.1</v>
      </c>
      <c r="E25" s="23">
        <v>4.0</v>
      </c>
      <c r="F25" s="23">
        <v>0.0</v>
      </c>
      <c r="G25" s="23">
        <v>0.0</v>
      </c>
      <c r="H25" s="23">
        <v>0.0</v>
      </c>
      <c r="I25" s="23">
        <v>0.0</v>
      </c>
      <c r="J25" s="23">
        <v>0.0</v>
      </c>
      <c r="K25" s="23">
        <v>0.0</v>
      </c>
      <c r="L25" s="23">
        <v>0.0</v>
      </c>
      <c r="M25" s="23">
        <v>0.0</v>
      </c>
      <c r="N25" s="23">
        <v>0.0</v>
      </c>
      <c r="Q25" s="23">
        <v>3.5</v>
      </c>
      <c r="R25" s="23">
        <v>0.0</v>
      </c>
      <c r="S25" s="23">
        <v>0.3</v>
      </c>
      <c r="T25" s="23">
        <v>0.0</v>
      </c>
      <c r="U25" s="23">
        <v>0.0</v>
      </c>
    </row>
    <row r="26" ht="14.25" customHeight="1">
      <c r="A26" s="21" t="s">
        <v>132</v>
      </c>
      <c r="B26" s="22" t="s">
        <v>133</v>
      </c>
      <c r="C26" s="22" t="s">
        <v>100</v>
      </c>
      <c r="D26" s="23">
        <v>0.081</v>
      </c>
      <c r="E26" s="23">
        <v>0.073</v>
      </c>
      <c r="F26" s="23">
        <v>0.096</v>
      </c>
      <c r="G26" s="23">
        <v>0.06</v>
      </c>
      <c r="H26" s="23">
        <v>0.059</v>
      </c>
      <c r="I26" s="23">
        <v>0.072</v>
      </c>
      <c r="J26" s="23">
        <v>0.059</v>
      </c>
      <c r="K26" s="23">
        <v>0.072</v>
      </c>
      <c r="L26" s="23">
        <v>0.095</v>
      </c>
      <c r="M26" s="23">
        <v>0.125</v>
      </c>
      <c r="N26" s="24">
        <v>0.225</v>
      </c>
      <c r="O26" s="23">
        <v>0.015</v>
      </c>
      <c r="P26" s="23">
        <v>0.015</v>
      </c>
      <c r="Q26" s="24">
        <v>0.3</v>
      </c>
      <c r="R26" s="23">
        <v>0.099</v>
      </c>
      <c r="S26" s="23">
        <v>0.037</v>
      </c>
      <c r="T26" s="23">
        <v>0.146</v>
      </c>
      <c r="U26" s="23">
        <v>0.013</v>
      </c>
      <c r="V26" s="23">
        <v>0.069</v>
      </c>
    </row>
    <row r="27" ht="14.25" customHeight="1">
      <c r="A27" s="21" t="s">
        <v>134</v>
      </c>
      <c r="B27" s="22" t="s">
        <v>135</v>
      </c>
      <c r="C27" s="22" t="s">
        <v>100</v>
      </c>
      <c r="D27" s="24">
        <v>0.402</v>
      </c>
      <c r="E27" s="23">
        <v>0.3</v>
      </c>
      <c r="F27" s="24">
        <v>0.463</v>
      </c>
      <c r="G27" s="24">
        <v>0.431</v>
      </c>
      <c r="H27" s="23">
        <v>0.13</v>
      </c>
      <c r="I27" s="24">
        <v>0.403</v>
      </c>
      <c r="J27" s="23">
        <v>0.13</v>
      </c>
      <c r="K27" s="24">
        <v>0.403</v>
      </c>
      <c r="L27" s="24">
        <v>0.49</v>
      </c>
      <c r="M27" s="24">
        <v>0.349</v>
      </c>
      <c r="N27" s="23">
        <v>0.2</v>
      </c>
      <c r="O27" s="23">
        <v>0.215</v>
      </c>
      <c r="P27" s="23">
        <v>0.217</v>
      </c>
      <c r="Q27" s="26">
        <v>1.27</v>
      </c>
      <c r="R27" s="23">
        <v>0.274</v>
      </c>
      <c r="S27" s="23">
        <v>0.17</v>
      </c>
      <c r="T27" s="23">
        <v>0.242</v>
      </c>
      <c r="U27" s="23">
        <v>0.07</v>
      </c>
      <c r="V27" s="23">
        <v>0.205</v>
      </c>
    </row>
    <row r="28" ht="14.25" customHeight="1">
      <c r="A28" s="21" t="s">
        <v>136</v>
      </c>
      <c r="B28" s="22" t="s">
        <v>137</v>
      </c>
      <c r="C28" s="22" t="s">
        <v>138</v>
      </c>
      <c r="D28" s="23">
        <v>3.607</v>
      </c>
      <c r="E28" s="23">
        <v>4.46</v>
      </c>
      <c r="F28" s="23">
        <v>3.987</v>
      </c>
      <c r="G28" s="23">
        <v>5.35</v>
      </c>
      <c r="H28" s="23">
        <v>4.494</v>
      </c>
      <c r="I28" s="24">
        <v>6.255</v>
      </c>
      <c r="J28" s="23">
        <v>4.494</v>
      </c>
      <c r="K28" s="24">
        <v>6.255</v>
      </c>
      <c r="L28" s="23">
        <v>3.8</v>
      </c>
      <c r="M28" s="23">
        <v>4.956</v>
      </c>
      <c r="N28" s="25">
        <v>7.032</v>
      </c>
      <c r="O28" s="23">
        <v>4.085</v>
      </c>
      <c r="P28" s="23">
        <v>3.877</v>
      </c>
      <c r="Q28" s="50">
        <v>14.1</v>
      </c>
      <c r="R28" s="23">
        <v>3.87</v>
      </c>
      <c r="S28" s="23">
        <v>1.5</v>
      </c>
      <c r="T28" s="24">
        <v>6.585</v>
      </c>
      <c r="U28" s="23">
        <v>0.224</v>
      </c>
      <c r="V28" s="23">
        <v>2.252</v>
      </c>
    </row>
    <row r="29" ht="14.25" customHeight="1">
      <c r="A29" s="21" t="s">
        <v>139</v>
      </c>
      <c r="B29" s="22">
        <v>1.3</v>
      </c>
      <c r="C29" s="22" t="s">
        <v>140</v>
      </c>
      <c r="D29" s="23">
        <v>0.104</v>
      </c>
      <c r="E29" s="23">
        <v>0.095</v>
      </c>
      <c r="F29" s="23">
        <v>0.042</v>
      </c>
      <c r="G29" s="23">
        <v>0.049</v>
      </c>
      <c r="H29" s="23">
        <v>0.148</v>
      </c>
      <c r="I29" s="23">
        <v>0.122</v>
      </c>
      <c r="J29" s="23">
        <v>0.148</v>
      </c>
      <c r="K29" s="23">
        <v>0.122</v>
      </c>
      <c r="L29" s="23">
        <v>0.11</v>
      </c>
      <c r="M29" s="23">
        <v>0.11</v>
      </c>
      <c r="N29" s="23">
        <v>0.1</v>
      </c>
      <c r="O29" s="23">
        <v>0.044</v>
      </c>
      <c r="P29" s="24">
        <v>0.293</v>
      </c>
      <c r="Q29" s="50">
        <v>0.965</v>
      </c>
      <c r="R29" s="23">
        <v>0.174</v>
      </c>
      <c r="S29" s="23">
        <v>0.159</v>
      </c>
      <c r="T29" s="23">
        <v>0.056</v>
      </c>
      <c r="U29" s="23">
        <v>0.014</v>
      </c>
      <c r="V29" s="23">
        <v>0.136</v>
      </c>
    </row>
    <row r="30" ht="14.25" customHeight="1">
      <c r="A30" s="23" t="s">
        <v>141</v>
      </c>
      <c r="B30" s="22" t="s">
        <v>142</v>
      </c>
      <c r="C30" s="22">
        <v>1000.0</v>
      </c>
      <c r="D30" s="23">
        <v>17.0</v>
      </c>
      <c r="E30" s="23">
        <v>18.0</v>
      </c>
      <c r="F30" s="23">
        <v>20.0</v>
      </c>
      <c r="G30" s="23">
        <v>16.0</v>
      </c>
      <c r="H30" s="23">
        <v>28.0</v>
      </c>
      <c r="I30" s="23">
        <v>19.0</v>
      </c>
      <c r="J30" s="23">
        <v>28.0</v>
      </c>
      <c r="K30" s="23">
        <v>19.0</v>
      </c>
      <c r="L30" s="23">
        <v>25.0</v>
      </c>
      <c r="M30" s="24">
        <v>38.0</v>
      </c>
      <c r="N30" s="24">
        <v>48.0</v>
      </c>
      <c r="O30" s="23">
        <v>2.0</v>
      </c>
      <c r="Q30" s="25">
        <v>163.0</v>
      </c>
      <c r="R30" s="23">
        <v>14.0</v>
      </c>
      <c r="S30" s="23">
        <v>21.0</v>
      </c>
      <c r="T30" s="23">
        <v>21.0</v>
      </c>
      <c r="U30" s="24">
        <v>38.0</v>
      </c>
    </row>
    <row r="31" ht="14.25" customHeight="1">
      <c r="A31" s="21" t="s">
        <v>143</v>
      </c>
      <c r="B31" s="22" t="s">
        <v>144</v>
      </c>
      <c r="C31" s="22" t="s">
        <v>100</v>
      </c>
      <c r="D31" s="23">
        <v>0.04</v>
      </c>
      <c r="E31" s="23">
        <v>0.0</v>
      </c>
      <c r="F31" s="23">
        <v>0.0</v>
      </c>
      <c r="G31" s="23">
        <v>0.0</v>
      </c>
      <c r="H31" s="23">
        <v>0.05</v>
      </c>
      <c r="I31" s="23">
        <v>0.0</v>
      </c>
      <c r="J31" s="23">
        <v>0.05</v>
      </c>
      <c r="K31" s="23">
        <v>0.0</v>
      </c>
      <c r="L31" s="24">
        <v>0.1</v>
      </c>
      <c r="M31" s="23">
        <v>0.0</v>
      </c>
      <c r="N31" s="23">
        <v>0.0</v>
      </c>
      <c r="Q31" s="23">
        <v>0.0</v>
      </c>
      <c r="R31" s="23">
        <v>0.0</v>
      </c>
      <c r="S31" s="23">
        <v>0.0</v>
      </c>
      <c r="T31" s="23">
        <v>0.0</v>
      </c>
      <c r="U31" s="23">
        <v>0.0</v>
      </c>
    </row>
    <row r="32" ht="14.25" customHeight="1">
      <c r="A32" s="21" t="s">
        <v>145</v>
      </c>
      <c r="B32" s="22">
        <v>900.0</v>
      </c>
      <c r="C32" s="22">
        <v>3000.0</v>
      </c>
      <c r="D32" s="23">
        <v>0.0</v>
      </c>
      <c r="E32" s="23">
        <v>0.0</v>
      </c>
      <c r="F32" s="23">
        <v>0.0</v>
      </c>
      <c r="G32" s="23">
        <v>0.0</v>
      </c>
      <c r="H32" s="23">
        <v>0.0</v>
      </c>
      <c r="I32" s="23">
        <v>0.0</v>
      </c>
      <c r="J32" s="23">
        <v>0.0</v>
      </c>
      <c r="K32" s="23">
        <v>0.0</v>
      </c>
      <c r="L32" s="23">
        <v>0.0</v>
      </c>
      <c r="M32" s="23">
        <v>2.0</v>
      </c>
      <c r="Q32" s="23">
        <v>0.0</v>
      </c>
      <c r="R32" s="23">
        <v>0.0</v>
      </c>
      <c r="S32" s="23">
        <v>0.0</v>
      </c>
      <c r="T32" s="23">
        <v>0.0</v>
      </c>
      <c r="U32" s="23">
        <v>0.0</v>
      </c>
      <c r="V32" s="23">
        <v>0.0</v>
      </c>
    </row>
    <row r="33" ht="14.25" customHeight="1">
      <c r="A33" s="28" t="s">
        <v>146</v>
      </c>
      <c r="B33" s="29"/>
      <c r="C33" s="29"/>
      <c r="D33" s="28">
        <v>0.0</v>
      </c>
      <c r="E33" s="28">
        <v>0.0</v>
      </c>
      <c r="F33" s="28">
        <v>0.0</v>
      </c>
      <c r="G33" s="28">
        <v>0.0</v>
      </c>
      <c r="H33" s="28">
        <v>0.0</v>
      </c>
      <c r="I33" s="28">
        <v>0.0</v>
      </c>
      <c r="J33" s="28">
        <v>0.0</v>
      </c>
      <c r="K33" s="28">
        <v>0.0</v>
      </c>
      <c r="L33" s="28">
        <v>0.0</v>
      </c>
      <c r="M33" s="28">
        <v>48.0</v>
      </c>
      <c r="N33" s="28"/>
      <c r="O33" s="28"/>
      <c r="P33" s="28"/>
      <c r="Q33" s="28">
        <v>0.0</v>
      </c>
      <c r="R33" s="28">
        <v>0.0</v>
      </c>
      <c r="S33" s="28">
        <v>0.0</v>
      </c>
      <c r="T33" s="28">
        <v>0.0</v>
      </c>
      <c r="U33" s="28">
        <v>0.0</v>
      </c>
      <c r="V33" s="28">
        <v>0.0</v>
      </c>
      <c r="W33" s="28"/>
      <c r="X33" s="28"/>
      <c r="Y33" s="28"/>
      <c r="Z33" s="28"/>
    </row>
    <row r="34" ht="14.25" customHeight="1">
      <c r="A34" s="21" t="s">
        <v>147</v>
      </c>
      <c r="B34" s="22" t="s">
        <v>148</v>
      </c>
      <c r="C34" s="22">
        <v>1000.0</v>
      </c>
      <c r="D34" s="23">
        <v>0.01</v>
      </c>
      <c r="E34" s="23">
        <v>0.01</v>
      </c>
      <c r="F34" s="23">
        <v>0.0</v>
      </c>
      <c r="G34" s="23">
        <v>0.0</v>
      </c>
      <c r="H34" s="23">
        <v>0.02</v>
      </c>
      <c r="I34" s="23">
        <v>0.0</v>
      </c>
      <c r="J34" s="23">
        <v>0.02</v>
      </c>
      <c r="K34" s="23">
        <v>0.0</v>
      </c>
      <c r="L34" s="23">
        <v>0.01</v>
      </c>
      <c r="M34" s="23">
        <v>0.0</v>
      </c>
      <c r="N34" s="23">
        <v>0.01</v>
      </c>
      <c r="Q34" s="23">
        <v>0.0</v>
      </c>
      <c r="R34" s="23">
        <v>0.0</v>
      </c>
      <c r="S34" s="23">
        <v>0.0</v>
      </c>
      <c r="T34" s="23">
        <v>0.01</v>
      </c>
    </row>
    <row r="35" ht="14.25" customHeight="1">
      <c r="A35" s="21" t="s">
        <v>149</v>
      </c>
      <c r="B35" s="22" t="s">
        <v>150</v>
      </c>
      <c r="C35" s="22">
        <v>100.0</v>
      </c>
      <c r="D35" s="23">
        <v>0.2</v>
      </c>
      <c r="E35" s="23">
        <v>0.2</v>
      </c>
      <c r="F35" s="23">
        <v>0.2</v>
      </c>
      <c r="G35" s="23">
        <v>0.3</v>
      </c>
      <c r="H35" s="23">
        <v>0.3</v>
      </c>
      <c r="I35" s="23">
        <v>0.3</v>
      </c>
      <c r="J35" s="26">
        <v>11.2</v>
      </c>
      <c r="K35" s="26">
        <v>13.1</v>
      </c>
      <c r="L35" s="23">
        <v>0.1</v>
      </c>
      <c r="M35" s="23">
        <v>0.7</v>
      </c>
      <c r="N35" s="23">
        <v>0.1</v>
      </c>
      <c r="O35" s="25">
        <v>5.3</v>
      </c>
      <c r="P35" s="23">
        <v>0.4</v>
      </c>
      <c r="Q35" s="24">
        <v>3.9</v>
      </c>
      <c r="R35" s="23">
        <v>0.5</v>
      </c>
      <c r="S35" s="23">
        <v>0.7</v>
      </c>
      <c r="T35" s="26">
        <v>28.1</v>
      </c>
      <c r="V35" s="25">
        <v>5.1</v>
      </c>
    </row>
    <row r="36" ht="14.25" customHeight="1">
      <c r="A36" s="28" t="s">
        <v>151</v>
      </c>
      <c r="B36" s="29"/>
      <c r="C36" s="29"/>
      <c r="D36" s="28">
        <v>7.0</v>
      </c>
      <c r="E36" s="28">
        <v>8.0</v>
      </c>
      <c r="F36" s="28">
        <v>8.0</v>
      </c>
      <c r="G36" s="28">
        <v>11.0</v>
      </c>
      <c r="H36" s="28">
        <v>10.0</v>
      </c>
      <c r="I36" s="28">
        <v>14.0</v>
      </c>
      <c r="J36" s="28">
        <v>446.0</v>
      </c>
      <c r="K36" s="28">
        <v>524.0</v>
      </c>
      <c r="L36" s="28">
        <v>3.0</v>
      </c>
      <c r="M36" s="28">
        <v>29.0</v>
      </c>
      <c r="N36" s="28">
        <v>5.0</v>
      </c>
      <c r="O36" s="28">
        <v>212.0</v>
      </c>
      <c r="P36" s="28">
        <v>18.0</v>
      </c>
      <c r="Q36" s="28">
        <v>154.0</v>
      </c>
      <c r="R36" s="28">
        <v>21.0</v>
      </c>
      <c r="S36" s="28">
        <v>28.0</v>
      </c>
      <c r="T36" s="28">
        <v>1123.0</v>
      </c>
      <c r="U36" s="28"/>
      <c r="V36" s="28">
        <v>206.0</v>
      </c>
      <c r="W36" s="28"/>
      <c r="X36" s="28"/>
      <c r="Y36" s="28"/>
      <c r="Z36" s="28"/>
    </row>
    <row r="37" ht="14.25" customHeight="1">
      <c r="A37" s="21" t="s">
        <v>152</v>
      </c>
      <c r="B37" s="22">
        <v>120.0</v>
      </c>
      <c r="C37" s="22" t="s">
        <v>100</v>
      </c>
      <c r="D37" s="23">
        <v>0.0</v>
      </c>
      <c r="E37" s="23">
        <v>0.0</v>
      </c>
      <c r="F37" s="23">
        <v>0.0</v>
      </c>
      <c r="G37" s="23">
        <v>0.0</v>
      </c>
      <c r="H37" s="23">
        <v>0.0</v>
      </c>
      <c r="I37" s="23">
        <v>0.0</v>
      </c>
      <c r="J37" s="23">
        <v>0.0</v>
      </c>
      <c r="K37" s="23">
        <v>0.0</v>
      </c>
      <c r="L37" s="23">
        <v>0.0</v>
      </c>
      <c r="M37" s="23">
        <v>0.0</v>
      </c>
      <c r="N37" s="23">
        <v>0.0</v>
      </c>
      <c r="O37" s="23">
        <v>0.0</v>
      </c>
      <c r="P37" s="23">
        <v>0.0</v>
      </c>
      <c r="Q37" s="23">
        <v>0.0</v>
      </c>
      <c r="R37" s="23">
        <v>0.0</v>
      </c>
      <c r="S37" s="23">
        <v>0.0</v>
      </c>
      <c r="T37" s="23">
        <v>0.0</v>
      </c>
      <c r="U37" s="23">
        <v>0.0</v>
      </c>
      <c r="V37" s="23">
        <v>0.0</v>
      </c>
    </row>
    <row r="38" ht="14.25" customHeight="1">
      <c r="A38" s="21" t="s">
        <v>153</v>
      </c>
      <c r="B38" s="22" t="s">
        <v>154</v>
      </c>
      <c r="C38" s="22" t="s">
        <v>100</v>
      </c>
      <c r="D38" s="23">
        <v>1.497</v>
      </c>
      <c r="E38" s="24">
        <v>2.16</v>
      </c>
      <c r="F38" s="23">
        <v>1.45</v>
      </c>
      <c r="G38" s="24">
        <v>1.96</v>
      </c>
      <c r="H38" s="23">
        <v>1.14</v>
      </c>
      <c r="I38" s="23">
        <v>1.262</v>
      </c>
      <c r="J38" s="23">
        <v>1.14</v>
      </c>
      <c r="K38" s="23">
        <v>1.262</v>
      </c>
      <c r="L38" s="23">
        <v>1.5</v>
      </c>
      <c r="M38" s="23">
        <v>1.294</v>
      </c>
      <c r="N38" s="23">
        <v>1.35</v>
      </c>
      <c r="O38" s="23">
        <v>1.075</v>
      </c>
      <c r="P38" s="23">
        <v>1.5</v>
      </c>
      <c r="Q38" s="26">
        <v>21.879</v>
      </c>
      <c r="R38" s="23">
        <v>1.36</v>
      </c>
      <c r="S38" s="50">
        <v>3.594</v>
      </c>
      <c r="T38" s="23">
        <v>0.27</v>
      </c>
      <c r="U38" s="23">
        <v>0.412</v>
      </c>
      <c r="V38" s="23">
        <v>0.44</v>
      </c>
    </row>
    <row r="39" ht="14.25" customHeight="1">
      <c r="A39" s="21" t="s">
        <v>155</v>
      </c>
      <c r="B39" s="22" t="s">
        <v>156</v>
      </c>
      <c r="C39" s="22">
        <v>3500.0</v>
      </c>
      <c r="D39" s="23">
        <v>17.3</v>
      </c>
      <c r="E39" s="23">
        <v>20.4</v>
      </c>
      <c r="F39" s="23">
        <v>21.9</v>
      </c>
      <c r="G39" s="23">
        <v>30.3</v>
      </c>
      <c r="H39" s="23">
        <v>21.2</v>
      </c>
      <c r="I39" s="23">
        <v>32.8</v>
      </c>
      <c r="J39" s="23">
        <v>21.2</v>
      </c>
      <c r="K39" s="23">
        <v>32.8</v>
      </c>
      <c r="L39" s="23">
        <v>22.1</v>
      </c>
      <c r="M39" s="24">
        <v>48.7</v>
      </c>
      <c r="N39" s="24">
        <v>47.7</v>
      </c>
      <c r="Q39" s="25">
        <v>201.7</v>
      </c>
      <c r="R39" s="24">
        <v>59.4</v>
      </c>
      <c r="S39" s="23">
        <v>36.8</v>
      </c>
      <c r="T39" s="24">
        <v>51.1</v>
      </c>
    </row>
    <row r="40" ht="14.25" customHeight="1">
      <c r="A40" s="21" t="s">
        <v>157</v>
      </c>
      <c r="B40" s="22"/>
      <c r="C40" s="22"/>
      <c r="D40" s="23">
        <v>9.4</v>
      </c>
      <c r="F40" s="23">
        <v>9.5</v>
      </c>
      <c r="G40" s="23">
        <v>10.1</v>
      </c>
      <c r="H40" s="23">
        <v>6.1</v>
      </c>
      <c r="I40" s="23">
        <v>11.5</v>
      </c>
      <c r="J40" s="23">
        <v>6.1</v>
      </c>
      <c r="K40" s="23">
        <v>11.5</v>
      </c>
      <c r="L40" s="23">
        <v>11.1</v>
      </c>
      <c r="M40" s="23">
        <v>12.1</v>
      </c>
      <c r="N40" s="23">
        <v>1.4</v>
      </c>
      <c r="R40" s="23">
        <v>0.3</v>
      </c>
    </row>
    <row r="41" ht="14.25" customHeight="1">
      <c r="A41" s="19" t="s">
        <v>158</v>
      </c>
      <c r="B41" s="27"/>
      <c r="C41" s="27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</row>
    <row r="42" ht="14.25" customHeight="1">
      <c r="A42" s="21" t="s">
        <v>159</v>
      </c>
      <c r="B42" s="22" t="s">
        <v>160</v>
      </c>
      <c r="C42" s="22" t="s">
        <v>161</v>
      </c>
      <c r="D42" s="23">
        <v>0.05</v>
      </c>
      <c r="E42" s="23">
        <v>0.061</v>
      </c>
      <c r="F42" s="23">
        <v>0.04</v>
      </c>
      <c r="G42" s="23">
        <v>0.06</v>
      </c>
      <c r="H42" s="23">
        <v>0.06</v>
      </c>
      <c r="I42" s="23">
        <v>0.079</v>
      </c>
      <c r="J42" s="23">
        <v>0.06</v>
      </c>
      <c r="K42" s="23">
        <v>0.067</v>
      </c>
      <c r="L42" s="23">
        <v>0.014</v>
      </c>
      <c r="M42" s="23">
        <v>0.062</v>
      </c>
      <c r="N42" s="23">
        <v>0.02</v>
      </c>
      <c r="Q42" s="23">
        <v>0.225</v>
      </c>
      <c r="R42" s="23">
        <v>0.03</v>
      </c>
      <c r="S42" s="23">
        <v>0.05</v>
      </c>
      <c r="T42" s="23">
        <v>0.03</v>
      </c>
      <c r="U42" s="23">
        <v>0.089</v>
      </c>
      <c r="V42" s="23">
        <v>0.065</v>
      </c>
    </row>
    <row r="43" ht="14.25" customHeight="1">
      <c r="A43" s="21" t="s">
        <v>162</v>
      </c>
      <c r="B43" s="22"/>
      <c r="C43" s="22"/>
      <c r="D43" s="23">
        <v>0.0</v>
      </c>
      <c r="E43" s="23">
        <v>0.008</v>
      </c>
      <c r="F43" s="23">
        <v>0.0</v>
      </c>
      <c r="G43" s="23">
        <v>0.02</v>
      </c>
      <c r="H43" s="23">
        <v>0.02</v>
      </c>
      <c r="I43" s="23">
        <v>0.011</v>
      </c>
      <c r="J43" s="23">
        <v>0.02</v>
      </c>
      <c r="K43" s="23">
        <v>0.036</v>
      </c>
      <c r="L43" s="23">
        <v>0.002</v>
      </c>
      <c r="M43" s="23">
        <v>0.031</v>
      </c>
      <c r="N43" s="23">
        <v>0.0</v>
      </c>
      <c r="Q43" s="23">
        <v>0.317</v>
      </c>
      <c r="R43" s="23">
        <v>0.0</v>
      </c>
      <c r="S43" s="23">
        <v>0.07</v>
      </c>
      <c r="T43" s="23">
        <v>0.03</v>
      </c>
      <c r="U43" s="23">
        <v>0.012</v>
      </c>
      <c r="V43" s="23">
        <v>0.052</v>
      </c>
    </row>
    <row r="44" ht="14.25" customHeight="1">
      <c r="A44" s="21" t="s">
        <v>163</v>
      </c>
      <c r="B44" s="22"/>
      <c r="C44" s="22"/>
      <c r="D44" s="23">
        <v>0.16</v>
      </c>
      <c r="E44" s="23">
        <v>0.183</v>
      </c>
      <c r="F44" s="23">
        <v>0.16</v>
      </c>
      <c r="G44" s="23">
        <v>0.28</v>
      </c>
      <c r="H44" s="23">
        <v>0.117</v>
      </c>
      <c r="I44" s="23">
        <v>0.287</v>
      </c>
      <c r="J44" s="23">
        <v>0.117</v>
      </c>
      <c r="K44" s="23">
        <v>0.636</v>
      </c>
      <c r="L44" s="23">
        <v>0.042</v>
      </c>
      <c r="M44" s="23">
        <v>0.123</v>
      </c>
      <c r="N44" s="23">
        <v>0.09</v>
      </c>
      <c r="Q44" s="23">
        <v>0.151</v>
      </c>
      <c r="R44" s="23">
        <v>0.14</v>
      </c>
      <c r="S44" s="23">
        <v>0.034</v>
      </c>
      <c r="T44" s="23">
        <v>0.09</v>
      </c>
      <c r="U44" s="23">
        <v>0.263</v>
      </c>
      <c r="V44" s="23">
        <v>0.433</v>
      </c>
    </row>
    <row r="45" ht="14.25" customHeight="1">
      <c r="A45" s="21" t="s">
        <v>164</v>
      </c>
      <c r="B45" s="22" t="s">
        <v>160</v>
      </c>
      <c r="C45" s="22" t="s">
        <v>165</v>
      </c>
      <c r="D45" s="23">
        <v>0.0</v>
      </c>
      <c r="E45" s="23">
        <v>0.0</v>
      </c>
      <c r="F45" s="23">
        <v>0.0</v>
      </c>
      <c r="G45" s="23">
        <v>0.0</v>
      </c>
      <c r="H45" s="23">
        <v>0.0</v>
      </c>
      <c r="I45" s="23">
        <v>0.0</v>
      </c>
      <c r="J45" s="23">
        <v>0.0</v>
      </c>
      <c r="K45" s="23">
        <v>0.0</v>
      </c>
      <c r="L45" s="23">
        <v>0.0</v>
      </c>
      <c r="M45" s="23">
        <v>0.0</v>
      </c>
      <c r="N45" s="23">
        <v>0.0</v>
      </c>
      <c r="Q45" s="23">
        <v>0.0</v>
      </c>
      <c r="R45" s="23">
        <v>0.0</v>
      </c>
      <c r="S45" s="23">
        <v>0.0</v>
      </c>
      <c r="T45" s="23">
        <v>0.0</v>
      </c>
      <c r="U45" s="23">
        <v>0.0</v>
      </c>
      <c r="V45" s="23">
        <v>0.0</v>
      </c>
    </row>
    <row r="46" ht="14.25" customHeight="1">
      <c r="A46" s="19" t="s">
        <v>166</v>
      </c>
      <c r="B46" s="30" t="s">
        <v>167</v>
      </c>
      <c r="C46" s="27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</row>
    <row r="47" ht="14.25" customHeight="1">
      <c r="A47" s="31" t="s">
        <v>168</v>
      </c>
      <c r="B47" s="32" t="s">
        <v>169</v>
      </c>
      <c r="C47" s="32"/>
      <c r="D47" s="31">
        <v>0.035</v>
      </c>
      <c r="E47" s="31">
        <v>0.024</v>
      </c>
      <c r="F47" s="31">
        <v>0.037</v>
      </c>
      <c r="G47" s="31">
        <v>0.039</v>
      </c>
      <c r="H47" s="31">
        <v>0.035</v>
      </c>
      <c r="I47" s="31">
        <v>0.045</v>
      </c>
      <c r="J47" s="31">
        <v>0.035</v>
      </c>
      <c r="K47" s="31">
        <v>0.047</v>
      </c>
      <c r="L47" s="31">
        <v>0.056</v>
      </c>
      <c r="M47" s="31">
        <v>0.042</v>
      </c>
      <c r="N47" s="31">
        <v>0.04</v>
      </c>
      <c r="O47" s="31"/>
      <c r="P47" s="31">
        <v>0.011</v>
      </c>
      <c r="Q47" s="31">
        <v>0.031</v>
      </c>
      <c r="R47" s="31">
        <v>0.011</v>
      </c>
      <c r="S47" s="31">
        <v>0.004</v>
      </c>
      <c r="T47" s="31">
        <v>0.035</v>
      </c>
      <c r="U47" s="31"/>
      <c r="V47" s="31"/>
      <c r="W47" s="31"/>
      <c r="X47" s="31"/>
      <c r="Y47" s="31"/>
      <c r="Z47" s="31"/>
    </row>
    <row r="48" ht="14.25" customHeight="1">
      <c r="A48" s="31" t="s">
        <v>170</v>
      </c>
      <c r="B48" s="32" t="s">
        <v>171</v>
      </c>
      <c r="C48" s="32"/>
      <c r="D48" s="31">
        <v>0.107</v>
      </c>
      <c r="E48" s="31">
        <v>0.075</v>
      </c>
      <c r="F48" s="31">
        <v>0.116</v>
      </c>
      <c r="G48" s="31">
        <v>0.122</v>
      </c>
      <c r="H48" s="31">
        <v>0.101</v>
      </c>
      <c r="I48" s="31">
        <v>0.125</v>
      </c>
      <c r="J48" s="31">
        <v>0.101</v>
      </c>
      <c r="K48" s="31">
        <v>0.133</v>
      </c>
      <c r="L48" s="31">
        <v>0.113</v>
      </c>
      <c r="M48" s="31">
        <v>0.14</v>
      </c>
      <c r="N48" s="31">
        <v>0.11</v>
      </c>
      <c r="O48" s="31"/>
      <c r="P48" s="31">
        <v>0.134</v>
      </c>
      <c r="Q48" s="31">
        <v>0.497</v>
      </c>
      <c r="R48" s="31">
        <v>0.132</v>
      </c>
      <c r="S48" s="31">
        <v>0.068</v>
      </c>
      <c r="T48" s="31">
        <v>0.095</v>
      </c>
      <c r="U48" s="31"/>
      <c r="V48" s="31"/>
      <c r="W48" s="31"/>
      <c r="X48" s="31"/>
      <c r="Y48" s="31"/>
      <c r="Z48" s="31"/>
    </row>
    <row r="49" ht="14.25" customHeight="1">
      <c r="A49" s="31" t="s">
        <v>172</v>
      </c>
      <c r="B49" s="32" t="s">
        <v>173</v>
      </c>
      <c r="C49" s="32"/>
      <c r="D49" s="31">
        <v>0.076</v>
      </c>
      <c r="E49" s="31">
        <v>0.053</v>
      </c>
      <c r="F49" s="31">
        <v>0.082</v>
      </c>
      <c r="G49" s="31">
        <v>0.086</v>
      </c>
      <c r="H49" s="31">
        <v>0.082</v>
      </c>
      <c r="I49" s="31">
        <v>0.09</v>
      </c>
      <c r="J49" s="31">
        <v>0.082</v>
      </c>
      <c r="K49" s="31">
        <v>0.107</v>
      </c>
      <c r="L49" s="31">
        <v>0.099</v>
      </c>
      <c r="M49" s="31">
        <v>0.112</v>
      </c>
      <c r="N49" s="31">
        <v>0.09</v>
      </c>
      <c r="O49" s="31"/>
      <c r="P49" s="31">
        <v>0.111</v>
      </c>
      <c r="Q49" s="31">
        <v>0.405</v>
      </c>
      <c r="R49" s="31">
        <v>0.11</v>
      </c>
      <c r="S49" s="31">
        <v>0.055</v>
      </c>
      <c r="T49" s="31">
        <v>0.055</v>
      </c>
      <c r="U49" s="31"/>
      <c r="V49" s="31"/>
      <c r="W49" s="31"/>
      <c r="X49" s="31"/>
      <c r="Y49" s="31"/>
      <c r="Z49" s="31"/>
    </row>
    <row r="50" ht="14.25" customHeight="1">
      <c r="A50" s="31" t="s">
        <v>174</v>
      </c>
      <c r="B50" s="32" t="s">
        <v>175</v>
      </c>
      <c r="C50" s="32"/>
      <c r="D50" s="31">
        <v>0.12</v>
      </c>
      <c r="E50" s="31">
        <v>0.084</v>
      </c>
      <c r="F50" s="31">
        <v>0.13</v>
      </c>
      <c r="G50" s="31">
        <v>0.137</v>
      </c>
      <c r="H50" s="31">
        <v>0.13</v>
      </c>
      <c r="I50" s="31">
        <v>0.15</v>
      </c>
      <c r="J50" s="31">
        <v>0.13</v>
      </c>
      <c r="K50" s="31">
        <v>0.171</v>
      </c>
      <c r="L50" s="31">
        <v>0.153</v>
      </c>
      <c r="M50" s="31">
        <v>0.168</v>
      </c>
      <c r="N50" s="31">
        <v>0.13</v>
      </c>
      <c r="O50" s="31"/>
      <c r="P50" s="31">
        <v>0.189</v>
      </c>
      <c r="Q50" s="31">
        <v>0.679</v>
      </c>
      <c r="R50" s="31">
        <v>0.187</v>
      </c>
      <c r="S50" s="31">
        <v>0.093</v>
      </c>
      <c r="T50" s="31">
        <v>0.08</v>
      </c>
      <c r="U50" s="31"/>
      <c r="V50" s="31"/>
      <c r="W50" s="31"/>
      <c r="X50" s="31"/>
      <c r="Y50" s="31"/>
      <c r="Z50" s="31"/>
    </row>
    <row r="51" ht="14.25" customHeight="1">
      <c r="A51" s="31" t="s">
        <v>176</v>
      </c>
      <c r="B51" s="32" t="s">
        <v>177</v>
      </c>
      <c r="C51" s="32"/>
      <c r="D51" s="31">
        <v>0.107</v>
      </c>
      <c r="E51" s="31">
        <v>0.075</v>
      </c>
      <c r="F51" s="31">
        <v>0.116</v>
      </c>
      <c r="G51" s="31">
        <v>0.123</v>
      </c>
      <c r="H51" s="31">
        <v>0.122</v>
      </c>
      <c r="I51" s="31">
        <v>0.11</v>
      </c>
      <c r="J51" s="31">
        <v>0.122</v>
      </c>
      <c r="K51" s="31">
        <v>0.159</v>
      </c>
      <c r="L51" s="31">
        <v>0.252</v>
      </c>
      <c r="M51" s="31">
        <v>0.126</v>
      </c>
      <c r="N51" s="31">
        <v>0.13</v>
      </c>
      <c r="O51" s="31"/>
      <c r="P51" s="31">
        <v>0.134</v>
      </c>
      <c r="Q51" s="31">
        <v>0.343</v>
      </c>
      <c r="R51" s="31">
        <v>0.132</v>
      </c>
      <c r="S51" s="31">
        <v>0.047</v>
      </c>
      <c r="T51" s="31">
        <v>0.09</v>
      </c>
      <c r="U51" s="31"/>
      <c r="V51" s="31"/>
      <c r="W51" s="31"/>
      <c r="X51" s="31"/>
      <c r="Y51" s="31"/>
      <c r="Z51" s="31"/>
    </row>
    <row r="52" ht="14.25" customHeight="1">
      <c r="A52" s="31" t="s">
        <v>178</v>
      </c>
      <c r="B52" s="32" t="s">
        <v>179</v>
      </c>
      <c r="C52" s="32"/>
      <c r="D52" s="31">
        <v>0.031</v>
      </c>
      <c r="E52" s="31">
        <v>0.022</v>
      </c>
      <c r="F52" s="31">
        <v>0.034</v>
      </c>
      <c r="G52" s="31">
        <v>0.036</v>
      </c>
      <c r="H52" s="31">
        <v>0.029</v>
      </c>
      <c r="I52" s="31">
        <v>0.035</v>
      </c>
      <c r="J52" s="31">
        <v>0.029</v>
      </c>
      <c r="K52" s="31">
        <v>0.038</v>
      </c>
      <c r="L52" s="31">
        <v>0.048</v>
      </c>
      <c r="M52" s="31">
        <v>0.042</v>
      </c>
      <c r="N52" s="31">
        <v>0.03</v>
      </c>
      <c r="O52" s="31"/>
      <c r="P52" s="31">
        <v>0.033</v>
      </c>
      <c r="Q52" s="31">
        <v>0.179</v>
      </c>
      <c r="R52" s="31">
        <v>0.033</v>
      </c>
      <c r="S52" s="31">
        <v>0.025</v>
      </c>
      <c r="T52" s="31">
        <v>0.015</v>
      </c>
      <c r="U52" s="31"/>
      <c r="V52" s="31"/>
      <c r="W52" s="31"/>
      <c r="X52" s="31"/>
      <c r="Y52" s="31"/>
      <c r="Z52" s="31"/>
    </row>
    <row r="53" ht="14.25" customHeight="1">
      <c r="A53" s="21" t="s">
        <v>180</v>
      </c>
      <c r="B53" s="22" t="s">
        <v>181</v>
      </c>
      <c r="C53" s="22"/>
      <c r="D53" s="23">
        <v>0.012</v>
      </c>
      <c r="E53" s="23">
        <v>0.009</v>
      </c>
      <c r="F53" s="23">
        <v>0.013</v>
      </c>
      <c r="G53" s="23">
        <v>0.014</v>
      </c>
      <c r="H53" s="23">
        <v>0.01</v>
      </c>
      <c r="I53" s="23">
        <v>0.02</v>
      </c>
      <c r="J53" s="23">
        <v>0.01</v>
      </c>
      <c r="K53" s="23">
        <v>0.013</v>
      </c>
      <c r="L53" s="23">
        <v>0.006</v>
      </c>
      <c r="M53" s="23">
        <v>0.028</v>
      </c>
      <c r="N53" s="23">
        <v>0.02</v>
      </c>
      <c r="P53" s="23">
        <v>0.022</v>
      </c>
      <c r="Q53" s="23">
        <v>0.196</v>
      </c>
      <c r="R53" s="23">
        <v>0.022</v>
      </c>
      <c r="S53" s="23">
        <v>0.027</v>
      </c>
      <c r="T53" s="23">
        <v>0.025</v>
      </c>
    </row>
    <row r="54" ht="14.25" customHeight="1">
      <c r="A54" s="31" t="s">
        <v>182</v>
      </c>
      <c r="B54" s="33" t="s">
        <v>183</v>
      </c>
      <c r="C54" s="32"/>
      <c r="D54" s="31">
        <v>0.085</v>
      </c>
      <c r="E54" s="31">
        <v>0.06</v>
      </c>
      <c r="F54" s="31">
        <v>0.092</v>
      </c>
      <c r="G54" s="31">
        <v>0.097</v>
      </c>
      <c r="H54" s="31">
        <v>0.076</v>
      </c>
      <c r="I54" s="31">
        <v>0.1</v>
      </c>
      <c r="J54" s="31">
        <v>0.076</v>
      </c>
      <c r="K54" s="31">
        <v>0.1</v>
      </c>
      <c r="L54" s="31">
        <v>0.097</v>
      </c>
      <c r="M54" s="31">
        <v>0.112</v>
      </c>
      <c r="N54" s="31">
        <v>0.15</v>
      </c>
      <c r="O54" s="31"/>
      <c r="P54" s="31">
        <v>0.111</v>
      </c>
      <c r="Q54" s="31">
        <v>0.486</v>
      </c>
      <c r="R54" s="31">
        <v>0.11</v>
      </c>
      <c r="S54" s="31">
        <v>0.067</v>
      </c>
      <c r="T54" s="31">
        <v>0.06</v>
      </c>
      <c r="U54" s="31"/>
      <c r="V54" s="31"/>
      <c r="W54" s="31"/>
      <c r="X54" s="31"/>
      <c r="Y54" s="31"/>
      <c r="Z54" s="31"/>
    </row>
    <row r="55" ht="14.25" customHeight="1">
      <c r="A55" s="21" t="s">
        <v>184</v>
      </c>
      <c r="C55" s="22"/>
      <c r="D55" s="23">
        <v>0.044</v>
      </c>
      <c r="E55" s="23">
        <v>0.031</v>
      </c>
      <c r="F55" s="23">
        <v>0.047</v>
      </c>
      <c r="G55" s="23">
        <v>0.05</v>
      </c>
      <c r="H55" s="23">
        <v>0.014</v>
      </c>
      <c r="I55" s="23">
        <v>0.07</v>
      </c>
      <c r="J55" s="23">
        <v>0.014</v>
      </c>
      <c r="K55" s="23">
        <v>0.018</v>
      </c>
      <c r="L55" s="23">
        <v>0.054</v>
      </c>
      <c r="M55" s="23">
        <v>0.084</v>
      </c>
      <c r="N55" s="23">
        <v>0.14</v>
      </c>
      <c r="P55" s="23">
        <v>0.078</v>
      </c>
      <c r="Q55" s="23">
        <v>0.323</v>
      </c>
      <c r="R55" s="23">
        <v>0.077</v>
      </c>
      <c r="S55" s="23">
        <v>0.044</v>
      </c>
      <c r="T55" s="23">
        <v>0.07</v>
      </c>
    </row>
    <row r="56" ht="14.25" customHeight="1">
      <c r="A56" s="31" t="s">
        <v>185</v>
      </c>
      <c r="B56" s="32" t="s">
        <v>186</v>
      </c>
      <c r="C56" s="32"/>
      <c r="D56" s="31">
        <v>0.232</v>
      </c>
      <c r="E56" s="31">
        <v>0.163</v>
      </c>
      <c r="F56" s="31">
        <v>0.251</v>
      </c>
      <c r="G56" s="31">
        <v>0.265</v>
      </c>
      <c r="H56" s="31">
        <v>0.076</v>
      </c>
      <c r="I56" s="31">
        <v>0.41</v>
      </c>
      <c r="J56" s="31">
        <v>0.076</v>
      </c>
      <c r="K56" s="31">
        <v>0.1</v>
      </c>
      <c r="L56" s="31">
        <v>0.115</v>
      </c>
      <c r="M56" s="31">
        <v>0.197</v>
      </c>
      <c r="N56" s="31">
        <v>0.23</v>
      </c>
      <c r="O56" s="31"/>
      <c r="P56" s="31">
        <v>0.145</v>
      </c>
      <c r="Q56" s="31">
        <v>0.486</v>
      </c>
      <c r="R56" s="31">
        <v>0.143</v>
      </c>
      <c r="S56" s="31">
        <v>0.067</v>
      </c>
      <c r="T56" s="31">
        <v>0.1</v>
      </c>
      <c r="U56" s="31"/>
      <c r="V56" s="31"/>
      <c r="W56" s="31"/>
      <c r="X56" s="31"/>
      <c r="Y56" s="31"/>
      <c r="Z56" s="31"/>
    </row>
    <row r="57" ht="14.25" customHeight="1">
      <c r="A57" s="34" t="s">
        <v>187</v>
      </c>
      <c r="B57" s="35"/>
      <c r="C57" s="35"/>
      <c r="D57" s="34">
        <v>0.078</v>
      </c>
      <c r="E57" s="34">
        <v>0.055</v>
      </c>
      <c r="F57" s="34">
        <v>0.084</v>
      </c>
      <c r="G57" s="34">
        <v>0.089</v>
      </c>
      <c r="H57" s="34">
        <v>0.082</v>
      </c>
      <c r="I57" s="34">
        <v>0.12</v>
      </c>
      <c r="J57" s="34">
        <v>0.082</v>
      </c>
      <c r="K57" s="34">
        <v>0.107</v>
      </c>
      <c r="L57" s="34">
        <v>0.123</v>
      </c>
      <c r="M57" s="34">
        <v>0.182</v>
      </c>
      <c r="N57" s="34">
        <v>0.11</v>
      </c>
      <c r="O57" s="34"/>
      <c r="P57" s="34">
        <v>0.156</v>
      </c>
      <c r="Q57" s="34">
        <v>0.648</v>
      </c>
      <c r="R57" s="34">
        <v>0.154</v>
      </c>
      <c r="S57" s="34">
        <v>0.089</v>
      </c>
      <c r="T57" s="34">
        <v>0.1</v>
      </c>
      <c r="U57" s="34"/>
      <c r="V57" s="34"/>
      <c r="W57" s="34"/>
      <c r="X57" s="34"/>
      <c r="Y57" s="34"/>
      <c r="Z57" s="34"/>
    </row>
    <row r="58" ht="14.25" customHeight="1">
      <c r="A58" s="34" t="s">
        <v>188</v>
      </c>
      <c r="B58" s="35" t="s">
        <v>189</v>
      </c>
      <c r="C58" s="35"/>
      <c r="D58" s="34">
        <v>0.057</v>
      </c>
      <c r="E58" s="34">
        <v>0.04</v>
      </c>
      <c r="F58" s="34">
        <v>0.061</v>
      </c>
      <c r="G58" s="34">
        <v>0.065</v>
      </c>
      <c r="H58" s="34">
        <v>0.058</v>
      </c>
      <c r="I58" s="34">
        <v>0.065</v>
      </c>
      <c r="J58" s="34">
        <v>0.058</v>
      </c>
      <c r="K58" s="34">
        <v>0.076</v>
      </c>
      <c r="L58" s="34">
        <v>0.067</v>
      </c>
      <c r="M58" s="34">
        <v>0.07</v>
      </c>
      <c r="N58" s="34">
        <v>0.07</v>
      </c>
      <c r="O58" s="34"/>
      <c r="P58" s="34">
        <v>0.056</v>
      </c>
      <c r="Q58" s="34">
        <v>0.159</v>
      </c>
      <c r="R58" s="34">
        <v>0.055</v>
      </c>
      <c r="S58" s="34">
        <v>0.022</v>
      </c>
      <c r="T58" s="34">
        <v>0.045</v>
      </c>
      <c r="U58" s="34"/>
      <c r="V58" s="34"/>
      <c r="W58" s="34"/>
      <c r="X58" s="34"/>
      <c r="Y58" s="34"/>
      <c r="Z58" s="34"/>
    </row>
    <row r="59" ht="14.25" customHeight="1">
      <c r="A59" s="21" t="s">
        <v>190</v>
      </c>
      <c r="B59" s="22"/>
      <c r="C59" s="22"/>
      <c r="D59" s="23">
        <v>0.199</v>
      </c>
      <c r="E59" s="23">
        <v>0.14</v>
      </c>
      <c r="F59" s="23">
        <v>0.215</v>
      </c>
      <c r="G59" s="23">
        <v>0.227</v>
      </c>
      <c r="H59" s="23">
        <v>0.168</v>
      </c>
      <c r="I59" s="23">
        <v>0.185</v>
      </c>
      <c r="J59" s="23">
        <v>0.168</v>
      </c>
      <c r="K59" s="23">
        <v>0.22</v>
      </c>
      <c r="L59" s="23">
        <v>0.187</v>
      </c>
      <c r="M59" s="23">
        <v>0.239</v>
      </c>
      <c r="N59" s="23">
        <v>0.19</v>
      </c>
      <c r="P59" s="23">
        <v>0.167</v>
      </c>
      <c r="Q59" s="23">
        <v>0.567</v>
      </c>
      <c r="R59" s="23">
        <v>0.165</v>
      </c>
      <c r="S59" s="23">
        <v>0.078</v>
      </c>
      <c r="T59" s="23">
        <v>0.124</v>
      </c>
    </row>
    <row r="60" ht="14.25" customHeight="1">
      <c r="A60" s="21" t="s">
        <v>191</v>
      </c>
      <c r="B60" s="22"/>
      <c r="C60" s="22"/>
      <c r="D60" s="23">
        <v>0.195</v>
      </c>
      <c r="E60" s="23">
        <v>0.137</v>
      </c>
      <c r="F60" s="23">
        <v>0.211</v>
      </c>
      <c r="G60" s="23">
        <v>0.222</v>
      </c>
      <c r="H60" s="23">
        <v>0.221</v>
      </c>
      <c r="I60" s="23">
        <v>0.26</v>
      </c>
      <c r="J60" s="23">
        <v>0.221</v>
      </c>
      <c r="K60" s="23">
        <v>0.29</v>
      </c>
      <c r="L60" s="23">
        <v>0.228</v>
      </c>
      <c r="M60" s="23">
        <v>0.295</v>
      </c>
      <c r="N60" s="23">
        <v>0.19</v>
      </c>
      <c r="P60" s="23">
        <v>0.301</v>
      </c>
      <c r="Q60" s="23">
        <v>0.76</v>
      </c>
      <c r="R60" s="23">
        <v>0.296</v>
      </c>
      <c r="S60" s="23">
        <v>0.104</v>
      </c>
      <c r="T60" s="23">
        <v>0.205</v>
      </c>
    </row>
    <row r="61" ht="14.25" customHeight="1">
      <c r="A61" s="21" t="s">
        <v>192</v>
      </c>
      <c r="B61" s="22"/>
      <c r="C61" s="22"/>
      <c r="D61" s="23">
        <v>0.343</v>
      </c>
      <c r="E61" s="23">
        <v>0.24</v>
      </c>
      <c r="F61" s="23">
        <v>0.371</v>
      </c>
      <c r="G61" s="23">
        <v>0.391</v>
      </c>
      <c r="H61" s="23">
        <v>0.319</v>
      </c>
      <c r="I61" s="23">
        <v>0.47</v>
      </c>
      <c r="J61" s="23">
        <v>0.319</v>
      </c>
      <c r="K61" s="23">
        <v>0.418</v>
      </c>
      <c r="L61" s="23">
        <v>0.428</v>
      </c>
      <c r="M61" s="23">
        <v>0.632</v>
      </c>
      <c r="N61" s="23">
        <v>0.38</v>
      </c>
      <c r="P61" s="23">
        <v>0.68</v>
      </c>
      <c r="Q61" s="23">
        <v>2.579</v>
      </c>
      <c r="R61" s="23">
        <v>0.67</v>
      </c>
      <c r="S61" s="23">
        <v>0.353</v>
      </c>
      <c r="T61" s="23">
        <v>0.264</v>
      </c>
    </row>
    <row r="62" ht="14.25" customHeight="1">
      <c r="A62" s="21" t="s">
        <v>193</v>
      </c>
      <c r="B62" s="22"/>
      <c r="C62" s="22"/>
      <c r="D62" s="23">
        <v>0.092</v>
      </c>
      <c r="E62" s="23">
        <v>0.064</v>
      </c>
      <c r="F62" s="23">
        <v>0.099</v>
      </c>
      <c r="G62" s="23">
        <v>0.104</v>
      </c>
      <c r="H62" s="23">
        <v>0.096</v>
      </c>
      <c r="I62" s="23">
        <v>0.11</v>
      </c>
      <c r="J62" s="23">
        <v>0.096</v>
      </c>
      <c r="K62" s="23">
        <v>0.126</v>
      </c>
      <c r="L62" s="23">
        <v>0.111</v>
      </c>
      <c r="M62" s="23">
        <v>0.126</v>
      </c>
      <c r="N62" s="23">
        <v>0.11</v>
      </c>
      <c r="P62" s="23">
        <v>0.145</v>
      </c>
      <c r="Q62" s="23">
        <v>0.414</v>
      </c>
      <c r="R62" s="23">
        <v>0.143</v>
      </c>
      <c r="S62" s="23">
        <v>0.057</v>
      </c>
      <c r="T62" s="23">
        <v>0.09</v>
      </c>
    </row>
    <row r="63" ht="14.25" customHeight="1">
      <c r="A63" s="21" t="s">
        <v>194</v>
      </c>
      <c r="B63" s="22"/>
      <c r="C63" s="22"/>
      <c r="D63" s="23">
        <v>0.076</v>
      </c>
      <c r="E63" s="23">
        <v>0.053</v>
      </c>
      <c r="F63" s="23">
        <v>0.082</v>
      </c>
      <c r="G63" s="23">
        <v>0.087</v>
      </c>
      <c r="H63" s="23">
        <v>0.076</v>
      </c>
      <c r="I63" s="23">
        <v>0.115</v>
      </c>
      <c r="J63" s="23">
        <v>0.076</v>
      </c>
      <c r="K63" s="23">
        <v>0.1</v>
      </c>
      <c r="L63" s="23">
        <v>0.176</v>
      </c>
      <c r="M63" s="23">
        <v>0.042</v>
      </c>
      <c r="N63" s="23">
        <v>0.06</v>
      </c>
      <c r="P63" s="23">
        <v>0.1</v>
      </c>
      <c r="Q63" s="23">
        <v>0.414</v>
      </c>
      <c r="R63" s="23">
        <v>0.099</v>
      </c>
      <c r="S63" s="23">
        <v>0.057</v>
      </c>
      <c r="T63" s="23">
        <v>0.06</v>
      </c>
    </row>
    <row r="64" ht="14.25" customHeight="1">
      <c r="A64" s="21" t="s">
        <v>195</v>
      </c>
      <c r="B64" s="22"/>
      <c r="C64" s="22"/>
      <c r="D64" s="23">
        <v>0.094</v>
      </c>
      <c r="E64" s="23">
        <v>0.066</v>
      </c>
      <c r="F64" s="23">
        <v>0.102</v>
      </c>
      <c r="G64" s="23">
        <v>0.108</v>
      </c>
      <c r="H64" s="23">
        <v>0.092</v>
      </c>
      <c r="I64" s="23">
        <v>0.12</v>
      </c>
      <c r="J64" s="23">
        <v>0.092</v>
      </c>
      <c r="K64" s="23">
        <v>0.12</v>
      </c>
      <c r="L64" s="23">
        <v>0.113</v>
      </c>
      <c r="M64" s="23">
        <v>0.126</v>
      </c>
      <c r="N64" s="23">
        <v>0.09</v>
      </c>
      <c r="P64" s="23">
        <v>0.145</v>
      </c>
      <c r="Q64" s="23">
        <v>0.506</v>
      </c>
      <c r="R64" s="23">
        <v>0.143</v>
      </c>
      <c r="S64" s="23">
        <v>0.069</v>
      </c>
      <c r="T64" s="23">
        <v>0.1</v>
      </c>
    </row>
    <row r="65" ht="14.25" customHeight="1">
      <c r="A65" s="21"/>
      <c r="B65" s="22"/>
      <c r="C65" s="22"/>
    </row>
    <row r="66" ht="14.25" customHeight="1">
      <c r="A66" s="36" t="s">
        <v>196</v>
      </c>
      <c r="B66" s="37"/>
      <c r="C66" s="38"/>
    </row>
    <row r="67" ht="14.25" customHeight="1">
      <c r="A67" s="39"/>
      <c r="C67" s="40"/>
    </row>
    <row r="68" ht="14.25" customHeight="1">
      <c r="A68" s="39"/>
      <c r="C68" s="40"/>
    </row>
    <row r="69" ht="14.25" customHeight="1">
      <c r="A69" s="39"/>
      <c r="C69" s="40"/>
    </row>
    <row r="70" ht="14.25" customHeight="1">
      <c r="A70" s="41"/>
      <c r="B70" s="42"/>
      <c r="C70" s="43"/>
    </row>
    <row r="71" ht="14.25" customHeight="1">
      <c r="A71" s="44" t="s">
        <v>197</v>
      </c>
      <c r="B71" s="21"/>
      <c r="C71" s="21"/>
    </row>
    <row r="72" ht="14.25" customHeight="1">
      <c r="A72" s="44" t="s">
        <v>198</v>
      </c>
      <c r="B72" s="21"/>
      <c r="C72" s="21"/>
    </row>
    <row r="73" ht="14.25" customHeight="1">
      <c r="A73" s="21"/>
      <c r="B73" s="21"/>
      <c r="C73" s="21"/>
    </row>
    <row r="74" ht="15.0" customHeight="1">
      <c r="A74" s="36" t="s">
        <v>199</v>
      </c>
      <c r="B74" s="37"/>
      <c r="C74" s="38"/>
    </row>
    <row r="75" ht="15.0" customHeight="1">
      <c r="A75" s="41"/>
      <c r="B75" s="42"/>
      <c r="C75" s="43"/>
    </row>
    <row r="76" ht="15.0" customHeight="1">
      <c r="A76" s="44" t="s">
        <v>200</v>
      </c>
      <c r="B76" s="22"/>
      <c r="C76" s="22"/>
    </row>
    <row r="77" ht="14.25" customHeight="1">
      <c r="B77" s="22"/>
      <c r="C77" s="22"/>
    </row>
    <row r="78" ht="14.25" customHeight="1">
      <c r="A78" s="45" t="s">
        <v>201</v>
      </c>
      <c r="B78" s="37"/>
      <c r="C78" s="38"/>
    </row>
    <row r="79" ht="14.25" customHeight="1">
      <c r="A79" s="39"/>
      <c r="C79" s="40"/>
    </row>
    <row r="80" ht="14.25" customHeight="1">
      <c r="A80" s="41"/>
      <c r="B80" s="42"/>
      <c r="C80" s="43"/>
    </row>
    <row r="81" ht="14.25" customHeight="1">
      <c r="A81" s="44" t="s">
        <v>202</v>
      </c>
      <c r="B81" s="22"/>
      <c r="C81" s="22"/>
    </row>
    <row r="82" ht="14.25" customHeight="1">
      <c r="A82" s="21"/>
      <c r="B82" s="22"/>
      <c r="C82" s="22"/>
    </row>
    <row r="83" ht="14.25" customHeight="1">
      <c r="A83" s="21"/>
      <c r="B83" s="22"/>
      <c r="C83" s="22"/>
    </row>
    <row r="84" ht="14.25" customHeight="1">
      <c r="A84" s="21"/>
      <c r="B84" s="22"/>
      <c r="C84" s="22"/>
    </row>
    <row r="85" ht="14.25" customHeight="1">
      <c r="A85" s="21"/>
      <c r="B85" s="22"/>
      <c r="C85" s="22"/>
    </row>
    <row r="86" ht="14.25" customHeight="1">
      <c r="A86" s="21"/>
      <c r="B86" s="22"/>
      <c r="C86" s="22"/>
    </row>
    <row r="87" ht="14.25" customHeight="1">
      <c r="A87" s="21"/>
      <c r="B87" s="22"/>
      <c r="C87" s="22"/>
    </row>
    <row r="88" ht="14.25" customHeight="1">
      <c r="A88" s="21"/>
      <c r="B88" s="22"/>
      <c r="C88" s="22"/>
    </row>
    <row r="89" ht="14.25" customHeight="1">
      <c r="A89" s="21"/>
      <c r="B89" s="22"/>
      <c r="C89" s="22"/>
    </row>
    <row r="90" ht="14.25" customHeight="1">
      <c r="A90" s="21"/>
      <c r="B90" s="22"/>
      <c r="C90" s="22"/>
    </row>
    <row r="91" ht="14.25" customHeight="1">
      <c r="A91" s="21"/>
      <c r="B91" s="22"/>
      <c r="C91" s="22"/>
    </row>
    <row r="92" ht="14.25" customHeight="1">
      <c r="A92" s="21"/>
      <c r="B92" s="22"/>
      <c r="C92" s="22"/>
    </row>
    <row r="93" ht="14.25" customHeight="1">
      <c r="A93" s="21"/>
      <c r="B93" s="22"/>
      <c r="C93" s="22"/>
    </row>
    <row r="94" ht="14.25" customHeight="1">
      <c r="A94" s="21"/>
      <c r="B94" s="22"/>
      <c r="C94" s="22"/>
    </row>
    <row r="95" ht="14.25" customHeight="1">
      <c r="A95" s="21"/>
      <c r="B95" s="22"/>
      <c r="C95" s="22"/>
    </row>
    <row r="96" ht="14.25" customHeight="1">
      <c r="A96" s="21"/>
      <c r="B96" s="22"/>
      <c r="C96" s="22"/>
    </row>
    <row r="97" ht="14.25" customHeight="1">
      <c r="A97" s="21"/>
      <c r="B97" s="22"/>
      <c r="C97" s="22"/>
    </row>
    <row r="98" ht="14.25" customHeight="1">
      <c r="A98" s="21"/>
      <c r="B98" s="22"/>
      <c r="C98" s="22"/>
    </row>
    <row r="99" ht="14.25" customHeight="1">
      <c r="A99" s="21"/>
      <c r="B99" s="22"/>
      <c r="C99" s="22"/>
    </row>
    <row r="100" ht="14.25" customHeight="1">
      <c r="A100" s="21"/>
      <c r="B100" s="22"/>
      <c r="C100" s="22"/>
    </row>
    <row r="101" ht="14.25" customHeight="1">
      <c r="A101" s="21"/>
      <c r="B101" s="22"/>
      <c r="C101" s="22"/>
    </row>
    <row r="102" ht="14.25" customHeight="1">
      <c r="A102" s="21"/>
      <c r="B102" s="22"/>
      <c r="C102" s="22"/>
    </row>
    <row r="103" ht="14.25" customHeight="1">
      <c r="A103" s="21"/>
      <c r="B103" s="22"/>
      <c r="C103" s="22"/>
    </row>
    <row r="104" ht="14.25" customHeight="1">
      <c r="A104" s="21"/>
      <c r="B104" s="22"/>
      <c r="C104" s="22"/>
    </row>
    <row r="105" ht="14.25" customHeight="1">
      <c r="A105" s="21"/>
      <c r="B105" s="22"/>
      <c r="C105" s="22"/>
    </row>
    <row r="106" ht="14.25" customHeight="1">
      <c r="A106" s="21"/>
      <c r="B106" s="22"/>
      <c r="C106" s="22"/>
    </row>
    <row r="107" ht="14.25" customHeight="1">
      <c r="A107" s="21"/>
      <c r="B107" s="22"/>
      <c r="C107" s="22"/>
    </row>
    <row r="108" ht="14.25" customHeight="1">
      <c r="A108" s="21"/>
      <c r="B108" s="22"/>
      <c r="C108" s="22"/>
    </row>
    <row r="109" ht="14.25" customHeight="1">
      <c r="A109" s="21"/>
      <c r="B109" s="22"/>
      <c r="C109" s="22"/>
    </row>
    <row r="110" ht="14.25" customHeight="1">
      <c r="A110" s="21"/>
      <c r="B110" s="22"/>
      <c r="C110" s="22"/>
    </row>
    <row r="111" ht="14.25" customHeight="1">
      <c r="A111" s="21"/>
      <c r="B111" s="22"/>
      <c r="C111" s="22"/>
    </row>
    <row r="112" ht="14.25" customHeight="1">
      <c r="A112" s="21"/>
      <c r="B112" s="22"/>
      <c r="C112" s="22"/>
    </row>
    <row r="113" ht="14.25" customHeight="1">
      <c r="A113" s="21"/>
      <c r="B113" s="22"/>
      <c r="C113" s="22"/>
    </row>
    <row r="114" ht="14.25" customHeight="1">
      <c r="A114" s="21"/>
      <c r="B114" s="22"/>
      <c r="C114" s="22"/>
    </row>
    <row r="115" ht="14.25" customHeight="1">
      <c r="A115" s="21"/>
      <c r="B115" s="22"/>
      <c r="C115" s="22"/>
    </row>
    <row r="116" ht="14.25" customHeight="1">
      <c r="A116" s="21"/>
      <c r="B116" s="22"/>
      <c r="C116" s="22"/>
    </row>
    <row r="117" ht="14.25" customHeight="1">
      <c r="A117" s="21"/>
      <c r="B117" s="22"/>
      <c r="C117" s="22"/>
    </row>
    <row r="118" ht="14.25" customHeight="1">
      <c r="A118" s="21"/>
      <c r="B118" s="22"/>
      <c r="C118" s="22"/>
    </row>
    <row r="119" ht="14.25" customHeight="1">
      <c r="A119" s="21"/>
      <c r="B119" s="22"/>
      <c r="C119" s="22"/>
    </row>
    <row r="120" ht="14.25" customHeight="1">
      <c r="A120" s="21"/>
      <c r="B120" s="22"/>
      <c r="C120" s="22"/>
    </row>
    <row r="121" ht="14.25" customHeight="1">
      <c r="A121" s="21"/>
      <c r="B121" s="22"/>
      <c r="C121" s="22"/>
    </row>
    <row r="122" ht="14.25" customHeight="1">
      <c r="A122" s="21"/>
      <c r="B122" s="22"/>
      <c r="C122" s="22"/>
    </row>
    <row r="123" ht="14.25" customHeight="1">
      <c r="A123" s="21"/>
      <c r="B123" s="22"/>
      <c r="C123" s="22"/>
    </row>
    <row r="124" ht="14.25" customHeight="1">
      <c r="A124" s="21"/>
      <c r="B124" s="22"/>
      <c r="C124" s="22"/>
    </row>
    <row r="125" ht="14.25" customHeight="1">
      <c r="A125" s="21"/>
      <c r="B125" s="22"/>
      <c r="C125" s="22"/>
    </row>
    <row r="126" ht="14.25" customHeight="1">
      <c r="A126" s="21"/>
      <c r="B126" s="22"/>
      <c r="C126" s="22"/>
    </row>
    <row r="127" ht="14.25" customHeight="1">
      <c r="A127" s="21"/>
      <c r="B127" s="22"/>
      <c r="C127" s="22"/>
    </row>
    <row r="128" ht="14.25" customHeight="1">
      <c r="A128" s="21"/>
      <c r="B128" s="22"/>
      <c r="C128" s="22"/>
    </row>
    <row r="129" ht="14.25" customHeight="1">
      <c r="A129" s="21"/>
      <c r="B129" s="22"/>
      <c r="C129" s="22"/>
    </row>
    <row r="130" ht="14.25" customHeight="1">
      <c r="A130" s="21"/>
      <c r="B130" s="22"/>
      <c r="C130" s="22"/>
    </row>
    <row r="131" ht="14.25" customHeight="1">
      <c r="A131" s="21"/>
      <c r="B131" s="22"/>
      <c r="C131" s="22"/>
    </row>
    <row r="132" ht="14.25" customHeight="1">
      <c r="A132" s="21"/>
      <c r="B132" s="22"/>
      <c r="C132" s="22"/>
    </row>
    <row r="133" ht="14.25" customHeight="1">
      <c r="A133" s="21"/>
      <c r="B133" s="22"/>
      <c r="C133" s="22"/>
    </row>
    <row r="134" ht="14.25" customHeight="1">
      <c r="A134" s="21"/>
      <c r="B134" s="22"/>
      <c r="C134" s="22"/>
    </row>
    <row r="135" ht="14.25" customHeight="1">
      <c r="A135" s="21"/>
      <c r="B135" s="22"/>
      <c r="C135" s="22"/>
    </row>
    <row r="136" ht="14.25" customHeight="1">
      <c r="A136" s="21"/>
      <c r="B136" s="22"/>
      <c r="C136" s="22"/>
    </row>
    <row r="137" ht="14.25" customHeight="1">
      <c r="A137" s="21"/>
      <c r="B137" s="22"/>
      <c r="C137" s="22"/>
    </row>
    <row r="138" ht="14.25" customHeight="1">
      <c r="A138" s="21"/>
      <c r="B138" s="22"/>
      <c r="C138" s="22"/>
    </row>
    <row r="139" ht="14.25" customHeight="1">
      <c r="A139" s="21"/>
      <c r="B139" s="22"/>
      <c r="C139" s="22"/>
    </row>
    <row r="140" ht="14.25" customHeight="1">
      <c r="A140" s="21"/>
      <c r="B140" s="22"/>
      <c r="C140" s="22"/>
    </row>
    <row r="141" ht="14.25" customHeight="1">
      <c r="A141" s="21"/>
      <c r="B141" s="22"/>
      <c r="C141" s="22"/>
    </row>
    <row r="142" ht="14.25" customHeight="1">
      <c r="A142" s="21"/>
      <c r="B142" s="22"/>
      <c r="C142" s="22"/>
    </row>
    <row r="143" ht="14.25" customHeight="1">
      <c r="A143" s="21"/>
      <c r="B143" s="22"/>
      <c r="C143" s="22"/>
    </row>
    <row r="144" ht="14.25" customHeight="1">
      <c r="A144" s="21"/>
      <c r="B144" s="22"/>
      <c r="C144" s="22"/>
    </row>
    <row r="145" ht="14.25" customHeight="1">
      <c r="A145" s="21"/>
      <c r="B145" s="22"/>
      <c r="C145" s="22"/>
    </row>
    <row r="146" ht="14.25" customHeight="1">
      <c r="A146" s="21"/>
      <c r="B146" s="22"/>
      <c r="C146" s="22"/>
    </row>
    <row r="147" ht="14.25" customHeight="1">
      <c r="A147" s="21"/>
      <c r="B147" s="22"/>
      <c r="C147" s="22"/>
    </row>
    <row r="148" ht="14.25" customHeight="1">
      <c r="A148" s="21"/>
      <c r="B148" s="22"/>
      <c r="C148" s="22"/>
    </row>
    <row r="149" ht="14.25" customHeight="1">
      <c r="A149" s="21"/>
      <c r="B149" s="22"/>
      <c r="C149" s="22"/>
    </row>
    <row r="150" ht="14.25" customHeight="1">
      <c r="A150" s="21"/>
      <c r="B150" s="22"/>
      <c r="C150" s="22"/>
    </row>
    <row r="151" ht="14.25" customHeight="1">
      <c r="A151" s="21"/>
      <c r="B151" s="22"/>
      <c r="C151" s="22"/>
    </row>
    <row r="152" ht="14.25" customHeight="1">
      <c r="A152" s="21"/>
      <c r="B152" s="22"/>
      <c r="C152" s="22"/>
    </row>
    <row r="153" ht="14.25" customHeight="1">
      <c r="A153" s="21"/>
      <c r="B153" s="22"/>
      <c r="C153" s="22"/>
    </row>
    <row r="154" ht="14.25" customHeight="1">
      <c r="A154" s="21"/>
      <c r="B154" s="22"/>
      <c r="C154" s="22"/>
    </row>
    <row r="155" ht="14.25" customHeight="1">
      <c r="A155" s="21"/>
      <c r="B155" s="22"/>
      <c r="C155" s="22"/>
    </row>
    <row r="156" ht="14.25" customHeight="1">
      <c r="A156" s="21"/>
      <c r="B156" s="22"/>
      <c r="C156" s="22"/>
    </row>
    <row r="157" ht="14.25" customHeight="1">
      <c r="A157" s="21"/>
      <c r="B157" s="22"/>
      <c r="C157" s="22"/>
    </row>
    <row r="158" ht="14.25" customHeight="1">
      <c r="A158" s="21"/>
      <c r="B158" s="22"/>
      <c r="C158" s="22"/>
    </row>
    <row r="159" ht="14.25" customHeight="1">
      <c r="A159" s="21"/>
      <c r="B159" s="22"/>
      <c r="C159" s="22"/>
    </row>
    <row r="160" ht="14.25" customHeight="1">
      <c r="A160" s="21"/>
      <c r="B160" s="22"/>
      <c r="C160" s="22"/>
    </row>
    <row r="161" ht="14.25" customHeight="1">
      <c r="A161" s="21"/>
      <c r="B161" s="22"/>
      <c r="C161" s="22"/>
    </row>
    <row r="162" ht="14.25" customHeight="1">
      <c r="A162" s="21"/>
      <c r="B162" s="22"/>
      <c r="C162" s="22"/>
    </row>
    <row r="163" ht="14.25" customHeight="1">
      <c r="A163" s="21"/>
      <c r="B163" s="22"/>
      <c r="C163" s="22"/>
    </row>
    <row r="164" ht="14.25" customHeight="1">
      <c r="A164" s="21"/>
      <c r="B164" s="22"/>
      <c r="C164" s="22"/>
    </row>
    <row r="165" ht="14.25" customHeight="1">
      <c r="A165" s="21"/>
      <c r="B165" s="22"/>
      <c r="C165" s="22"/>
    </row>
    <row r="166" ht="14.25" customHeight="1">
      <c r="A166" s="21"/>
      <c r="B166" s="22"/>
      <c r="C166" s="22"/>
    </row>
    <row r="167" ht="14.25" customHeight="1">
      <c r="A167" s="21"/>
      <c r="B167" s="22"/>
      <c r="C167" s="22"/>
    </row>
    <row r="168" ht="14.25" customHeight="1">
      <c r="A168" s="21"/>
      <c r="B168" s="22"/>
      <c r="C168" s="22"/>
    </row>
    <row r="169" ht="14.25" customHeight="1">
      <c r="A169" s="21"/>
      <c r="B169" s="22"/>
      <c r="C169" s="22"/>
    </row>
    <row r="170" ht="14.25" customHeight="1">
      <c r="A170" s="21"/>
      <c r="B170" s="22"/>
      <c r="C170" s="22"/>
    </row>
    <row r="171" ht="14.25" customHeight="1">
      <c r="A171" s="21"/>
      <c r="B171" s="22"/>
      <c r="C171" s="22"/>
    </row>
    <row r="172" ht="14.25" customHeight="1">
      <c r="A172" s="21"/>
      <c r="B172" s="22"/>
      <c r="C172" s="22"/>
    </row>
    <row r="173" ht="14.25" customHeight="1">
      <c r="A173" s="21"/>
      <c r="B173" s="22"/>
      <c r="C173" s="22"/>
    </row>
    <row r="174" ht="14.25" customHeight="1">
      <c r="A174" s="21"/>
      <c r="B174" s="22"/>
      <c r="C174" s="22"/>
    </row>
    <row r="175" ht="14.25" customHeight="1">
      <c r="A175" s="21"/>
      <c r="B175" s="22"/>
      <c r="C175" s="22"/>
    </row>
    <row r="176" ht="14.25" customHeight="1">
      <c r="A176" s="21"/>
      <c r="B176" s="22"/>
      <c r="C176" s="22"/>
    </row>
    <row r="177" ht="14.25" customHeight="1">
      <c r="A177" s="21"/>
      <c r="B177" s="22"/>
      <c r="C177" s="22"/>
    </row>
    <row r="178" ht="14.25" customHeight="1">
      <c r="A178" s="21"/>
      <c r="B178" s="22"/>
      <c r="C178" s="22"/>
    </row>
    <row r="179" ht="14.25" customHeight="1">
      <c r="A179" s="21"/>
      <c r="B179" s="22"/>
      <c r="C179" s="22"/>
    </row>
    <row r="180" ht="14.25" customHeight="1">
      <c r="A180" s="21"/>
      <c r="B180" s="22"/>
      <c r="C180" s="22"/>
    </row>
    <row r="181" ht="14.25" customHeight="1">
      <c r="A181" s="21"/>
      <c r="B181" s="22"/>
      <c r="C181" s="22"/>
    </row>
    <row r="182" ht="14.25" customHeight="1">
      <c r="A182" s="21"/>
      <c r="B182" s="22"/>
      <c r="C182" s="22"/>
    </row>
    <row r="183" ht="14.25" customHeight="1">
      <c r="A183" s="21"/>
      <c r="B183" s="22"/>
      <c r="C183" s="22"/>
    </row>
    <row r="184" ht="14.25" customHeight="1">
      <c r="A184" s="21"/>
      <c r="B184" s="22"/>
      <c r="C184" s="22"/>
    </row>
    <row r="185" ht="14.25" customHeight="1">
      <c r="A185" s="21"/>
      <c r="B185" s="22"/>
      <c r="C185" s="22"/>
    </row>
    <row r="186" ht="14.25" customHeight="1">
      <c r="A186" s="21"/>
      <c r="B186" s="22"/>
      <c r="C186" s="22"/>
    </row>
    <row r="187" ht="14.25" customHeight="1">
      <c r="A187" s="21"/>
      <c r="B187" s="22"/>
      <c r="C187" s="22"/>
    </row>
    <row r="188" ht="14.25" customHeight="1">
      <c r="A188" s="21"/>
      <c r="B188" s="22"/>
      <c r="C188" s="22"/>
    </row>
    <row r="189" ht="14.25" customHeight="1">
      <c r="A189" s="21"/>
      <c r="B189" s="22"/>
      <c r="C189" s="22"/>
    </row>
    <row r="190" ht="14.25" customHeight="1">
      <c r="A190" s="21"/>
      <c r="B190" s="22"/>
      <c r="C190" s="22"/>
    </row>
    <row r="191" ht="14.25" customHeight="1">
      <c r="A191" s="21"/>
      <c r="B191" s="22"/>
      <c r="C191" s="22"/>
    </row>
    <row r="192" ht="14.25" customHeight="1">
      <c r="A192" s="21"/>
      <c r="B192" s="22"/>
      <c r="C192" s="22"/>
    </row>
    <row r="193" ht="14.25" customHeight="1">
      <c r="A193" s="21"/>
      <c r="B193" s="22"/>
      <c r="C193" s="22"/>
    </row>
    <row r="194" ht="14.25" customHeight="1">
      <c r="A194" s="21"/>
      <c r="B194" s="22"/>
      <c r="C194" s="22"/>
    </row>
    <row r="195" ht="14.25" customHeight="1">
      <c r="A195" s="21"/>
      <c r="B195" s="22"/>
      <c r="C195" s="22"/>
    </row>
    <row r="196" ht="14.25" customHeight="1">
      <c r="A196" s="21"/>
      <c r="B196" s="22"/>
      <c r="C196" s="22"/>
    </row>
    <row r="197" ht="14.25" customHeight="1">
      <c r="A197" s="21"/>
      <c r="B197" s="22"/>
      <c r="C197" s="22"/>
    </row>
    <row r="198" ht="14.25" customHeight="1">
      <c r="A198" s="21"/>
      <c r="B198" s="22"/>
      <c r="C198" s="22"/>
    </row>
    <row r="199" ht="14.25" customHeight="1">
      <c r="A199" s="21"/>
      <c r="B199" s="22"/>
      <c r="C199" s="22"/>
    </row>
    <row r="200" ht="14.25" customHeight="1">
      <c r="A200" s="21"/>
      <c r="B200" s="22"/>
      <c r="C200" s="22"/>
    </row>
    <row r="201" ht="14.25" customHeight="1">
      <c r="A201" s="21"/>
      <c r="B201" s="22"/>
      <c r="C201" s="22"/>
    </row>
    <row r="202" ht="14.25" customHeight="1">
      <c r="A202" s="21"/>
      <c r="B202" s="22"/>
      <c r="C202" s="22"/>
    </row>
    <row r="203" ht="14.25" customHeight="1">
      <c r="A203" s="21"/>
      <c r="B203" s="22"/>
      <c r="C203" s="22"/>
    </row>
    <row r="204" ht="14.25" customHeight="1">
      <c r="A204" s="21"/>
      <c r="B204" s="22"/>
      <c r="C204" s="22"/>
    </row>
    <row r="205" ht="14.25" customHeight="1">
      <c r="A205" s="21"/>
      <c r="B205" s="22"/>
      <c r="C205" s="22"/>
    </row>
    <row r="206" ht="14.25" customHeight="1">
      <c r="A206" s="21"/>
      <c r="B206" s="22"/>
      <c r="C206" s="22"/>
    </row>
    <row r="207" ht="14.25" customHeight="1">
      <c r="A207" s="21"/>
      <c r="B207" s="22"/>
      <c r="C207" s="22"/>
    </row>
    <row r="208" ht="14.25" customHeight="1">
      <c r="A208" s="21"/>
      <c r="B208" s="22"/>
      <c r="C208" s="22"/>
    </row>
    <row r="209" ht="14.25" customHeight="1">
      <c r="A209" s="21"/>
      <c r="B209" s="22"/>
      <c r="C209" s="22"/>
    </row>
    <row r="210" ht="14.25" customHeight="1">
      <c r="A210" s="21"/>
      <c r="B210" s="22"/>
      <c r="C210" s="22"/>
    </row>
    <row r="211" ht="14.25" customHeight="1">
      <c r="A211" s="21"/>
      <c r="B211" s="22"/>
      <c r="C211" s="22"/>
    </row>
    <row r="212" ht="14.25" customHeight="1">
      <c r="A212" s="21"/>
      <c r="B212" s="22"/>
      <c r="C212" s="22"/>
    </row>
    <row r="213" ht="14.25" customHeight="1">
      <c r="A213" s="21"/>
      <c r="B213" s="22"/>
      <c r="C213" s="22"/>
    </row>
    <row r="214" ht="14.25" customHeight="1">
      <c r="A214" s="21"/>
      <c r="B214" s="22"/>
      <c r="C214" s="22"/>
    </row>
    <row r="215" ht="14.25" customHeight="1">
      <c r="A215" s="21"/>
      <c r="B215" s="22"/>
      <c r="C215" s="22"/>
    </row>
    <row r="216" ht="14.25" customHeight="1">
      <c r="A216" s="21"/>
      <c r="B216" s="22"/>
      <c r="C216" s="22"/>
    </row>
    <row r="217" ht="14.25" customHeight="1">
      <c r="A217" s="21"/>
      <c r="B217" s="22"/>
      <c r="C217" s="22"/>
    </row>
    <row r="218" ht="14.25" customHeight="1">
      <c r="A218" s="21"/>
      <c r="B218" s="22"/>
      <c r="C218" s="22"/>
    </row>
    <row r="219" ht="14.25" customHeight="1">
      <c r="A219" s="21"/>
      <c r="B219" s="22"/>
      <c r="C219" s="22"/>
    </row>
    <row r="220" ht="14.25" customHeight="1">
      <c r="A220" s="21"/>
      <c r="B220" s="22"/>
      <c r="C220" s="22"/>
    </row>
    <row r="221" ht="14.25" customHeight="1">
      <c r="A221" s="21"/>
      <c r="B221" s="22"/>
      <c r="C221" s="22"/>
    </row>
    <row r="222" ht="14.25" customHeight="1">
      <c r="A222" s="21"/>
      <c r="B222" s="22"/>
      <c r="C222" s="22"/>
    </row>
    <row r="223" ht="14.25" customHeight="1">
      <c r="A223" s="21"/>
      <c r="B223" s="22"/>
      <c r="C223" s="22"/>
    </row>
    <row r="224" ht="14.25" customHeight="1">
      <c r="A224" s="21"/>
      <c r="B224" s="22"/>
      <c r="C224" s="22"/>
    </row>
    <row r="225" ht="14.25" customHeight="1">
      <c r="A225" s="21"/>
      <c r="B225" s="22"/>
      <c r="C225" s="22"/>
    </row>
    <row r="226" ht="14.25" customHeight="1">
      <c r="A226" s="21"/>
      <c r="B226" s="22"/>
      <c r="C226" s="22"/>
    </row>
    <row r="227" ht="14.25" customHeight="1">
      <c r="A227" s="21"/>
      <c r="B227" s="22"/>
      <c r="C227" s="22"/>
    </row>
    <row r="228" ht="14.25" customHeight="1">
      <c r="A228" s="21"/>
      <c r="B228" s="22"/>
      <c r="C228" s="22"/>
    </row>
    <row r="229" ht="14.25" customHeight="1">
      <c r="A229" s="21"/>
      <c r="B229" s="22"/>
      <c r="C229" s="22"/>
    </row>
    <row r="230" ht="14.25" customHeight="1">
      <c r="A230" s="21"/>
      <c r="B230" s="22"/>
      <c r="C230" s="22"/>
    </row>
    <row r="231" ht="14.25" customHeight="1">
      <c r="A231" s="21"/>
      <c r="B231" s="22"/>
      <c r="C231" s="22"/>
    </row>
    <row r="232" ht="14.25" customHeight="1">
      <c r="A232" s="21"/>
      <c r="B232" s="22"/>
      <c r="C232" s="22"/>
    </row>
    <row r="233" ht="14.25" customHeight="1">
      <c r="A233" s="21"/>
      <c r="B233" s="22"/>
      <c r="C233" s="22"/>
    </row>
    <row r="234" ht="14.25" customHeight="1">
      <c r="A234" s="21"/>
      <c r="B234" s="22"/>
      <c r="C234" s="22"/>
    </row>
    <row r="235" ht="14.25" customHeight="1">
      <c r="A235" s="21"/>
      <c r="B235" s="22"/>
      <c r="C235" s="22"/>
    </row>
    <row r="236" ht="14.25" customHeight="1">
      <c r="A236" s="21"/>
      <c r="B236" s="22"/>
      <c r="C236" s="22"/>
    </row>
    <row r="237" ht="14.25" customHeight="1">
      <c r="A237" s="21"/>
      <c r="B237" s="22"/>
      <c r="C237" s="22"/>
    </row>
    <row r="238" ht="14.25" customHeight="1">
      <c r="A238" s="21"/>
      <c r="B238" s="22"/>
      <c r="C238" s="22"/>
    </row>
    <row r="239" ht="14.25" customHeight="1">
      <c r="A239" s="21"/>
      <c r="B239" s="22"/>
      <c r="C239" s="22"/>
    </row>
    <row r="240" ht="14.25" customHeight="1">
      <c r="A240" s="21"/>
      <c r="B240" s="22"/>
      <c r="C240" s="22"/>
    </row>
    <row r="241" ht="14.25" customHeight="1">
      <c r="A241" s="21"/>
      <c r="B241" s="22"/>
      <c r="C241" s="22"/>
    </row>
    <row r="242" ht="14.25" customHeight="1">
      <c r="A242" s="21"/>
      <c r="B242" s="22"/>
      <c r="C242" s="22"/>
    </row>
    <row r="243" ht="14.25" customHeight="1">
      <c r="A243" s="21"/>
      <c r="B243" s="22"/>
      <c r="C243" s="22"/>
    </row>
    <row r="244" ht="14.25" customHeight="1">
      <c r="A244" s="21"/>
      <c r="B244" s="22"/>
      <c r="C244" s="22"/>
    </row>
    <row r="245" ht="14.25" customHeight="1">
      <c r="A245" s="21"/>
      <c r="B245" s="22"/>
      <c r="C245" s="22"/>
    </row>
    <row r="246" ht="14.25" customHeight="1">
      <c r="A246" s="21"/>
      <c r="B246" s="22"/>
      <c r="C246" s="22"/>
    </row>
    <row r="247" ht="14.25" customHeight="1">
      <c r="A247" s="21"/>
      <c r="B247" s="22"/>
      <c r="C247" s="22"/>
    </row>
    <row r="248" ht="14.25" customHeight="1">
      <c r="A248" s="21"/>
      <c r="B248" s="22"/>
      <c r="C248" s="22"/>
    </row>
    <row r="249" ht="14.25" customHeight="1">
      <c r="A249" s="21"/>
      <c r="B249" s="22"/>
      <c r="C249" s="22"/>
    </row>
    <row r="250" ht="14.25" customHeight="1">
      <c r="A250" s="21"/>
      <c r="B250" s="22"/>
      <c r="C250" s="22"/>
    </row>
    <row r="251" ht="14.25" customHeight="1">
      <c r="A251" s="21"/>
      <c r="B251" s="22"/>
      <c r="C251" s="22"/>
    </row>
    <row r="252" ht="14.25" customHeight="1">
      <c r="A252" s="21"/>
      <c r="B252" s="22"/>
      <c r="C252" s="22"/>
    </row>
    <row r="253" ht="14.25" customHeight="1">
      <c r="A253" s="21"/>
      <c r="B253" s="22"/>
      <c r="C253" s="22"/>
    </row>
    <row r="254" ht="14.25" customHeight="1">
      <c r="A254" s="21"/>
      <c r="B254" s="22"/>
      <c r="C254" s="22"/>
    </row>
    <row r="255" ht="14.25" customHeight="1">
      <c r="A255" s="21"/>
      <c r="B255" s="22"/>
      <c r="C255" s="22"/>
    </row>
    <row r="256" ht="14.25" customHeight="1">
      <c r="A256" s="21"/>
      <c r="B256" s="22"/>
      <c r="C256" s="22"/>
    </row>
    <row r="257" ht="14.25" customHeight="1">
      <c r="A257" s="21"/>
      <c r="B257" s="22"/>
      <c r="C257" s="22"/>
    </row>
    <row r="258" ht="14.25" customHeight="1">
      <c r="A258" s="21"/>
      <c r="B258" s="22"/>
      <c r="C258" s="22"/>
    </row>
    <row r="259" ht="14.25" customHeight="1">
      <c r="A259" s="21"/>
      <c r="B259" s="22"/>
      <c r="C259" s="22"/>
    </row>
    <row r="260" ht="14.25" customHeight="1">
      <c r="A260" s="21"/>
      <c r="B260" s="22"/>
      <c r="C260" s="22"/>
    </row>
    <row r="261" ht="14.25" customHeight="1">
      <c r="A261" s="21"/>
      <c r="B261" s="22"/>
      <c r="C261" s="22"/>
    </row>
    <row r="262" ht="14.25" customHeight="1">
      <c r="A262" s="21"/>
      <c r="B262" s="22"/>
      <c r="C262" s="22"/>
    </row>
    <row r="263" ht="14.25" customHeight="1">
      <c r="A263" s="21"/>
      <c r="B263" s="22"/>
      <c r="C263" s="22"/>
    </row>
    <row r="264" ht="14.25" customHeight="1">
      <c r="A264" s="21"/>
      <c r="B264" s="22"/>
      <c r="C264" s="22"/>
    </row>
    <row r="265" ht="14.25" customHeight="1">
      <c r="A265" s="21"/>
      <c r="B265" s="22"/>
      <c r="C265" s="22"/>
    </row>
    <row r="266" ht="14.25" customHeight="1">
      <c r="A266" s="21"/>
      <c r="B266" s="22"/>
      <c r="C266" s="22"/>
    </row>
    <row r="267" ht="14.25" customHeight="1">
      <c r="A267" s="21"/>
      <c r="B267" s="22"/>
      <c r="C267" s="22"/>
    </row>
    <row r="268" ht="14.25" customHeight="1">
      <c r="A268" s="21"/>
      <c r="B268" s="22"/>
      <c r="C268" s="22"/>
    </row>
    <row r="269" ht="14.25" customHeight="1">
      <c r="A269" s="21"/>
      <c r="B269" s="22"/>
      <c r="C269" s="22"/>
    </row>
    <row r="270" ht="14.25" customHeight="1">
      <c r="A270" s="21"/>
      <c r="B270" s="22"/>
      <c r="C270" s="22"/>
    </row>
    <row r="271" ht="14.25" customHeight="1">
      <c r="A271" s="21"/>
      <c r="B271" s="22"/>
      <c r="C271" s="22"/>
    </row>
    <row r="272" ht="14.25" customHeight="1">
      <c r="A272" s="21"/>
      <c r="B272" s="22"/>
      <c r="C272" s="22"/>
    </row>
    <row r="273" ht="14.25" customHeight="1">
      <c r="A273" s="21"/>
      <c r="B273" s="22"/>
      <c r="C273" s="22"/>
    </row>
    <row r="274" ht="14.25" customHeight="1">
      <c r="A274" s="21"/>
      <c r="B274" s="22"/>
      <c r="C274" s="22"/>
    </row>
    <row r="275" ht="14.25" customHeight="1">
      <c r="A275" s="21"/>
      <c r="B275" s="22"/>
      <c r="C275" s="22"/>
    </row>
    <row r="276" ht="14.25" customHeight="1">
      <c r="A276" s="21"/>
      <c r="B276" s="22"/>
      <c r="C276" s="22"/>
    </row>
    <row r="277" ht="14.25" customHeight="1">
      <c r="A277" s="21"/>
      <c r="B277" s="22"/>
      <c r="C277" s="22"/>
    </row>
    <row r="278" ht="14.25" customHeight="1">
      <c r="A278" s="21"/>
      <c r="B278" s="22"/>
      <c r="C278" s="22"/>
    </row>
    <row r="279" ht="14.25" customHeight="1">
      <c r="A279" s="21"/>
      <c r="B279" s="22"/>
      <c r="C279" s="22"/>
    </row>
    <row r="280" ht="14.25" customHeight="1">
      <c r="A280" s="21"/>
      <c r="B280" s="22"/>
      <c r="C280" s="22"/>
    </row>
    <row r="281" ht="14.25" customHeight="1">
      <c r="A281" s="21"/>
      <c r="B281" s="22"/>
      <c r="C281" s="22"/>
    </row>
    <row r="282" ht="14.25" customHeight="1">
      <c r="A282" s="21"/>
      <c r="B282" s="22"/>
      <c r="C282" s="22"/>
    </row>
    <row r="283" ht="14.25" customHeight="1">
      <c r="A283" s="21"/>
      <c r="B283" s="22"/>
      <c r="C283" s="22"/>
    </row>
    <row r="284" ht="14.25" customHeight="1">
      <c r="A284" s="21"/>
      <c r="B284" s="22"/>
      <c r="C284" s="22"/>
    </row>
    <row r="285" ht="14.25" customHeight="1">
      <c r="A285" s="21"/>
      <c r="B285" s="22"/>
      <c r="C285" s="22"/>
    </row>
    <row r="286" ht="14.25" customHeight="1">
      <c r="A286" s="21"/>
      <c r="B286" s="22"/>
      <c r="C286" s="22"/>
    </row>
    <row r="287" ht="14.25" customHeight="1">
      <c r="A287" s="21"/>
      <c r="B287" s="22"/>
      <c r="C287" s="22"/>
    </row>
    <row r="288" ht="14.25" customHeight="1">
      <c r="A288" s="21"/>
      <c r="B288" s="22"/>
      <c r="C288" s="22"/>
    </row>
    <row r="289" ht="14.25" customHeight="1">
      <c r="A289" s="21"/>
      <c r="B289" s="22"/>
      <c r="C289" s="22"/>
    </row>
    <row r="290" ht="14.25" customHeight="1">
      <c r="A290" s="21"/>
      <c r="B290" s="22"/>
      <c r="C290" s="22"/>
    </row>
    <row r="291" ht="14.25" customHeight="1">
      <c r="A291" s="21"/>
      <c r="B291" s="22"/>
      <c r="C291" s="22"/>
    </row>
    <row r="292" ht="14.25" customHeight="1">
      <c r="A292" s="21"/>
      <c r="B292" s="22"/>
      <c r="C292" s="22"/>
    </row>
    <row r="293" ht="14.25" customHeight="1">
      <c r="A293" s="21"/>
      <c r="B293" s="22"/>
      <c r="C293" s="22"/>
    </row>
    <row r="294" ht="14.25" customHeight="1">
      <c r="A294" s="21"/>
      <c r="B294" s="22"/>
      <c r="C294" s="22"/>
    </row>
    <row r="295" ht="14.25" customHeight="1">
      <c r="A295" s="21"/>
      <c r="B295" s="22"/>
      <c r="C295" s="22"/>
    </row>
    <row r="296" ht="14.25" customHeight="1">
      <c r="A296" s="21"/>
      <c r="B296" s="22"/>
      <c r="C296" s="22"/>
    </row>
    <row r="297" ht="14.25" customHeight="1">
      <c r="A297" s="21"/>
      <c r="B297" s="22"/>
      <c r="C297" s="22"/>
    </row>
    <row r="298" ht="14.25" customHeight="1">
      <c r="A298" s="21"/>
      <c r="B298" s="22"/>
      <c r="C298" s="22"/>
    </row>
    <row r="299" ht="14.25" customHeight="1">
      <c r="A299" s="21"/>
      <c r="B299" s="22"/>
      <c r="C299" s="22"/>
    </row>
    <row r="300" ht="14.25" customHeight="1">
      <c r="A300" s="21"/>
      <c r="B300" s="22"/>
      <c r="C300" s="22"/>
    </row>
    <row r="301" ht="14.25" customHeight="1">
      <c r="A301" s="21"/>
      <c r="B301" s="22"/>
      <c r="C301" s="22"/>
    </row>
    <row r="302" ht="14.25" customHeight="1">
      <c r="A302" s="21"/>
      <c r="B302" s="22"/>
      <c r="C302" s="22"/>
    </row>
    <row r="303" ht="14.25" customHeight="1">
      <c r="A303" s="21"/>
      <c r="B303" s="22"/>
      <c r="C303" s="22"/>
    </row>
    <row r="304" ht="14.25" customHeight="1">
      <c r="A304" s="21"/>
      <c r="B304" s="22"/>
      <c r="C304" s="22"/>
    </row>
    <row r="305" ht="14.25" customHeight="1">
      <c r="A305" s="21"/>
      <c r="B305" s="22"/>
      <c r="C305" s="22"/>
    </row>
    <row r="306" ht="14.25" customHeight="1">
      <c r="A306" s="21"/>
      <c r="B306" s="22"/>
      <c r="C306" s="22"/>
    </row>
    <row r="307" ht="14.25" customHeight="1">
      <c r="A307" s="21"/>
      <c r="B307" s="22"/>
      <c r="C307" s="22"/>
    </row>
    <row r="308" ht="14.25" customHeight="1">
      <c r="A308" s="21"/>
      <c r="B308" s="22"/>
      <c r="C308" s="22"/>
    </row>
    <row r="309" ht="14.25" customHeight="1">
      <c r="A309" s="21"/>
      <c r="B309" s="22"/>
      <c r="C309" s="22"/>
    </row>
    <row r="310" ht="14.25" customHeight="1">
      <c r="A310" s="21"/>
      <c r="B310" s="22"/>
      <c r="C310" s="22"/>
    </row>
    <row r="311" ht="14.25" customHeight="1">
      <c r="A311" s="21"/>
      <c r="B311" s="22"/>
      <c r="C311" s="22"/>
    </row>
    <row r="312" ht="14.25" customHeight="1">
      <c r="A312" s="21"/>
      <c r="B312" s="22"/>
      <c r="C312" s="22"/>
    </row>
    <row r="313" ht="14.25" customHeight="1">
      <c r="A313" s="21"/>
      <c r="B313" s="22"/>
      <c r="C313" s="22"/>
    </row>
    <row r="314" ht="14.25" customHeight="1">
      <c r="A314" s="21"/>
      <c r="B314" s="22"/>
      <c r="C314" s="22"/>
    </row>
    <row r="315" ht="14.25" customHeight="1">
      <c r="A315" s="21"/>
      <c r="B315" s="22"/>
      <c r="C315" s="22"/>
    </row>
    <row r="316" ht="14.25" customHeight="1">
      <c r="A316" s="21"/>
      <c r="B316" s="22"/>
      <c r="C316" s="22"/>
    </row>
    <row r="317" ht="14.25" customHeight="1">
      <c r="A317" s="21"/>
      <c r="B317" s="22"/>
      <c r="C317" s="22"/>
    </row>
    <row r="318" ht="14.25" customHeight="1">
      <c r="A318" s="21"/>
      <c r="B318" s="22"/>
      <c r="C318" s="22"/>
    </row>
    <row r="319" ht="14.25" customHeight="1">
      <c r="A319" s="21"/>
      <c r="B319" s="22"/>
      <c r="C319" s="22"/>
    </row>
    <row r="320" ht="14.25" customHeight="1">
      <c r="A320" s="21"/>
      <c r="B320" s="22"/>
      <c r="C320" s="22"/>
    </row>
    <row r="321" ht="14.25" customHeight="1">
      <c r="A321" s="21"/>
      <c r="B321" s="22"/>
      <c r="C321" s="22"/>
    </row>
    <row r="322" ht="14.25" customHeight="1">
      <c r="A322" s="21"/>
      <c r="B322" s="22"/>
      <c r="C322" s="22"/>
    </row>
    <row r="323" ht="14.25" customHeight="1">
      <c r="A323" s="21"/>
      <c r="B323" s="22"/>
      <c r="C323" s="22"/>
    </row>
    <row r="324" ht="14.25" customHeight="1">
      <c r="A324" s="21"/>
      <c r="B324" s="22"/>
      <c r="C324" s="22"/>
    </row>
    <row r="325" ht="14.25" customHeight="1">
      <c r="A325" s="21"/>
      <c r="B325" s="22"/>
      <c r="C325" s="22"/>
    </row>
    <row r="326" ht="14.25" customHeight="1">
      <c r="A326" s="21"/>
      <c r="B326" s="22"/>
      <c r="C326" s="22"/>
    </row>
    <row r="327" ht="14.25" customHeight="1">
      <c r="A327" s="21"/>
      <c r="B327" s="22"/>
      <c r="C327" s="22"/>
    </row>
    <row r="328" ht="14.25" customHeight="1">
      <c r="A328" s="21"/>
      <c r="B328" s="22"/>
      <c r="C328" s="22"/>
    </row>
    <row r="329" ht="14.25" customHeight="1">
      <c r="A329" s="21"/>
      <c r="B329" s="22"/>
      <c r="C329" s="22"/>
    </row>
    <row r="330" ht="14.25" customHeight="1">
      <c r="A330" s="21"/>
      <c r="B330" s="22"/>
      <c r="C330" s="22"/>
    </row>
    <row r="331" ht="14.25" customHeight="1">
      <c r="A331" s="21"/>
      <c r="B331" s="22"/>
      <c r="C331" s="22"/>
    </row>
    <row r="332" ht="14.25" customHeight="1">
      <c r="A332" s="21"/>
      <c r="B332" s="22"/>
      <c r="C332" s="22"/>
    </row>
    <row r="333" ht="14.25" customHeight="1">
      <c r="A333" s="21"/>
      <c r="B333" s="22"/>
      <c r="C333" s="22"/>
    </row>
    <row r="334" ht="14.25" customHeight="1">
      <c r="A334" s="21"/>
      <c r="B334" s="22"/>
      <c r="C334" s="22"/>
    </row>
    <row r="335" ht="14.25" customHeight="1">
      <c r="A335" s="21"/>
      <c r="B335" s="22"/>
      <c r="C335" s="22"/>
    </row>
    <row r="336" ht="14.25" customHeight="1">
      <c r="A336" s="21"/>
      <c r="B336" s="22"/>
      <c r="C336" s="22"/>
    </row>
    <row r="337" ht="14.25" customHeight="1">
      <c r="A337" s="21"/>
      <c r="B337" s="22"/>
      <c r="C337" s="22"/>
    </row>
    <row r="338" ht="14.25" customHeight="1">
      <c r="A338" s="21"/>
      <c r="B338" s="22"/>
      <c r="C338" s="22"/>
    </row>
    <row r="339" ht="14.25" customHeight="1">
      <c r="A339" s="21"/>
      <c r="B339" s="22"/>
      <c r="C339" s="22"/>
    </row>
    <row r="340" ht="14.25" customHeight="1">
      <c r="A340" s="21"/>
      <c r="B340" s="22"/>
      <c r="C340" s="22"/>
    </row>
    <row r="341" ht="14.25" customHeight="1">
      <c r="A341" s="21"/>
      <c r="B341" s="22"/>
      <c r="C341" s="22"/>
    </row>
    <row r="342" ht="14.25" customHeight="1">
      <c r="A342" s="21"/>
      <c r="B342" s="22"/>
      <c r="C342" s="22"/>
    </row>
    <row r="343" ht="14.25" customHeight="1">
      <c r="A343" s="21"/>
      <c r="B343" s="22"/>
      <c r="C343" s="22"/>
    </row>
    <row r="344" ht="14.25" customHeight="1">
      <c r="A344" s="21"/>
      <c r="B344" s="22"/>
      <c r="C344" s="22"/>
    </row>
    <row r="345" ht="14.25" customHeight="1">
      <c r="A345" s="21"/>
      <c r="B345" s="22"/>
      <c r="C345" s="22"/>
    </row>
    <row r="346" ht="14.25" customHeight="1">
      <c r="A346" s="21"/>
      <c r="B346" s="22"/>
      <c r="C346" s="22"/>
    </row>
    <row r="347" ht="14.25" customHeight="1">
      <c r="A347" s="21"/>
      <c r="B347" s="22"/>
      <c r="C347" s="22"/>
    </row>
    <row r="348" ht="14.25" customHeight="1">
      <c r="A348" s="21"/>
      <c r="B348" s="22"/>
      <c r="C348" s="22"/>
    </row>
    <row r="349" ht="14.25" customHeight="1">
      <c r="A349" s="21"/>
      <c r="B349" s="22"/>
      <c r="C349" s="22"/>
    </row>
    <row r="350" ht="14.25" customHeight="1">
      <c r="A350" s="21"/>
      <c r="B350" s="22"/>
      <c r="C350" s="22"/>
    </row>
    <row r="351" ht="14.25" customHeight="1">
      <c r="A351" s="21"/>
      <c r="B351" s="22"/>
      <c r="C351" s="22"/>
    </row>
    <row r="352" ht="14.25" customHeight="1">
      <c r="A352" s="21"/>
      <c r="B352" s="22"/>
      <c r="C352" s="22"/>
    </row>
    <row r="353" ht="14.25" customHeight="1">
      <c r="A353" s="21"/>
      <c r="B353" s="22"/>
      <c r="C353" s="22"/>
    </row>
    <row r="354" ht="14.25" customHeight="1">
      <c r="A354" s="21"/>
      <c r="B354" s="22"/>
      <c r="C354" s="22"/>
    </row>
    <row r="355" ht="14.25" customHeight="1">
      <c r="A355" s="21"/>
      <c r="B355" s="22"/>
      <c r="C355" s="22"/>
    </row>
    <row r="356" ht="14.25" customHeight="1">
      <c r="A356" s="21"/>
      <c r="B356" s="22"/>
      <c r="C356" s="22"/>
    </row>
    <row r="357" ht="14.25" customHeight="1">
      <c r="A357" s="21"/>
      <c r="B357" s="22"/>
      <c r="C357" s="22"/>
    </row>
    <row r="358" ht="14.25" customHeight="1">
      <c r="A358" s="21"/>
      <c r="B358" s="22"/>
      <c r="C358" s="22"/>
    </row>
    <row r="359" ht="14.25" customHeight="1">
      <c r="A359" s="21"/>
      <c r="B359" s="22"/>
      <c r="C359" s="22"/>
    </row>
    <row r="360" ht="14.25" customHeight="1">
      <c r="A360" s="21"/>
      <c r="B360" s="22"/>
      <c r="C360" s="22"/>
    </row>
    <row r="361" ht="14.25" customHeight="1">
      <c r="A361" s="21"/>
      <c r="B361" s="22"/>
      <c r="C361" s="22"/>
    </row>
    <row r="362" ht="14.25" customHeight="1">
      <c r="A362" s="21"/>
      <c r="B362" s="22"/>
      <c r="C362" s="22"/>
    </row>
    <row r="363" ht="14.25" customHeight="1">
      <c r="A363" s="21"/>
      <c r="B363" s="22"/>
      <c r="C363" s="22"/>
    </row>
    <row r="364" ht="14.25" customHeight="1">
      <c r="A364" s="21"/>
      <c r="B364" s="22"/>
      <c r="C364" s="22"/>
    </row>
    <row r="365" ht="14.25" customHeight="1">
      <c r="A365" s="21"/>
      <c r="B365" s="22"/>
      <c r="C365" s="22"/>
    </row>
    <row r="366" ht="14.25" customHeight="1">
      <c r="A366" s="21"/>
      <c r="B366" s="22"/>
      <c r="C366" s="22"/>
    </row>
    <row r="367" ht="14.25" customHeight="1">
      <c r="A367" s="21"/>
      <c r="B367" s="22"/>
      <c r="C367" s="22"/>
    </row>
    <row r="368" ht="14.25" customHeight="1">
      <c r="A368" s="21"/>
      <c r="B368" s="22"/>
      <c r="C368" s="22"/>
    </row>
    <row r="369" ht="14.25" customHeight="1">
      <c r="A369" s="21"/>
      <c r="B369" s="22"/>
      <c r="C369" s="22"/>
    </row>
    <row r="370" ht="14.25" customHeight="1">
      <c r="A370" s="21"/>
      <c r="B370" s="22"/>
      <c r="C370" s="22"/>
    </row>
    <row r="371" ht="14.25" customHeight="1">
      <c r="A371" s="21"/>
      <c r="B371" s="22"/>
      <c r="C371" s="22"/>
    </row>
    <row r="372" ht="14.25" customHeight="1">
      <c r="A372" s="21"/>
      <c r="B372" s="22"/>
      <c r="C372" s="22"/>
    </row>
    <row r="373" ht="14.25" customHeight="1">
      <c r="A373" s="21"/>
      <c r="B373" s="22"/>
      <c r="C373" s="22"/>
    </row>
    <row r="374" ht="14.25" customHeight="1">
      <c r="A374" s="21"/>
      <c r="B374" s="22"/>
      <c r="C374" s="22"/>
    </row>
    <row r="375" ht="14.25" customHeight="1">
      <c r="A375" s="21"/>
      <c r="B375" s="22"/>
      <c r="C375" s="22"/>
    </row>
    <row r="376" ht="14.25" customHeight="1">
      <c r="A376" s="21"/>
      <c r="B376" s="22"/>
      <c r="C376" s="22"/>
    </row>
    <row r="377" ht="14.25" customHeight="1">
      <c r="A377" s="21"/>
      <c r="B377" s="22"/>
      <c r="C377" s="22"/>
    </row>
    <row r="378" ht="14.25" customHeight="1">
      <c r="A378" s="21"/>
      <c r="B378" s="22"/>
      <c r="C378" s="22"/>
    </row>
    <row r="379" ht="14.25" customHeight="1">
      <c r="A379" s="21"/>
      <c r="B379" s="22"/>
      <c r="C379" s="22"/>
    </row>
    <row r="380" ht="14.25" customHeight="1">
      <c r="A380" s="21"/>
      <c r="B380" s="22"/>
      <c r="C380" s="22"/>
    </row>
    <row r="381" ht="14.25" customHeight="1">
      <c r="A381" s="21"/>
      <c r="B381" s="22"/>
      <c r="C381" s="22"/>
    </row>
    <row r="382" ht="14.25" customHeight="1">
      <c r="A382" s="21"/>
      <c r="B382" s="22"/>
      <c r="C382" s="22"/>
    </row>
    <row r="383" ht="14.25" customHeight="1">
      <c r="A383" s="21"/>
      <c r="B383" s="22"/>
      <c r="C383" s="22"/>
    </row>
    <row r="384" ht="14.25" customHeight="1">
      <c r="A384" s="21"/>
      <c r="B384" s="22"/>
      <c r="C384" s="22"/>
    </row>
    <row r="385" ht="14.25" customHeight="1">
      <c r="A385" s="21"/>
      <c r="B385" s="22"/>
      <c r="C385" s="22"/>
    </row>
    <row r="386" ht="14.25" customHeight="1">
      <c r="A386" s="21"/>
      <c r="B386" s="22"/>
      <c r="C386" s="22"/>
    </row>
    <row r="387" ht="14.25" customHeight="1">
      <c r="A387" s="21"/>
      <c r="B387" s="22"/>
      <c r="C387" s="22"/>
    </row>
    <row r="388" ht="14.25" customHeight="1">
      <c r="A388" s="21"/>
      <c r="B388" s="22"/>
      <c r="C388" s="22"/>
    </row>
    <row r="389" ht="14.25" customHeight="1">
      <c r="A389" s="21"/>
      <c r="B389" s="22"/>
      <c r="C389" s="22"/>
    </row>
    <row r="390" ht="14.25" customHeight="1">
      <c r="A390" s="21"/>
      <c r="B390" s="22"/>
      <c r="C390" s="22"/>
    </row>
    <row r="391" ht="14.25" customHeight="1">
      <c r="A391" s="21"/>
      <c r="B391" s="22"/>
      <c r="C391" s="22"/>
    </row>
    <row r="392" ht="14.25" customHeight="1">
      <c r="A392" s="21"/>
      <c r="B392" s="22"/>
      <c r="C392" s="22"/>
    </row>
    <row r="393" ht="14.25" customHeight="1">
      <c r="A393" s="21"/>
      <c r="B393" s="22"/>
      <c r="C393" s="22"/>
    </row>
    <row r="394" ht="14.25" customHeight="1">
      <c r="A394" s="21"/>
      <c r="B394" s="22"/>
      <c r="C394" s="22"/>
    </row>
    <row r="395" ht="14.25" customHeight="1">
      <c r="A395" s="21"/>
      <c r="B395" s="22"/>
      <c r="C395" s="22"/>
    </row>
    <row r="396" ht="14.25" customHeight="1">
      <c r="A396" s="21"/>
      <c r="B396" s="22"/>
      <c r="C396" s="22"/>
    </row>
    <row r="397" ht="14.25" customHeight="1">
      <c r="A397" s="21"/>
      <c r="B397" s="22"/>
      <c r="C397" s="22"/>
    </row>
    <row r="398" ht="14.25" customHeight="1">
      <c r="A398" s="21"/>
      <c r="B398" s="22"/>
      <c r="C398" s="22"/>
    </row>
    <row r="399" ht="14.25" customHeight="1">
      <c r="A399" s="21"/>
      <c r="B399" s="22"/>
      <c r="C399" s="22"/>
    </row>
    <row r="400" ht="14.25" customHeight="1">
      <c r="A400" s="21"/>
      <c r="B400" s="22"/>
      <c r="C400" s="22"/>
    </row>
    <row r="401" ht="14.25" customHeight="1">
      <c r="A401" s="21"/>
      <c r="B401" s="22"/>
      <c r="C401" s="22"/>
    </row>
    <row r="402" ht="14.25" customHeight="1">
      <c r="A402" s="21"/>
      <c r="B402" s="22"/>
      <c r="C402" s="22"/>
    </row>
    <row r="403" ht="14.25" customHeight="1">
      <c r="A403" s="21"/>
      <c r="B403" s="22"/>
      <c r="C403" s="22"/>
    </row>
    <row r="404" ht="14.25" customHeight="1">
      <c r="A404" s="21"/>
      <c r="B404" s="22"/>
      <c r="C404" s="22"/>
    </row>
    <row r="405" ht="14.25" customHeight="1">
      <c r="A405" s="21"/>
      <c r="B405" s="22"/>
      <c r="C405" s="22"/>
    </row>
    <row r="406" ht="14.25" customHeight="1">
      <c r="A406" s="21"/>
      <c r="B406" s="22"/>
      <c r="C406" s="22"/>
    </row>
    <row r="407" ht="14.25" customHeight="1">
      <c r="A407" s="21"/>
      <c r="B407" s="22"/>
      <c r="C407" s="22"/>
    </row>
    <row r="408" ht="14.25" customHeight="1">
      <c r="A408" s="21"/>
      <c r="B408" s="22"/>
      <c r="C408" s="22"/>
    </row>
    <row r="409" ht="14.25" customHeight="1">
      <c r="A409" s="21"/>
      <c r="B409" s="22"/>
      <c r="C409" s="22"/>
    </row>
    <row r="410" ht="14.25" customHeight="1">
      <c r="A410" s="21"/>
      <c r="B410" s="22"/>
      <c r="C410" s="22"/>
    </row>
    <row r="411" ht="14.25" customHeight="1">
      <c r="A411" s="21"/>
      <c r="B411" s="22"/>
      <c r="C411" s="22"/>
    </row>
    <row r="412" ht="14.25" customHeight="1">
      <c r="A412" s="21"/>
      <c r="B412" s="22"/>
      <c r="C412" s="22"/>
    </row>
    <row r="413" ht="14.25" customHeight="1">
      <c r="A413" s="21"/>
      <c r="B413" s="22"/>
      <c r="C413" s="22"/>
    </row>
    <row r="414" ht="14.25" customHeight="1">
      <c r="A414" s="21"/>
      <c r="B414" s="22"/>
      <c r="C414" s="22"/>
    </row>
    <row r="415" ht="14.25" customHeight="1">
      <c r="A415" s="21"/>
      <c r="B415" s="22"/>
      <c r="C415" s="22"/>
    </row>
    <row r="416" ht="14.25" customHeight="1">
      <c r="A416" s="21"/>
      <c r="B416" s="22"/>
      <c r="C416" s="22"/>
    </row>
    <row r="417" ht="14.25" customHeight="1">
      <c r="A417" s="21"/>
      <c r="B417" s="22"/>
      <c r="C417" s="22"/>
    </row>
    <row r="418" ht="14.25" customHeight="1">
      <c r="A418" s="21"/>
      <c r="B418" s="22"/>
      <c r="C418" s="22"/>
    </row>
    <row r="419" ht="14.25" customHeight="1">
      <c r="A419" s="21"/>
      <c r="B419" s="22"/>
      <c r="C419" s="22"/>
    </row>
    <row r="420" ht="14.25" customHeight="1">
      <c r="A420" s="21"/>
      <c r="B420" s="22"/>
      <c r="C420" s="22"/>
    </row>
    <row r="421" ht="14.25" customHeight="1">
      <c r="A421" s="21"/>
      <c r="B421" s="22"/>
      <c r="C421" s="22"/>
    </row>
    <row r="422" ht="14.25" customHeight="1">
      <c r="A422" s="21"/>
      <c r="B422" s="22"/>
      <c r="C422" s="22"/>
    </row>
    <row r="423" ht="14.25" customHeight="1">
      <c r="A423" s="21"/>
      <c r="B423" s="22"/>
      <c r="C423" s="22"/>
    </row>
    <row r="424" ht="14.25" customHeight="1">
      <c r="A424" s="21"/>
      <c r="B424" s="22"/>
      <c r="C424" s="22"/>
    </row>
    <row r="425" ht="14.25" customHeight="1">
      <c r="A425" s="21"/>
      <c r="B425" s="22"/>
      <c r="C425" s="22"/>
    </row>
    <row r="426" ht="14.25" customHeight="1">
      <c r="A426" s="21"/>
      <c r="B426" s="22"/>
      <c r="C426" s="22"/>
    </row>
    <row r="427" ht="14.25" customHeight="1">
      <c r="A427" s="21"/>
      <c r="B427" s="22"/>
      <c r="C427" s="22"/>
    </row>
    <row r="428" ht="14.25" customHeight="1">
      <c r="A428" s="21"/>
      <c r="B428" s="22"/>
      <c r="C428" s="22"/>
    </row>
    <row r="429" ht="14.25" customHeight="1">
      <c r="A429" s="21"/>
      <c r="B429" s="22"/>
      <c r="C429" s="22"/>
    </row>
    <row r="430" ht="14.25" customHeight="1">
      <c r="A430" s="21"/>
      <c r="B430" s="22"/>
      <c r="C430" s="22"/>
    </row>
    <row r="431" ht="14.25" customHeight="1">
      <c r="A431" s="21"/>
      <c r="B431" s="22"/>
      <c r="C431" s="22"/>
    </row>
    <row r="432" ht="14.25" customHeight="1">
      <c r="A432" s="21"/>
      <c r="B432" s="22"/>
      <c r="C432" s="22"/>
    </row>
    <row r="433" ht="14.25" customHeight="1">
      <c r="A433" s="21"/>
      <c r="B433" s="22"/>
      <c r="C433" s="22"/>
    </row>
    <row r="434" ht="14.25" customHeight="1">
      <c r="A434" s="21"/>
      <c r="B434" s="22"/>
      <c r="C434" s="22"/>
    </row>
    <row r="435" ht="14.25" customHeight="1">
      <c r="A435" s="21"/>
      <c r="B435" s="22"/>
      <c r="C435" s="22"/>
    </row>
    <row r="436" ht="14.25" customHeight="1">
      <c r="A436" s="21"/>
      <c r="B436" s="22"/>
      <c r="C436" s="22"/>
    </row>
    <row r="437" ht="14.25" customHeight="1">
      <c r="A437" s="21"/>
      <c r="B437" s="22"/>
      <c r="C437" s="22"/>
    </row>
    <row r="438" ht="14.25" customHeight="1">
      <c r="A438" s="21"/>
      <c r="B438" s="22"/>
      <c r="C438" s="22"/>
    </row>
    <row r="439" ht="14.25" customHeight="1">
      <c r="A439" s="21"/>
      <c r="B439" s="22"/>
      <c r="C439" s="22"/>
    </row>
    <row r="440" ht="14.25" customHeight="1">
      <c r="A440" s="21"/>
      <c r="B440" s="22"/>
      <c r="C440" s="22"/>
    </row>
    <row r="441" ht="14.25" customHeight="1">
      <c r="A441" s="21"/>
      <c r="B441" s="22"/>
      <c r="C441" s="22"/>
    </row>
    <row r="442" ht="14.25" customHeight="1">
      <c r="A442" s="21"/>
      <c r="B442" s="22"/>
      <c r="C442" s="22"/>
    </row>
    <row r="443" ht="14.25" customHeight="1">
      <c r="A443" s="21"/>
      <c r="B443" s="22"/>
      <c r="C443" s="22"/>
    </row>
    <row r="444" ht="14.25" customHeight="1">
      <c r="A444" s="21"/>
      <c r="B444" s="22"/>
      <c r="C444" s="22"/>
    </row>
    <row r="445" ht="14.25" customHeight="1">
      <c r="A445" s="21"/>
      <c r="B445" s="22"/>
      <c r="C445" s="22"/>
    </row>
    <row r="446" ht="14.25" customHeight="1">
      <c r="A446" s="21"/>
      <c r="B446" s="22"/>
      <c r="C446" s="22"/>
    </row>
    <row r="447" ht="14.25" customHeight="1">
      <c r="A447" s="21"/>
      <c r="B447" s="22"/>
      <c r="C447" s="22"/>
    </row>
    <row r="448" ht="14.25" customHeight="1">
      <c r="A448" s="21"/>
      <c r="B448" s="22"/>
      <c r="C448" s="22"/>
    </row>
    <row r="449" ht="14.25" customHeight="1">
      <c r="A449" s="21"/>
      <c r="B449" s="22"/>
      <c r="C449" s="22"/>
    </row>
    <row r="450" ht="14.25" customHeight="1">
      <c r="A450" s="21"/>
      <c r="B450" s="22"/>
      <c r="C450" s="22"/>
    </row>
    <row r="451" ht="14.25" customHeight="1">
      <c r="A451" s="21"/>
      <c r="B451" s="22"/>
      <c r="C451" s="22"/>
    </row>
    <row r="452" ht="14.25" customHeight="1">
      <c r="A452" s="21"/>
      <c r="B452" s="22"/>
      <c r="C452" s="22"/>
    </row>
    <row r="453" ht="14.25" customHeight="1">
      <c r="A453" s="21"/>
      <c r="B453" s="22"/>
      <c r="C453" s="22"/>
    </row>
    <row r="454" ht="14.25" customHeight="1">
      <c r="A454" s="21"/>
      <c r="B454" s="22"/>
      <c r="C454" s="22"/>
    </row>
    <row r="455" ht="14.25" customHeight="1">
      <c r="A455" s="21"/>
      <c r="B455" s="22"/>
      <c r="C455" s="22"/>
    </row>
    <row r="456" ht="14.25" customHeight="1">
      <c r="A456" s="21"/>
      <c r="B456" s="22"/>
      <c r="C456" s="22"/>
    </row>
    <row r="457" ht="14.25" customHeight="1">
      <c r="A457" s="21"/>
      <c r="B457" s="22"/>
      <c r="C457" s="22"/>
    </row>
    <row r="458" ht="14.25" customHeight="1">
      <c r="A458" s="21"/>
      <c r="B458" s="22"/>
      <c r="C458" s="22"/>
    </row>
    <row r="459" ht="14.25" customHeight="1">
      <c r="A459" s="21"/>
      <c r="B459" s="22"/>
      <c r="C459" s="22"/>
    </row>
    <row r="460" ht="14.25" customHeight="1">
      <c r="A460" s="21"/>
      <c r="B460" s="22"/>
      <c r="C460" s="22"/>
    </row>
    <row r="461" ht="14.25" customHeight="1">
      <c r="A461" s="21"/>
      <c r="B461" s="22"/>
      <c r="C461" s="22"/>
    </row>
    <row r="462" ht="14.25" customHeight="1">
      <c r="A462" s="21"/>
      <c r="B462" s="22"/>
      <c r="C462" s="22"/>
    </row>
    <row r="463" ht="14.25" customHeight="1">
      <c r="A463" s="21"/>
      <c r="B463" s="22"/>
      <c r="C463" s="22"/>
    </row>
    <row r="464" ht="14.25" customHeight="1">
      <c r="A464" s="21"/>
      <c r="B464" s="22"/>
      <c r="C464" s="22"/>
    </row>
    <row r="465" ht="14.25" customHeight="1">
      <c r="A465" s="21"/>
      <c r="B465" s="22"/>
      <c r="C465" s="22"/>
    </row>
    <row r="466" ht="14.25" customHeight="1">
      <c r="A466" s="21"/>
      <c r="B466" s="22"/>
      <c r="C466" s="22"/>
    </row>
    <row r="467" ht="14.25" customHeight="1">
      <c r="A467" s="21"/>
      <c r="B467" s="22"/>
      <c r="C467" s="22"/>
    </row>
    <row r="468" ht="14.25" customHeight="1">
      <c r="A468" s="21"/>
      <c r="B468" s="22"/>
      <c r="C468" s="22"/>
    </row>
    <row r="469" ht="14.25" customHeight="1">
      <c r="A469" s="21"/>
      <c r="B469" s="22"/>
      <c r="C469" s="22"/>
    </row>
    <row r="470" ht="14.25" customHeight="1">
      <c r="A470" s="21"/>
      <c r="B470" s="22"/>
      <c r="C470" s="22"/>
    </row>
    <row r="471" ht="14.25" customHeight="1">
      <c r="A471" s="21"/>
      <c r="B471" s="22"/>
      <c r="C471" s="22"/>
    </row>
    <row r="472" ht="14.25" customHeight="1">
      <c r="A472" s="21"/>
      <c r="B472" s="22"/>
      <c r="C472" s="22"/>
    </row>
    <row r="473" ht="14.25" customHeight="1">
      <c r="A473" s="21"/>
      <c r="B473" s="22"/>
      <c r="C473" s="22"/>
    </row>
    <row r="474" ht="14.25" customHeight="1">
      <c r="A474" s="21"/>
      <c r="B474" s="22"/>
      <c r="C474" s="22"/>
    </row>
    <row r="475" ht="14.25" customHeight="1">
      <c r="A475" s="21"/>
      <c r="B475" s="22"/>
      <c r="C475" s="22"/>
    </row>
    <row r="476" ht="14.25" customHeight="1">
      <c r="A476" s="21"/>
      <c r="B476" s="22"/>
      <c r="C476" s="22"/>
    </row>
    <row r="477" ht="14.25" customHeight="1">
      <c r="A477" s="21"/>
      <c r="B477" s="22"/>
      <c r="C477" s="22"/>
    </row>
    <row r="478" ht="14.25" customHeight="1">
      <c r="A478" s="21"/>
      <c r="B478" s="22"/>
      <c r="C478" s="22"/>
    </row>
    <row r="479" ht="14.25" customHeight="1">
      <c r="A479" s="21"/>
      <c r="B479" s="22"/>
      <c r="C479" s="22"/>
    </row>
    <row r="480" ht="14.25" customHeight="1">
      <c r="A480" s="21"/>
      <c r="B480" s="22"/>
      <c r="C480" s="22"/>
    </row>
    <row r="481" ht="14.25" customHeight="1">
      <c r="A481" s="21"/>
      <c r="B481" s="22"/>
      <c r="C481" s="22"/>
    </row>
    <row r="482" ht="14.25" customHeight="1">
      <c r="A482" s="21"/>
      <c r="B482" s="22"/>
      <c r="C482" s="22"/>
    </row>
    <row r="483" ht="14.25" customHeight="1">
      <c r="A483" s="21"/>
      <c r="B483" s="22"/>
      <c r="C483" s="22"/>
    </row>
    <row r="484" ht="14.25" customHeight="1">
      <c r="A484" s="21"/>
      <c r="B484" s="22"/>
      <c r="C484" s="22"/>
    </row>
    <row r="485" ht="14.25" customHeight="1">
      <c r="A485" s="21"/>
      <c r="B485" s="22"/>
      <c r="C485" s="22"/>
    </row>
    <row r="486" ht="14.25" customHeight="1">
      <c r="A486" s="21"/>
      <c r="B486" s="22"/>
      <c r="C486" s="22"/>
    </row>
    <row r="487" ht="14.25" customHeight="1">
      <c r="A487" s="21"/>
      <c r="B487" s="22"/>
      <c r="C487" s="22"/>
    </row>
    <row r="488" ht="14.25" customHeight="1">
      <c r="A488" s="21"/>
      <c r="B488" s="22"/>
      <c r="C488" s="22"/>
    </row>
    <row r="489" ht="14.25" customHeight="1">
      <c r="A489" s="21"/>
      <c r="B489" s="22"/>
      <c r="C489" s="22"/>
    </row>
    <row r="490" ht="14.25" customHeight="1">
      <c r="A490" s="21"/>
      <c r="B490" s="22"/>
      <c r="C490" s="22"/>
    </row>
    <row r="491" ht="14.25" customHeight="1">
      <c r="A491" s="21"/>
      <c r="B491" s="22"/>
      <c r="C491" s="22"/>
    </row>
    <row r="492" ht="14.25" customHeight="1">
      <c r="A492" s="21"/>
      <c r="B492" s="22"/>
      <c r="C492" s="22"/>
    </row>
    <row r="493" ht="14.25" customHeight="1">
      <c r="A493" s="21"/>
      <c r="B493" s="22"/>
      <c r="C493" s="22"/>
    </row>
    <row r="494" ht="14.25" customHeight="1">
      <c r="A494" s="21"/>
      <c r="B494" s="22"/>
      <c r="C494" s="22"/>
    </row>
    <row r="495" ht="14.25" customHeight="1">
      <c r="A495" s="21"/>
      <c r="B495" s="22"/>
      <c r="C495" s="22"/>
    </row>
    <row r="496" ht="14.25" customHeight="1">
      <c r="A496" s="21"/>
      <c r="B496" s="22"/>
      <c r="C496" s="22"/>
    </row>
    <row r="497" ht="14.25" customHeight="1">
      <c r="A497" s="21"/>
      <c r="B497" s="22"/>
      <c r="C497" s="22"/>
    </row>
    <row r="498" ht="14.25" customHeight="1">
      <c r="A498" s="21"/>
      <c r="B498" s="22"/>
      <c r="C498" s="22"/>
    </row>
    <row r="499" ht="14.25" customHeight="1">
      <c r="A499" s="21"/>
      <c r="B499" s="22"/>
      <c r="C499" s="22"/>
    </row>
    <row r="500" ht="14.25" customHeight="1">
      <c r="A500" s="21"/>
      <c r="B500" s="22"/>
      <c r="C500" s="22"/>
    </row>
    <row r="501" ht="14.25" customHeight="1">
      <c r="A501" s="21"/>
      <c r="B501" s="22"/>
      <c r="C501" s="22"/>
    </row>
    <row r="502" ht="14.25" customHeight="1">
      <c r="A502" s="21"/>
      <c r="B502" s="22"/>
      <c r="C502" s="22"/>
    </row>
    <row r="503" ht="14.25" customHeight="1">
      <c r="A503" s="21"/>
      <c r="B503" s="22"/>
      <c r="C503" s="22"/>
    </row>
    <row r="504" ht="14.25" customHeight="1">
      <c r="A504" s="21"/>
      <c r="B504" s="22"/>
      <c r="C504" s="22"/>
    </row>
    <row r="505" ht="14.25" customHeight="1">
      <c r="A505" s="21"/>
      <c r="B505" s="22"/>
      <c r="C505" s="22"/>
    </row>
    <row r="506" ht="14.25" customHeight="1">
      <c r="A506" s="21"/>
      <c r="B506" s="22"/>
      <c r="C506" s="22"/>
    </row>
    <row r="507" ht="14.25" customHeight="1">
      <c r="A507" s="21"/>
      <c r="B507" s="22"/>
      <c r="C507" s="22"/>
    </row>
    <row r="508" ht="14.25" customHeight="1">
      <c r="A508" s="21"/>
      <c r="B508" s="22"/>
      <c r="C508" s="22"/>
    </row>
    <row r="509" ht="14.25" customHeight="1">
      <c r="A509" s="21"/>
      <c r="B509" s="22"/>
      <c r="C509" s="22"/>
    </row>
    <row r="510" ht="14.25" customHeight="1">
      <c r="A510" s="21"/>
      <c r="B510" s="22"/>
      <c r="C510" s="22"/>
    </row>
    <row r="511" ht="14.25" customHeight="1">
      <c r="A511" s="21"/>
      <c r="B511" s="22"/>
      <c r="C511" s="22"/>
    </row>
    <row r="512" ht="14.25" customHeight="1">
      <c r="A512" s="21"/>
      <c r="B512" s="22"/>
      <c r="C512" s="22"/>
    </row>
    <row r="513" ht="14.25" customHeight="1">
      <c r="A513" s="21"/>
      <c r="B513" s="22"/>
      <c r="C513" s="22"/>
    </row>
    <row r="514" ht="14.25" customHeight="1">
      <c r="A514" s="21"/>
      <c r="B514" s="22"/>
      <c r="C514" s="22"/>
    </row>
    <row r="515" ht="14.25" customHeight="1">
      <c r="A515" s="21"/>
      <c r="B515" s="22"/>
      <c r="C515" s="22"/>
    </row>
    <row r="516" ht="14.25" customHeight="1">
      <c r="A516" s="21"/>
      <c r="B516" s="22"/>
      <c r="C516" s="22"/>
    </row>
    <row r="517" ht="14.25" customHeight="1">
      <c r="A517" s="21"/>
      <c r="B517" s="22"/>
      <c r="C517" s="22"/>
    </row>
    <row r="518" ht="14.25" customHeight="1">
      <c r="A518" s="21"/>
      <c r="B518" s="22"/>
      <c r="C518" s="22"/>
    </row>
    <row r="519" ht="14.25" customHeight="1">
      <c r="A519" s="21"/>
      <c r="B519" s="22"/>
      <c r="C519" s="22"/>
    </row>
    <row r="520" ht="14.25" customHeight="1">
      <c r="A520" s="21"/>
      <c r="B520" s="22"/>
      <c r="C520" s="22"/>
    </row>
    <row r="521" ht="14.25" customHeight="1">
      <c r="A521" s="21"/>
      <c r="B521" s="22"/>
      <c r="C521" s="22"/>
    </row>
    <row r="522" ht="14.25" customHeight="1">
      <c r="A522" s="21"/>
      <c r="B522" s="22"/>
      <c r="C522" s="22"/>
    </row>
    <row r="523" ht="14.25" customHeight="1">
      <c r="A523" s="21"/>
      <c r="B523" s="22"/>
      <c r="C523" s="22"/>
    </row>
    <row r="524" ht="14.25" customHeight="1">
      <c r="A524" s="21"/>
      <c r="B524" s="22"/>
      <c r="C524" s="22"/>
    </row>
    <row r="525" ht="14.25" customHeight="1">
      <c r="A525" s="21"/>
      <c r="B525" s="22"/>
      <c r="C525" s="22"/>
    </row>
    <row r="526" ht="14.25" customHeight="1">
      <c r="A526" s="21"/>
      <c r="B526" s="22"/>
      <c r="C526" s="22"/>
    </row>
    <row r="527" ht="14.25" customHeight="1">
      <c r="A527" s="21"/>
      <c r="B527" s="22"/>
      <c r="C527" s="22"/>
    </row>
    <row r="528" ht="14.25" customHeight="1">
      <c r="A528" s="21"/>
      <c r="B528" s="22"/>
      <c r="C528" s="22"/>
    </row>
    <row r="529" ht="14.25" customHeight="1">
      <c r="A529" s="21"/>
      <c r="B529" s="22"/>
      <c r="C529" s="22"/>
    </row>
    <row r="530" ht="14.25" customHeight="1">
      <c r="A530" s="21"/>
      <c r="B530" s="22"/>
      <c r="C530" s="22"/>
    </row>
    <row r="531" ht="14.25" customHeight="1">
      <c r="A531" s="21"/>
      <c r="B531" s="22"/>
      <c r="C531" s="22"/>
    </row>
    <row r="532" ht="14.25" customHeight="1">
      <c r="A532" s="21"/>
      <c r="B532" s="22"/>
      <c r="C532" s="22"/>
    </row>
    <row r="533" ht="14.25" customHeight="1">
      <c r="A533" s="21"/>
      <c r="B533" s="22"/>
      <c r="C533" s="22"/>
    </row>
    <row r="534" ht="14.25" customHeight="1">
      <c r="A534" s="21"/>
      <c r="B534" s="22"/>
      <c r="C534" s="22"/>
    </row>
    <row r="535" ht="14.25" customHeight="1">
      <c r="A535" s="21"/>
      <c r="B535" s="22"/>
      <c r="C535" s="22"/>
    </row>
    <row r="536" ht="14.25" customHeight="1">
      <c r="A536" s="21"/>
      <c r="B536" s="22"/>
      <c r="C536" s="22"/>
    </row>
    <row r="537" ht="14.25" customHeight="1">
      <c r="A537" s="21"/>
      <c r="B537" s="22"/>
      <c r="C537" s="22"/>
    </row>
    <row r="538" ht="14.25" customHeight="1">
      <c r="A538" s="21"/>
      <c r="B538" s="22"/>
      <c r="C538" s="22"/>
    </row>
    <row r="539" ht="14.25" customHeight="1">
      <c r="A539" s="21"/>
      <c r="B539" s="22"/>
      <c r="C539" s="22"/>
    </row>
    <row r="540" ht="14.25" customHeight="1">
      <c r="A540" s="21"/>
      <c r="B540" s="22"/>
      <c r="C540" s="22"/>
    </row>
    <row r="541" ht="14.25" customHeight="1">
      <c r="A541" s="21"/>
      <c r="B541" s="22"/>
      <c r="C541" s="22"/>
    </row>
    <row r="542" ht="14.25" customHeight="1">
      <c r="A542" s="21"/>
      <c r="B542" s="22"/>
      <c r="C542" s="22"/>
    </row>
    <row r="543" ht="14.25" customHeight="1">
      <c r="A543" s="21"/>
      <c r="B543" s="22"/>
      <c r="C543" s="22"/>
    </row>
    <row r="544" ht="14.25" customHeight="1">
      <c r="A544" s="21"/>
      <c r="B544" s="22"/>
      <c r="C544" s="22"/>
    </row>
    <row r="545" ht="14.25" customHeight="1">
      <c r="A545" s="21"/>
      <c r="B545" s="22"/>
      <c r="C545" s="22"/>
    </row>
    <row r="546" ht="14.25" customHeight="1">
      <c r="A546" s="21"/>
      <c r="B546" s="22"/>
      <c r="C546" s="22"/>
    </row>
    <row r="547" ht="14.25" customHeight="1">
      <c r="A547" s="21"/>
      <c r="B547" s="22"/>
      <c r="C547" s="22"/>
    </row>
    <row r="548" ht="14.25" customHeight="1">
      <c r="A548" s="21"/>
      <c r="B548" s="22"/>
      <c r="C548" s="22"/>
    </row>
    <row r="549" ht="14.25" customHeight="1">
      <c r="A549" s="21"/>
      <c r="B549" s="22"/>
      <c r="C549" s="22"/>
    </row>
    <row r="550" ht="14.25" customHeight="1">
      <c r="A550" s="21"/>
      <c r="B550" s="22"/>
      <c r="C550" s="22"/>
    </row>
    <row r="551" ht="14.25" customHeight="1">
      <c r="A551" s="21"/>
      <c r="B551" s="22"/>
      <c r="C551" s="22"/>
    </row>
    <row r="552" ht="14.25" customHeight="1">
      <c r="A552" s="21"/>
      <c r="B552" s="22"/>
      <c r="C552" s="22"/>
    </row>
    <row r="553" ht="14.25" customHeight="1">
      <c r="A553" s="21"/>
      <c r="B553" s="22"/>
      <c r="C553" s="22"/>
    </row>
    <row r="554" ht="14.25" customHeight="1">
      <c r="A554" s="21"/>
      <c r="B554" s="22"/>
      <c r="C554" s="22"/>
    </row>
    <row r="555" ht="14.25" customHeight="1">
      <c r="A555" s="21"/>
      <c r="B555" s="22"/>
      <c r="C555" s="22"/>
    </row>
    <row r="556" ht="14.25" customHeight="1">
      <c r="A556" s="21"/>
      <c r="B556" s="22"/>
      <c r="C556" s="22"/>
    </row>
    <row r="557" ht="14.25" customHeight="1">
      <c r="A557" s="21"/>
      <c r="B557" s="22"/>
      <c r="C557" s="22"/>
    </row>
    <row r="558" ht="14.25" customHeight="1">
      <c r="A558" s="21"/>
      <c r="B558" s="22"/>
      <c r="C558" s="22"/>
    </row>
    <row r="559" ht="14.25" customHeight="1">
      <c r="A559" s="21"/>
      <c r="B559" s="22"/>
      <c r="C559" s="22"/>
    </row>
    <row r="560" ht="14.25" customHeight="1">
      <c r="A560" s="21"/>
      <c r="B560" s="22"/>
      <c r="C560" s="22"/>
    </row>
    <row r="561" ht="14.25" customHeight="1">
      <c r="A561" s="21"/>
      <c r="B561" s="22"/>
      <c r="C561" s="22"/>
    </row>
    <row r="562" ht="14.25" customHeight="1">
      <c r="A562" s="21"/>
      <c r="B562" s="22"/>
      <c r="C562" s="22"/>
    </row>
    <row r="563" ht="14.25" customHeight="1">
      <c r="A563" s="21"/>
      <c r="B563" s="22"/>
      <c r="C563" s="22"/>
    </row>
    <row r="564" ht="14.25" customHeight="1">
      <c r="A564" s="21"/>
      <c r="B564" s="22"/>
      <c r="C564" s="22"/>
    </row>
    <row r="565" ht="14.25" customHeight="1">
      <c r="A565" s="21"/>
      <c r="B565" s="22"/>
      <c r="C565" s="22"/>
    </row>
    <row r="566" ht="14.25" customHeight="1">
      <c r="A566" s="21"/>
      <c r="B566" s="22"/>
      <c r="C566" s="22"/>
    </row>
    <row r="567" ht="14.25" customHeight="1">
      <c r="A567" s="21"/>
      <c r="B567" s="22"/>
      <c r="C567" s="22"/>
    </row>
    <row r="568" ht="14.25" customHeight="1">
      <c r="A568" s="21"/>
      <c r="B568" s="22"/>
      <c r="C568" s="22"/>
    </row>
    <row r="569" ht="14.25" customHeight="1">
      <c r="A569" s="21"/>
      <c r="B569" s="22"/>
      <c r="C569" s="22"/>
    </row>
    <row r="570" ht="14.25" customHeight="1">
      <c r="A570" s="21"/>
      <c r="B570" s="22"/>
      <c r="C570" s="22"/>
    </row>
    <row r="571" ht="14.25" customHeight="1">
      <c r="A571" s="21"/>
      <c r="B571" s="22"/>
      <c r="C571" s="22"/>
    </row>
    <row r="572" ht="14.25" customHeight="1">
      <c r="A572" s="21"/>
      <c r="B572" s="22"/>
      <c r="C572" s="22"/>
    </row>
    <row r="573" ht="14.25" customHeight="1">
      <c r="A573" s="21"/>
      <c r="B573" s="22"/>
      <c r="C573" s="22"/>
    </row>
    <row r="574" ht="14.25" customHeight="1">
      <c r="A574" s="21"/>
      <c r="B574" s="22"/>
      <c r="C574" s="22"/>
    </row>
    <row r="575" ht="14.25" customHeight="1">
      <c r="A575" s="21"/>
      <c r="B575" s="22"/>
      <c r="C575" s="22"/>
    </row>
    <row r="576" ht="14.25" customHeight="1">
      <c r="A576" s="21"/>
      <c r="B576" s="22"/>
      <c r="C576" s="22"/>
    </row>
    <row r="577" ht="14.25" customHeight="1">
      <c r="A577" s="21"/>
      <c r="B577" s="22"/>
      <c r="C577" s="22"/>
    </row>
    <row r="578" ht="14.25" customHeight="1">
      <c r="A578" s="21"/>
      <c r="B578" s="22"/>
      <c r="C578" s="22"/>
    </row>
    <row r="579" ht="14.25" customHeight="1">
      <c r="A579" s="21"/>
      <c r="B579" s="22"/>
      <c r="C579" s="22"/>
    </row>
    <row r="580" ht="14.25" customHeight="1">
      <c r="A580" s="21"/>
      <c r="B580" s="22"/>
      <c r="C580" s="22"/>
    </row>
    <row r="581" ht="14.25" customHeight="1">
      <c r="A581" s="21"/>
      <c r="B581" s="22"/>
      <c r="C581" s="22"/>
    </row>
    <row r="582" ht="14.25" customHeight="1">
      <c r="A582" s="21"/>
      <c r="B582" s="22"/>
      <c r="C582" s="22"/>
    </row>
    <row r="583" ht="14.25" customHeight="1">
      <c r="A583" s="21"/>
      <c r="B583" s="22"/>
      <c r="C583" s="22"/>
    </row>
    <row r="584" ht="14.25" customHeight="1">
      <c r="A584" s="21"/>
      <c r="B584" s="22"/>
      <c r="C584" s="22"/>
    </row>
    <row r="585" ht="14.25" customHeight="1">
      <c r="A585" s="21"/>
      <c r="B585" s="22"/>
      <c r="C585" s="22"/>
    </row>
    <row r="586" ht="14.25" customHeight="1">
      <c r="A586" s="21"/>
      <c r="B586" s="22"/>
      <c r="C586" s="22"/>
    </row>
    <row r="587" ht="14.25" customHeight="1">
      <c r="A587" s="21"/>
      <c r="B587" s="22"/>
      <c r="C587" s="22"/>
    </row>
    <row r="588" ht="14.25" customHeight="1">
      <c r="A588" s="21"/>
      <c r="B588" s="22"/>
      <c r="C588" s="22"/>
    </row>
    <row r="589" ht="14.25" customHeight="1">
      <c r="A589" s="21"/>
      <c r="B589" s="22"/>
      <c r="C589" s="22"/>
    </row>
    <row r="590" ht="14.25" customHeight="1">
      <c r="A590" s="21"/>
      <c r="B590" s="22"/>
      <c r="C590" s="22"/>
    </row>
    <row r="591" ht="14.25" customHeight="1">
      <c r="A591" s="21"/>
      <c r="B591" s="22"/>
      <c r="C591" s="22"/>
    </row>
    <row r="592" ht="14.25" customHeight="1">
      <c r="A592" s="21"/>
      <c r="B592" s="22"/>
      <c r="C592" s="22"/>
    </row>
    <row r="593" ht="14.25" customHeight="1">
      <c r="A593" s="21"/>
      <c r="B593" s="22"/>
      <c r="C593" s="22"/>
    </row>
    <row r="594" ht="14.25" customHeight="1">
      <c r="A594" s="21"/>
      <c r="B594" s="22"/>
      <c r="C594" s="22"/>
    </row>
    <row r="595" ht="14.25" customHeight="1">
      <c r="A595" s="21"/>
      <c r="B595" s="22"/>
      <c r="C595" s="22"/>
    </row>
    <row r="596" ht="14.25" customHeight="1">
      <c r="A596" s="21"/>
      <c r="B596" s="22"/>
      <c r="C596" s="22"/>
    </row>
    <row r="597" ht="14.25" customHeight="1">
      <c r="A597" s="21"/>
      <c r="B597" s="22"/>
      <c r="C597" s="22"/>
    </row>
    <row r="598" ht="14.25" customHeight="1">
      <c r="A598" s="21"/>
      <c r="B598" s="22"/>
      <c r="C598" s="22"/>
    </row>
    <row r="599" ht="14.25" customHeight="1">
      <c r="A599" s="21"/>
      <c r="B599" s="22"/>
      <c r="C599" s="22"/>
    </row>
    <row r="600" ht="14.25" customHeight="1">
      <c r="A600" s="21"/>
      <c r="B600" s="22"/>
      <c r="C600" s="22"/>
    </row>
    <row r="601" ht="14.25" customHeight="1">
      <c r="A601" s="21"/>
      <c r="B601" s="22"/>
      <c r="C601" s="22"/>
    </row>
    <row r="602" ht="14.25" customHeight="1">
      <c r="A602" s="21"/>
      <c r="B602" s="22"/>
      <c r="C602" s="22"/>
    </row>
    <row r="603" ht="14.25" customHeight="1">
      <c r="A603" s="21"/>
      <c r="B603" s="22"/>
      <c r="C603" s="22"/>
    </row>
    <row r="604" ht="14.25" customHeight="1">
      <c r="A604" s="21"/>
      <c r="B604" s="22"/>
      <c r="C604" s="22"/>
    </row>
    <row r="605" ht="14.25" customHeight="1">
      <c r="A605" s="21"/>
      <c r="B605" s="22"/>
      <c r="C605" s="22"/>
    </row>
    <row r="606" ht="14.25" customHeight="1">
      <c r="A606" s="21"/>
      <c r="B606" s="22"/>
      <c r="C606" s="22"/>
    </row>
    <row r="607" ht="14.25" customHeight="1">
      <c r="A607" s="21"/>
      <c r="B607" s="22"/>
      <c r="C607" s="22"/>
    </row>
    <row r="608" ht="14.25" customHeight="1">
      <c r="A608" s="21"/>
      <c r="B608" s="22"/>
      <c r="C608" s="22"/>
    </row>
    <row r="609" ht="14.25" customHeight="1">
      <c r="A609" s="21"/>
      <c r="B609" s="22"/>
      <c r="C609" s="22"/>
    </row>
    <row r="610" ht="14.25" customHeight="1">
      <c r="A610" s="21"/>
      <c r="B610" s="22"/>
      <c r="C610" s="22"/>
    </row>
    <row r="611" ht="14.25" customHeight="1">
      <c r="A611" s="21"/>
      <c r="B611" s="22"/>
      <c r="C611" s="22"/>
    </row>
    <row r="612" ht="14.25" customHeight="1">
      <c r="A612" s="21"/>
      <c r="B612" s="22"/>
      <c r="C612" s="22"/>
    </row>
    <row r="613" ht="14.25" customHeight="1">
      <c r="A613" s="21"/>
      <c r="B613" s="22"/>
      <c r="C613" s="22"/>
    </row>
    <row r="614" ht="14.25" customHeight="1">
      <c r="A614" s="21"/>
      <c r="B614" s="22"/>
      <c r="C614" s="22"/>
    </row>
    <row r="615" ht="14.25" customHeight="1">
      <c r="A615" s="21"/>
      <c r="B615" s="22"/>
      <c r="C615" s="22"/>
    </row>
    <row r="616" ht="14.25" customHeight="1">
      <c r="A616" s="21"/>
      <c r="B616" s="22"/>
      <c r="C616" s="22"/>
    </row>
    <row r="617" ht="14.25" customHeight="1">
      <c r="A617" s="21"/>
      <c r="B617" s="22"/>
      <c r="C617" s="22"/>
    </row>
    <row r="618" ht="14.25" customHeight="1">
      <c r="A618" s="21"/>
      <c r="B618" s="22"/>
      <c r="C618" s="22"/>
    </row>
    <row r="619" ht="14.25" customHeight="1">
      <c r="A619" s="21"/>
      <c r="B619" s="22"/>
      <c r="C619" s="22"/>
    </row>
    <row r="620" ht="14.25" customHeight="1">
      <c r="A620" s="21"/>
      <c r="B620" s="22"/>
      <c r="C620" s="22"/>
    </row>
    <row r="621" ht="14.25" customHeight="1">
      <c r="A621" s="21"/>
      <c r="B621" s="22"/>
      <c r="C621" s="22"/>
    </row>
    <row r="622" ht="14.25" customHeight="1">
      <c r="A622" s="21"/>
      <c r="B622" s="22"/>
      <c r="C622" s="22"/>
    </row>
    <row r="623" ht="14.25" customHeight="1">
      <c r="A623" s="21"/>
      <c r="B623" s="22"/>
      <c r="C623" s="22"/>
    </row>
    <row r="624" ht="14.25" customHeight="1">
      <c r="A624" s="21"/>
      <c r="B624" s="22"/>
      <c r="C624" s="22"/>
    </row>
    <row r="625" ht="14.25" customHeight="1">
      <c r="A625" s="21"/>
      <c r="B625" s="22"/>
      <c r="C625" s="22"/>
    </row>
    <row r="626" ht="14.25" customHeight="1">
      <c r="A626" s="21"/>
      <c r="B626" s="22"/>
      <c r="C626" s="22"/>
    </row>
    <row r="627" ht="14.25" customHeight="1">
      <c r="A627" s="21"/>
      <c r="B627" s="22"/>
      <c r="C627" s="22"/>
    </row>
    <row r="628" ht="14.25" customHeight="1">
      <c r="A628" s="21"/>
      <c r="B628" s="22"/>
      <c r="C628" s="22"/>
    </row>
    <row r="629" ht="14.25" customHeight="1">
      <c r="A629" s="21"/>
      <c r="B629" s="22"/>
      <c r="C629" s="22"/>
    </row>
    <row r="630" ht="14.25" customHeight="1">
      <c r="A630" s="21"/>
      <c r="B630" s="22"/>
      <c r="C630" s="22"/>
    </row>
    <row r="631" ht="14.25" customHeight="1">
      <c r="A631" s="21"/>
      <c r="B631" s="22"/>
      <c r="C631" s="22"/>
    </row>
    <row r="632" ht="14.25" customHeight="1">
      <c r="A632" s="21"/>
      <c r="B632" s="22"/>
      <c r="C632" s="22"/>
    </row>
    <row r="633" ht="14.25" customHeight="1">
      <c r="A633" s="21"/>
      <c r="B633" s="22"/>
      <c r="C633" s="22"/>
    </row>
    <row r="634" ht="14.25" customHeight="1">
      <c r="A634" s="21"/>
      <c r="B634" s="22"/>
      <c r="C634" s="22"/>
    </row>
    <row r="635" ht="14.25" customHeight="1">
      <c r="A635" s="21"/>
      <c r="B635" s="22"/>
      <c r="C635" s="22"/>
    </row>
    <row r="636" ht="14.25" customHeight="1">
      <c r="A636" s="21"/>
      <c r="B636" s="22"/>
      <c r="C636" s="22"/>
    </row>
    <row r="637" ht="14.25" customHeight="1">
      <c r="A637" s="21"/>
      <c r="B637" s="22"/>
      <c r="C637" s="22"/>
    </row>
    <row r="638" ht="14.25" customHeight="1">
      <c r="A638" s="21"/>
      <c r="B638" s="22"/>
      <c r="C638" s="22"/>
    </row>
    <row r="639" ht="14.25" customHeight="1">
      <c r="A639" s="21"/>
      <c r="B639" s="22"/>
      <c r="C639" s="22"/>
    </row>
    <row r="640" ht="14.25" customHeight="1">
      <c r="A640" s="21"/>
      <c r="B640" s="22"/>
      <c r="C640" s="22"/>
    </row>
    <row r="641" ht="14.25" customHeight="1">
      <c r="A641" s="21"/>
      <c r="B641" s="22"/>
      <c r="C641" s="22"/>
    </row>
    <row r="642" ht="14.25" customHeight="1">
      <c r="A642" s="21"/>
      <c r="B642" s="22"/>
      <c r="C642" s="22"/>
    </row>
    <row r="643" ht="14.25" customHeight="1">
      <c r="A643" s="21"/>
      <c r="B643" s="22"/>
      <c r="C643" s="22"/>
    </row>
    <row r="644" ht="14.25" customHeight="1">
      <c r="A644" s="21"/>
      <c r="B644" s="22"/>
      <c r="C644" s="22"/>
    </row>
    <row r="645" ht="14.25" customHeight="1">
      <c r="A645" s="21"/>
      <c r="B645" s="22"/>
      <c r="C645" s="22"/>
    </row>
    <row r="646" ht="14.25" customHeight="1">
      <c r="A646" s="21"/>
      <c r="B646" s="22"/>
      <c r="C646" s="22"/>
    </row>
    <row r="647" ht="14.25" customHeight="1">
      <c r="A647" s="21"/>
      <c r="B647" s="22"/>
      <c r="C647" s="22"/>
    </row>
    <row r="648" ht="14.25" customHeight="1">
      <c r="A648" s="21"/>
      <c r="B648" s="22"/>
      <c r="C648" s="22"/>
    </row>
    <row r="649" ht="14.25" customHeight="1">
      <c r="A649" s="21"/>
      <c r="B649" s="22"/>
      <c r="C649" s="22"/>
    </row>
    <row r="650" ht="14.25" customHeight="1">
      <c r="A650" s="21"/>
      <c r="B650" s="22"/>
      <c r="C650" s="22"/>
    </row>
    <row r="651" ht="14.25" customHeight="1">
      <c r="A651" s="21"/>
      <c r="B651" s="22"/>
      <c r="C651" s="22"/>
    </row>
    <row r="652" ht="14.25" customHeight="1">
      <c r="A652" s="21"/>
      <c r="B652" s="22"/>
      <c r="C652" s="22"/>
    </row>
    <row r="653" ht="14.25" customHeight="1">
      <c r="A653" s="21"/>
      <c r="B653" s="22"/>
      <c r="C653" s="22"/>
    </row>
    <row r="654" ht="14.25" customHeight="1">
      <c r="A654" s="21"/>
      <c r="B654" s="22"/>
      <c r="C654" s="22"/>
    </row>
    <row r="655" ht="14.25" customHeight="1">
      <c r="A655" s="21"/>
      <c r="B655" s="22"/>
      <c r="C655" s="22"/>
    </row>
    <row r="656" ht="14.25" customHeight="1">
      <c r="A656" s="21"/>
      <c r="B656" s="22"/>
      <c r="C656" s="22"/>
    </row>
    <row r="657" ht="14.25" customHeight="1">
      <c r="A657" s="21"/>
      <c r="B657" s="22"/>
      <c r="C657" s="22"/>
    </row>
    <row r="658" ht="14.25" customHeight="1">
      <c r="A658" s="21"/>
      <c r="B658" s="22"/>
      <c r="C658" s="22"/>
    </row>
    <row r="659" ht="14.25" customHeight="1">
      <c r="A659" s="21"/>
      <c r="B659" s="22"/>
      <c r="C659" s="22"/>
    </row>
    <row r="660" ht="14.25" customHeight="1">
      <c r="A660" s="21"/>
      <c r="B660" s="22"/>
      <c r="C660" s="22"/>
    </row>
    <row r="661" ht="14.25" customHeight="1">
      <c r="A661" s="21"/>
      <c r="B661" s="22"/>
      <c r="C661" s="22"/>
    </row>
    <row r="662" ht="14.25" customHeight="1">
      <c r="A662" s="21"/>
      <c r="B662" s="22"/>
      <c r="C662" s="22"/>
    </row>
    <row r="663" ht="14.25" customHeight="1">
      <c r="A663" s="21"/>
      <c r="B663" s="22"/>
      <c r="C663" s="22"/>
    </row>
    <row r="664" ht="14.25" customHeight="1">
      <c r="A664" s="21"/>
      <c r="B664" s="22"/>
      <c r="C664" s="22"/>
    </row>
    <row r="665" ht="14.25" customHeight="1">
      <c r="A665" s="21"/>
      <c r="B665" s="22"/>
      <c r="C665" s="22"/>
    </row>
    <row r="666" ht="14.25" customHeight="1">
      <c r="A666" s="21"/>
      <c r="B666" s="22"/>
      <c r="C666" s="22"/>
    </row>
    <row r="667" ht="14.25" customHeight="1">
      <c r="A667" s="21"/>
      <c r="B667" s="22"/>
      <c r="C667" s="22"/>
    </row>
    <row r="668" ht="14.25" customHeight="1">
      <c r="A668" s="21"/>
      <c r="B668" s="22"/>
      <c r="C668" s="22"/>
    </row>
    <row r="669" ht="14.25" customHeight="1">
      <c r="A669" s="21"/>
      <c r="B669" s="22"/>
      <c r="C669" s="22"/>
    </row>
    <row r="670" ht="14.25" customHeight="1">
      <c r="A670" s="21"/>
      <c r="B670" s="22"/>
      <c r="C670" s="22"/>
    </row>
    <row r="671" ht="14.25" customHeight="1">
      <c r="A671" s="21"/>
      <c r="B671" s="22"/>
      <c r="C671" s="22"/>
    </row>
    <row r="672" ht="14.25" customHeight="1">
      <c r="A672" s="21"/>
      <c r="B672" s="22"/>
      <c r="C672" s="22"/>
    </row>
    <row r="673" ht="14.25" customHeight="1">
      <c r="A673" s="21"/>
      <c r="B673" s="22"/>
      <c r="C673" s="22"/>
    </row>
    <row r="674" ht="14.25" customHeight="1">
      <c r="A674" s="21"/>
      <c r="B674" s="22"/>
      <c r="C674" s="22"/>
    </row>
    <row r="675" ht="14.25" customHeight="1">
      <c r="A675" s="21"/>
      <c r="B675" s="22"/>
      <c r="C675" s="22"/>
    </row>
    <row r="676" ht="14.25" customHeight="1">
      <c r="A676" s="21"/>
      <c r="B676" s="22"/>
      <c r="C676" s="22"/>
    </row>
    <row r="677" ht="14.25" customHeight="1">
      <c r="A677" s="21"/>
      <c r="B677" s="22"/>
      <c r="C677" s="22"/>
    </row>
    <row r="678" ht="14.25" customHeight="1">
      <c r="A678" s="21"/>
      <c r="B678" s="22"/>
      <c r="C678" s="22"/>
    </row>
    <row r="679" ht="14.25" customHeight="1">
      <c r="A679" s="21"/>
      <c r="B679" s="22"/>
      <c r="C679" s="22"/>
    </row>
    <row r="680" ht="14.25" customHeight="1">
      <c r="A680" s="21"/>
      <c r="B680" s="22"/>
      <c r="C680" s="22"/>
    </row>
    <row r="681" ht="14.25" customHeight="1">
      <c r="A681" s="21"/>
      <c r="B681" s="22"/>
      <c r="C681" s="22"/>
    </row>
    <row r="682" ht="14.25" customHeight="1">
      <c r="A682" s="21"/>
      <c r="B682" s="22"/>
      <c r="C682" s="22"/>
    </row>
    <row r="683" ht="14.25" customHeight="1">
      <c r="A683" s="21"/>
      <c r="B683" s="22"/>
      <c r="C683" s="22"/>
    </row>
    <row r="684" ht="14.25" customHeight="1">
      <c r="A684" s="21"/>
      <c r="B684" s="22"/>
      <c r="C684" s="22"/>
    </row>
    <row r="685" ht="14.25" customHeight="1">
      <c r="A685" s="21"/>
      <c r="B685" s="22"/>
      <c r="C685" s="22"/>
    </row>
    <row r="686" ht="14.25" customHeight="1">
      <c r="A686" s="21"/>
      <c r="B686" s="22"/>
      <c r="C686" s="22"/>
    </row>
    <row r="687" ht="14.25" customHeight="1">
      <c r="A687" s="21"/>
      <c r="B687" s="22"/>
      <c r="C687" s="22"/>
    </row>
    <row r="688" ht="14.25" customHeight="1">
      <c r="A688" s="21"/>
      <c r="B688" s="22"/>
      <c r="C688" s="22"/>
    </row>
    <row r="689" ht="14.25" customHeight="1">
      <c r="A689" s="21"/>
      <c r="B689" s="22"/>
      <c r="C689" s="22"/>
    </row>
    <row r="690" ht="14.25" customHeight="1">
      <c r="A690" s="21"/>
      <c r="B690" s="22"/>
      <c r="C690" s="22"/>
    </row>
    <row r="691" ht="14.25" customHeight="1">
      <c r="A691" s="21"/>
      <c r="B691" s="22"/>
      <c r="C691" s="22"/>
    </row>
    <row r="692" ht="14.25" customHeight="1">
      <c r="A692" s="21"/>
      <c r="B692" s="22"/>
      <c r="C692" s="22"/>
    </row>
    <row r="693" ht="14.25" customHeight="1">
      <c r="A693" s="21"/>
      <c r="B693" s="22"/>
      <c r="C693" s="22"/>
    </row>
    <row r="694" ht="14.25" customHeight="1">
      <c r="A694" s="21"/>
      <c r="B694" s="22"/>
      <c r="C694" s="22"/>
    </row>
    <row r="695" ht="14.25" customHeight="1">
      <c r="A695" s="21"/>
      <c r="B695" s="22"/>
      <c r="C695" s="22"/>
    </row>
    <row r="696" ht="14.25" customHeight="1">
      <c r="A696" s="21"/>
      <c r="B696" s="22"/>
      <c r="C696" s="22"/>
    </row>
    <row r="697" ht="14.25" customHeight="1">
      <c r="A697" s="21"/>
      <c r="B697" s="22"/>
      <c r="C697" s="22"/>
    </row>
    <row r="698" ht="14.25" customHeight="1">
      <c r="A698" s="21"/>
      <c r="B698" s="22"/>
      <c r="C698" s="22"/>
    </row>
    <row r="699" ht="14.25" customHeight="1">
      <c r="A699" s="21"/>
      <c r="B699" s="22"/>
      <c r="C699" s="22"/>
    </row>
    <row r="700" ht="14.25" customHeight="1">
      <c r="A700" s="21"/>
      <c r="B700" s="22"/>
      <c r="C700" s="22"/>
    </row>
    <row r="701" ht="14.25" customHeight="1">
      <c r="A701" s="21"/>
      <c r="B701" s="22"/>
      <c r="C701" s="22"/>
    </row>
    <row r="702" ht="14.25" customHeight="1">
      <c r="A702" s="21"/>
      <c r="B702" s="22"/>
      <c r="C702" s="22"/>
    </row>
    <row r="703" ht="14.25" customHeight="1">
      <c r="A703" s="21"/>
      <c r="B703" s="22"/>
      <c r="C703" s="22"/>
    </row>
    <row r="704" ht="14.25" customHeight="1">
      <c r="A704" s="21"/>
      <c r="B704" s="22"/>
      <c r="C704" s="22"/>
    </row>
    <row r="705" ht="14.25" customHeight="1">
      <c r="A705" s="21"/>
      <c r="B705" s="22"/>
      <c r="C705" s="22"/>
    </row>
    <row r="706" ht="14.25" customHeight="1">
      <c r="A706" s="21"/>
      <c r="B706" s="22"/>
      <c r="C706" s="22"/>
    </row>
    <row r="707" ht="14.25" customHeight="1">
      <c r="A707" s="21"/>
      <c r="B707" s="22"/>
      <c r="C707" s="22"/>
    </row>
    <row r="708" ht="14.25" customHeight="1">
      <c r="A708" s="21"/>
      <c r="B708" s="22"/>
      <c r="C708" s="22"/>
    </row>
    <row r="709" ht="14.25" customHeight="1">
      <c r="A709" s="21"/>
      <c r="B709" s="22"/>
      <c r="C709" s="22"/>
    </row>
    <row r="710" ht="14.25" customHeight="1">
      <c r="A710" s="21"/>
      <c r="B710" s="22"/>
      <c r="C710" s="22"/>
    </row>
    <row r="711" ht="14.25" customHeight="1">
      <c r="A711" s="21"/>
      <c r="B711" s="22"/>
      <c r="C711" s="22"/>
    </row>
    <row r="712" ht="14.25" customHeight="1">
      <c r="A712" s="21"/>
      <c r="B712" s="22"/>
      <c r="C712" s="22"/>
    </row>
    <row r="713" ht="14.25" customHeight="1">
      <c r="A713" s="21"/>
      <c r="B713" s="22"/>
      <c r="C713" s="22"/>
    </row>
    <row r="714" ht="14.25" customHeight="1">
      <c r="A714" s="21"/>
      <c r="B714" s="22"/>
      <c r="C714" s="22"/>
    </row>
    <row r="715" ht="14.25" customHeight="1">
      <c r="A715" s="21"/>
      <c r="B715" s="22"/>
      <c r="C715" s="22"/>
    </row>
    <row r="716" ht="14.25" customHeight="1">
      <c r="A716" s="21"/>
      <c r="B716" s="22"/>
      <c r="C716" s="22"/>
    </row>
    <row r="717" ht="14.25" customHeight="1">
      <c r="A717" s="21"/>
      <c r="B717" s="22"/>
      <c r="C717" s="22"/>
    </row>
    <row r="718" ht="14.25" customHeight="1">
      <c r="A718" s="21"/>
      <c r="B718" s="22"/>
      <c r="C718" s="22"/>
    </row>
    <row r="719" ht="14.25" customHeight="1">
      <c r="A719" s="21"/>
      <c r="B719" s="22"/>
      <c r="C719" s="22"/>
    </row>
    <row r="720" ht="14.25" customHeight="1">
      <c r="A720" s="21"/>
      <c r="B720" s="22"/>
      <c r="C720" s="22"/>
    </row>
    <row r="721" ht="14.25" customHeight="1">
      <c r="A721" s="21"/>
      <c r="B721" s="22"/>
      <c r="C721" s="22"/>
    </row>
    <row r="722" ht="14.25" customHeight="1">
      <c r="A722" s="21"/>
      <c r="B722" s="22"/>
      <c r="C722" s="22"/>
    </row>
    <row r="723" ht="14.25" customHeight="1">
      <c r="A723" s="21"/>
      <c r="B723" s="22"/>
      <c r="C723" s="22"/>
    </row>
    <row r="724" ht="14.25" customHeight="1">
      <c r="A724" s="21"/>
      <c r="B724" s="22"/>
      <c r="C724" s="22"/>
    </row>
    <row r="725" ht="14.25" customHeight="1">
      <c r="A725" s="21"/>
      <c r="B725" s="22"/>
      <c r="C725" s="22"/>
    </row>
    <row r="726" ht="14.25" customHeight="1">
      <c r="A726" s="21"/>
      <c r="B726" s="22"/>
      <c r="C726" s="22"/>
    </row>
    <row r="727" ht="14.25" customHeight="1">
      <c r="A727" s="21"/>
      <c r="B727" s="22"/>
      <c r="C727" s="22"/>
    </row>
    <row r="728" ht="14.25" customHeight="1">
      <c r="A728" s="21"/>
      <c r="B728" s="22"/>
      <c r="C728" s="22"/>
    </row>
    <row r="729" ht="14.25" customHeight="1">
      <c r="A729" s="21"/>
      <c r="B729" s="22"/>
      <c r="C729" s="22"/>
    </row>
    <row r="730" ht="14.25" customHeight="1">
      <c r="A730" s="21"/>
      <c r="B730" s="22"/>
      <c r="C730" s="22"/>
    </row>
    <row r="731" ht="14.25" customHeight="1">
      <c r="A731" s="21"/>
      <c r="B731" s="22"/>
      <c r="C731" s="22"/>
    </row>
    <row r="732" ht="14.25" customHeight="1">
      <c r="A732" s="21"/>
      <c r="B732" s="22"/>
      <c r="C732" s="22"/>
    </row>
    <row r="733" ht="14.25" customHeight="1">
      <c r="A733" s="21"/>
      <c r="B733" s="22"/>
      <c r="C733" s="22"/>
    </row>
    <row r="734" ht="14.25" customHeight="1">
      <c r="A734" s="21"/>
      <c r="B734" s="22"/>
      <c r="C734" s="22"/>
    </row>
    <row r="735" ht="14.25" customHeight="1">
      <c r="A735" s="21"/>
      <c r="B735" s="22"/>
      <c r="C735" s="22"/>
    </row>
    <row r="736" ht="14.25" customHeight="1">
      <c r="A736" s="21"/>
      <c r="B736" s="22"/>
      <c r="C736" s="22"/>
    </row>
    <row r="737" ht="14.25" customHeight="1">
      <c r="A737" s="21"/>
      <c r="B737" s="22"/>
      <c r="C737" s="22"/>
    </row>
    <row r="738" ht="14.25" customHeight="1">
      <c r="A738" s="21"/>
      <c r="B738" s="22"/>
      <c r="C738" s="22"/>
    </row>
    <row r="739" ht="14.25" customHeight="1">
      <c r="A739" s="21"/>
      <c r="B739" s="22"/>
      <c r="C739" s="22"/>
    </row>
    <row r="740" ht="14.25" customHeight="1">
      <c r="A740" s="21"/>
      <c r="B740" s="22"/>
      <c r="C740" s="22"/>
    </row>
    <row r="741" ht="14.25" customHeight="1">
      <c r="A741" s="21"/>
      <c r="B741" s="22"/>
      <c r="C741" s="22"/>
    </row>
    <row r="742" ht="14.25" customHeight="1">
      <c r="A742" s="21"/>
      <c r="B742" s="22"/>
      <c r="C742" s="22"/>
    </row>
    <row r="743" ht="14.25" customHeight="1">
      <c r="A743" s="21"/>
      <c r="B743" s="22"/>
      <c r="C743" s="22"/>
    </row>
    <row r="744" ht="14.25" customHeight="1">
      <c r="A744" s="21"/>
      <c r="B744" s="22"/>
      <c r="C744" s="22"/>
    </row>
    <row r="745" ht="14.25" customHeight="1">
      <c r="A745" s="21"/>
      <c r="B745" s="22"/>
      <c r="C745" s="22"/>
    </row>
    <row r="746" ht="14.25" customHeight="1">
      <c r="A746" s="21"/>
      <c r="B746" s="22"/>
      <c r="C746" s="22"/>
    </row>
    <row r="747" ht="14.25" customHeight="1">
      <c r="A747" s="21"/>
      <c r="B747" s="22"/>
      <c r="C747" s="22"/>
    </row>
    <row r="748" ht="14.25" customHeight="1">
      <c r="A748" s="21"/>
      <c r="B748" s="22"/>
      <c r="C748" s="22"/>
    </row>
    <row r="749" ht="14.25" customHeight="1">
      <c r="A749" s="21"/>
      <c r="B749" s="22"/>
      <c r="C749" s="22"/>
    </row>
    <row r="750" ht="14.25" customHeight="1">
      <c r="A750" s="21"/>
      <c r="B750" s="22"/>
      <c r="C750" s="22"/>
    </row>
    <row r="751" ht="14.25" customHeight="1">
      <c r="A751" s="21"/>
      <c r="B751" s="22"/>
      <c r="C751" s="22"/>
    </row>
    <row r="752" ht="14.25" customHeight="1">
      <c r="A752" s="21"/>
      <c r="B752" s="22"/>
      <c r="C752" s="22"/>
    </row>
    <row r="753" ht="14.25" customHeight="1">
      <c r="A753" s="21"/>
      <c r="B753" s="22"/>
      <c r="C753" s="22"/>
    </row>
    <row r="754" ht="14.25" customHeight="1">
      <c r="A754" s="21"/>
      <c r="B754" s="22"/>
      <c r="C754" s="22"/>
    </row>
    <row r="755" ht="14.25" customHeight="1">
      <c r="A755" s="21"/>
      <c r="B755" s="22"/>
      <c r="C755" s="22"/>
    </row>
    <row r="756" ht="14.25" customHeight="1">
      <c r="A756" s="21"/>
      <c r="B756" s="22"/>
      <c r="C756" s="22"/>
    </row>
    <row r="757" ht="14.25" customHeight="1">
      <c r="A757" s="21"/>
      <c r="B757" s="22"/>
      <c r="C757" s="22"/>
    </row>
    <row r="758" ht="14.25" customHeight="1">
      <c r="A758" s="21"/>
      <c r="B758" s="22"/>
      <c r="C758" s="22"/>
    </row>
    <row r="759" ht="14.25" customHeight="1">
      <c r="A759" s="21"/>
      <c r="B759" s="22"/>
      <c r="C759" s="22"/>
    </row>
    <row r="760" ht="14.25" customHeight="1">
      <c r="A760" s="21"/>
      <c r="B760" s="22"/>
      <c r="C760" s="22"/>
    </row>
    <row r="761" ht="14.25" customHeight="1">
      <c r="A761" s="21"/>
      <c r="B761" s="22"/>
      <c r="C761" s="22"/>
    </row>
    <row r="762" ht="14.25" customHeight="1">
      <c r="A762" s="21"/>
      <c r="B762" s="22"/>
      <c r="C762" s="22"/>
    </row>
    <row r="763" ht="14.25" customHeight="1">
      <c r="A763" s="21"/>
      <c r="B763" s="22"/>
      <c r="C763" s="22"/>
    </row>
    <row r="764" ht="14.25" customHeight="1">
      <c r="A764" s="21"/>
      <c r="B764" s="22"/>
      <c r="C764" s="22"/>
    </row>
    <row r="765" ht="14.25" customHeight="1">
      <c r="A765" s="21"/>
      <c r="B765" s="22"/>
      <c r="C765" s="22"/>
    </row>
    <row r="766" ht="14.25" customHeight="1">
      <c r="A766" s="21"/>
      <c r="B766" s="22"/>
      <c r="C766" s="22"/>
    </row>
    <row r="767" ht="14.25" customHeight="1">
      <c r="A767" s="21"/>
      <c r="B767" s="22"/>
      <c r="C767" s="22"/>
    </row>
    <row r="768" ht="14.25" customHeight="1">
      <c r="A768" s="21"/>
      <c r="B768" s="22"/>
      <c r="C768" s="22"/>
    </row>
    <row r="769" ht="14.25" customHeight="1">
      <c r="A769" s="21"/>
      <c r="B769" s="22"/>
      <c r="C769" s="22"/>
    </row>
    <row r="770" ht="14.25" customHeight="1">
      <c r="A770" s="21"/>
      <c r="B770" s="22"/>
      <c r="C770" s="22"/>
    </row>
    <row r="771" ht="14.25" customHeight="1">
      <c r="A771" s="21"/>
      <c r="B771" s="22"/>
      <c r="C771" s="22"/>
    </row>
    <row r="772" ht="14.25" customHeight="1">
      <c r="A772" s="21"/>
      <c r="B772" s="22"/>
      <c r="C772" s="22"/>
    </row>
    <row r="773" ht="14.25" customHeight="1">
      <c r="A773" s="21"/>
      <c r="B773" s="22"/>
      <c r="C773" s="22"/>
    </row>
    <row r="774" ht="14.25" customHeight="1">
      <c r="A774" s="21"/>
      <c r="B774" s="22"/>
      <c r="C774" s="22"/>
    </row>
    <row r="775" ht="14.25" customHeight="1">
      <c r="A775" s="21"/>
      <c r="B775" s="22"/>
      <c r="C775" s="22"/>
    </row>
    <row r="776" ht="14.25" customHeight="1">
      <c r="A776" s="21"/>
      <c r="B776" s="22"/>
      <c r="C776" s="22"/>
    </row>
    <row r="777" ht="14.25" customHeight="1">
      <c r="A777" s="21"/>
      <c r="B777" s="22"/>
      <c r="C777" s="22"/>
    </row>
    <row r="778" ht="14.25" customHeight="1">
      <c r="A778" s="21"/>
      <c r="B778" s="22"/>
      <c r="C778" s="22"/>
    </row>
    <row r="779" ht="14.25" customHeight="1">
      <c r="A779" s="21"/>
      <c r="B779" s="22"/>
      <c r="C779" s="22"/>
    </row>
    <row r="780" ht="14.25" customHeight="1">
      <c r="A780" s="21"/>
      <c r="B780" s="22"/>
      <c r="C780" s="22"/>
    </row>
    <row r="781" ht="14.25" customHeight="1">
      <c r="A781" s="21"/>
      <c r="B781" s="22"/>
      <c r="C781" s="22"/>
    </row>
    <row r="782" ht="14.25" customHeight="1">
      <c r="A782" s="21"/>
      <c r="B782" s="22"/>
      <c r="C782" s="22"/>
    </row>
    <row r="783" ht="14.25" customHeight="1">
      <c r="A783" s="21"/>
      <c r="B783" s="22"/>
      <c r="C783" s="22"/>
    </row>
    <row r="784" ht="14.25" customHeight="1">
      <c r="A784" s="21"/>
      <c r="B784" s="22"/>
      <c r="C784" s="22"/>
    </row>
    <row r="785" ht="14.25" customHeight="1">
      <c r="A785" s="21"/>
      <c r="B785" s="22"/>
      <c r="C785" s="22"/>
    </row>
    <row r="786" ht="14.25" customHeight="1">
      <c r="A786" s="21"/>
      <c r="B786" s="22"/>
      <c r="C786" s="22"/>
    </row>
    <row r="787" ht="14.25" customHeight="1">
      <c r="A787" s="21"/>
      <c r="B787" s="22"/>
      <c r="C787" s="22"/>
    </row>
    <row r="788" ht="14.25" customHeight="1">
      <c r="A788" s="21"/>
      <c r="B788" s="22"/>
      <c r="C788" s="22"/>
    </row>
    <row r="789" ht="14.25" customHeight="1">
      <c r="A789" s="21"/>
      <c r="B789" s="22"/>
      <c r="C789" s="22"/>
    </row>
    <row r="790" ht="14.25" customHeight="1">
      <c r="A790" s="21"/>
      <c r="B790" s="22"/>
      <c r="C790" s="22"/>
    </row>
    <row r="791" ht="14.25" customHeight="1">
      <c r="A791" s="21"/>
      <c r="B791" s="22"/>
      <c r="C791" s="22"/>
    </row>
    <row r="792" ht="14.25" customHeight="1">
      <c r="A792" s="21"/>
      <c r="B792" s="22"/>
      <c r="C792" s="22"/>
    </row>
    <row r="793" ht="14.25" customHeight="1">
      <c r="A793" s="21"/>
      <c r="B793" s="22"/>
      <c r="C793" s="22"/>
    </row>
    <row r="794" ht="14.25" customHeight="1">
      <c r="A794" s="21"/>
      <c r="B794" s="22"/>
      <c r="C794" s="22"/>
    </row>
    <row r="795" ht="14.25" customHeight="1">
      <c r="A795" s="21"/>
      <c r="B795" s="22"/>
      <c r="C795" s="22"/>
    </row>
    <row r="796" ht="14.25" customHeight="1">
      <c r="A796" s="21"/>
      <c r="B796" s="22"/>
      <c r="C796" s="22"/>
    </row>
    <row r="797" ht="14.25" customHeight="1">
      <c r="A797" s="21"/>
      <c r="B797" s="22"/>
      <c r="C797" s="22"/>
    </row>
    <row r="798" ht="14.25" customHeight="1">
      <c r="A798" s="21"/>
      <c r="B798" s="22"/>
      <c r="C798" s="22"/>
    </row>
    <row r="799" ht="14.25" customHeight="1">
      <c r="A799" s="21"/>
      <c r="B799" s="22"/>
      <c r="C799" s="22"/>
    </row>
    <row r="800" ht="14.25" customHeight="1">
      <c r="A800" s="21"/>
      <c r="B800" s="22"/>
      <c r="C800" s="22"/>
    </row>
    <row r="801" ht="14.25" customHeight="1">
      <c r="A801" s="21"/>
      <c r="B801" s="22"/>
      <c r="C801" s="22"/>
    </row>
    <row r="802" ht="14.25" customHeight="1">
      <c r="A802" s="21"/>
      <c r="B802" s="22"/>
      <c r="C802" s="22"/>
    </row>
    <row r="803" ht="14.25" customHeight="1">
      <c r="A803" s="21"/>
      <c r="B803" s="22"/>
      <c r="C803" s="22"/>
    </row>
    <row r="804" ht="14.25" customHeight="1">
      <c r="A804" s="21"/>
      <c r="B804" s="22"/>
      <c r="C804" s="22"/>
    </row>
    <row r="805" ht="14.25" customHeight="1">
      <c r="A805" s="21"/>
      <c r="B805" s="22"/>
      <c r="C805" s="22"/>
    </row>
    <row r="806" ht="14.25" customHeight="1">
      <c r="A806" s="21"/>
      <c r="B806" s="22"/>
      <c r="C806" s="22"/>
    </row>
    <row r="807" ht="14.25" customHeight="1">
      <c r="A807" s="21"/>
      <c r="B807" s="22"/>
      <c r="C807" s="22"/>
    </row>
    <row r="808" ht="14.25" customHeight="1">
      <c r="A808" s="21"/>
      <c r="B808" s="22"/>
      <c r="C808" s="22"/>
    </row>
    <row r="809" ht="14.25" customHeight="1">
      <c r="A809" s="21"/>
      <c r="B809" s="22"/>
      <c r="C809" s="22"/>
    </row>
    <row r="810" ht="14.25" customHeight="1">
      <c r="A810" s="21"/>
      <c r="B810" s="22"/>
      <c r="C810" s="22"/>
    </row>
    <row r="811" ht="14.25" customHeight="1">
      <c r="A811" s="21"/>
      <c r="B811" s="22"/>
      <c r="C811" s="22"/>
    </row>
    <row r="812" ht="14.25" customHeight="1">
      <c r="A812" s="21"/>
      <c r="B812" s="22"/>
      <c r="C812" s="22"/>
    </row>
    <row r="813" ht="14.25" customHeight="1">
      <c r="A813" s="21"/>
      <c r="B813" s="22"/>
      <c r="C813" s="22"/>
    </row>
    <row r="814" ht="14.25" customHeight="1">
      <c r="A814" s="21"/>
      <c r="B814" s="22"/>
      <c r="C814" s="22"/>
    </row>
    <row r="815" ht="14.25" customHeight="1">
      <c r="A815" s="21"/>
      <c r="B815" s="22"/>
      <c r="C815" s="22"/>
    </row>
    <row r="816" ht="14.25" customHeight="1">
      <c r="A816" s="21"/>
      <c r="B816" s="22"/>
      <c r="C816" s="22"/>
    </row>
    <row r="817" ht="14.25" customHeight="1">
      <c r="A817" s="21"/>
      <c r="B817" s="22"/>
      <c r="C817" s="22"/>
    </row>
    <row r="818" ht="14.25" customHeight="1">
      <c r="A818" s="21"/>
      <c r="B818" s="22"/>
      <c r="C818" s="22"/>
    </row>
    <row r="819" ht="14.25" customHeight="1">
      <c r="A819" s="21"/>
      <c r="B819" s="22"/>
      <c r="C819" s="22"/>
    </row>
    <row r="820" ht="14.25" customHeight="1">
      <c r="A820" s="21"/>
      <c r="B820" s="22"/>
      <c r="C820" s="22"/>
    </row>
    <row r="821" ht="14.25" customHeight="1">
      <c r="A821" s="21"/>
      <c r="B821" s="22"/>
      <c r="C821" s="22"/>
    </row>
    <row r="822" ht="14.25" customHeight="1">
      <c r="A822" s="21"/>
      <c r="B822" s="22"/>
      <c r="C822" s="22"/>
    </row>
    <row r="823" ht="14.25" customHeight="1">
      <c r="A823" s="21"/>
      <c r="B823" s="22"/>
      <c r="C823" s="22"/>
    </row>
    <row r="824" ht="14.25" customHeight="1">
      <c r="A824" s="21"/>
      <c r="B824" s="22"/>
      <c r="C824" s="22"/>
    </row>
    <row r="825" ht="14.25" customHeight="1">
      <c r="A825" s="21"/>
      <c r="B825" s="22"/>
      <c r="C825" s="22"/>
    </row>
    <row r="826" ht="14.25" customHeight="1">
      <c r="A826" s="21"/>
      <c r="B826" s="22"/>
      <c r="C826" s="22"/>
    </row>
    <row r="827" ht="14.25" customHeight="1">
      <c r="A827" s="21"/>
      <c r="B827" s="22"/>
      <c r="C827" s="22"/>
    </row>
    <row r="828" ht="14.25" customHeight="1">
      <c r="A828" s="21"/>
      <c r="B828" s="22"/>
      <c r="C828" s="22"/>
    </row>
    <row r="829" ht="14.25" customHeight="1">
      <c r="A829" s="21"/>
      <c r="B829" s="22"/>
      <c r="C829" s="22"/>
    </row>
    <row r="830" ht="14.25" customHeight="1">
      <c r="A830" s="21"/>
      <c r="B830" s="22"/>
      <c r="C830" s="22"/>
    </row>
    <row r="831" ht="14.25" customHeight="1">
      <c r="A831" s="21"/>
      <c r="B831" s="22"/>
      <c r="C831" s="22"/>
    </row>
    <row r="832" ht="14.25" customHeight="1">
      <c r="A832" s="21"/>
      <c r="B832" s="22"/>
      <c r="C832" s="22"/>
    </row>
    <row r="833" ht="14.25" customHeight="1">
      <c r="A833" s="21"/>
      <c r="B833" s="22"/>
      <c r="C833" s="22"/>
    </row>
    <row r="834" ht="14.25" customHeight="1">
      <c r="A834" s="21"/>
      <c r="B834" s="22"/>
      <c r="C834" s="22"/>
    </row>
    <row r="835" ht="14.25" customHeight="1">
      <c r="A835" s="21"/>
      <c r="B835" s="22"/>
      <c r="C835" s="22"/>
    </row>
    <row r="836" ht="14.25" customHeight="1">
      <c r="A836" s="21"/>
      <c r="B836" s="22"/>
      <c r="C836" s="22"/>
    </row>
    <row r="837" ht="14.25" customHeight="1">
      <c r="A837" s="21"/>
      <c r="B837" s="22"/>
      <c r="C837" s="22"/>
    </row>
    <row r="838" ht="14.25" customHeight="1">
      <c r="A838" s="21"/>
      <c r="B838" s="22"/>
      <c r="C838" s="22"/>
    </row>
    <row r="839" ht="14.25" customHeight="1">
      <c r="A839" s="21"/>
      <c r="B839" s="22"/>
      <c r="C839" s="22"/>
    </row>
    <row r="840" ht="14.25" customHeight="1">
      <c r="A840" s="21"/>
      <c r="B840" s="22"/>
      <c r="C840" s="22"/>
    </row>
    <row r="841" ht="14.25" customHeight="1">
      <c r="A841" s="21"/>
      <c r="B841" s="22"/>
      <c r="C841" s="22"/>
    </row>
    <row r="842" ht="14.25" customHeight="1">
      <c r="A842" s="21"/>
      <c r="B842" s="22"/>
      <c r="C842" s="22"/>
    </row>
    <row r="843" ht="14.25" customHeight="1">
      <c r="A843" s="21"/>
      <c r="B843" s="22"/>
      <c r="C843" s="22"/>
    </row>
    <row r="844" ht="14.25" customHeight="1">
      <c r="A844" s="21"/>
      <c r="B844" s="22"/>
      <c r="C844" s="22"/>
    </row>
    <row r="845" ht="14.25" customHeight="1">
      <c r="A845" s="21"/>
      <c r="B845" s="22"/>
      <c r="C845" s="22"/>
    </row>
    <row r="846" ht="14.25" customHeight="1">
      <c r="A846" s="21"/>
      <c r="B846" s="22"/>
      <c r="C846" s="22"/>
    </row>
    <row r="847" ht="14.25" customHeight="1">
      <c r="A847" s="21"/>
      <c r="B847" s="22"/>
      <c r="C847" s="22"/>
    </row>
    <row r="848" ht="14.25" customHeight="1">
      <c r="A848" s="21"/>
      <c r="B848" s="22"/>
      <c r="C848" s="22"/>
    </row>
    <row r="849" ht="14.25" customHeight="1">
      <c r="A849" s="21"/>
      <c r="B849" s="22"/>
      <c r="C849" s="22"/>
    </row>
    <row r="850" ht="14.25" customHeight="1">
      <c r="A850" s="21"/>
      <c r="B850" s="22"/>
      <c r="C850" s="22"/>
    </row>
    <row r="851" ht="14.25" customHeight="1">
      <c r="A851" s="21"/>
      <c r="B851" s="22"/>
      <c r="C851" s="22"/>
    </row>
    <row r="852" ht="14.25" customHeight="1">
      <c r="A852" s="21"/>
      <c r="B852" s="22"/>
      <c r="C852" s="22"/>
    </row>
    <row r="853" ht="14.25" customHeight="1">
      <c r="A853" s="21"/>
      <c r="B853" s="22"/>
      <c r="C853" s="22"/>
    </row>
    <row r="854" ht="14.25" customHeight="1">
      <c r="A854" s="21"/>
      <c r="B854" s="22"/>
      <c r="C854" s="22"/>
    </row>
    <row r="855" ht="14.25" customHeight="1">
      <c r="A855" s="21"/>
      <c r="B855" s="22"/>
      <c r="C855" s="22"/>
    </row>
    <row r="856" ht="14.25" customHeight="1">
      <c r="A856" s="21"/>
      <c r="B856" s="22"/>
      <c r="C856" s="22"/>
    </row>
    <row r="857" ht="14.25" customHeight="1">
      <c r="A857" s="21"/>
      <c r="B857" s="22"/>
      <c r="C857" s="22"/>
    </row>
    <row r="858" ht="14.25" customHeight="1">
      <c r="A858" s="21"/>
      <c r="B858" s="22"/>
      <c r="C858" s="22"/>
    </row>
    <row r="859" ht="14.25" customHeight="1">
      <c r="A859" s="21"/>
      <c r="B859" s="22"/>
      <c r="C859" s="22"/>
    </row>
    <row r="860" ht="14.25" customHeight="1">
      <c r="A860" s="21"/>
      <c r="B860" s="22"/>
      <c r="C860" s="22"/>
    </row>
    <row r="861" ht="14.25" customHeight="1">
      <c r="A861" s="21"/>
      <c r="B861" s="22"/>
      <c r="C861" s="22"/>
    </row>
    <row r="862" ht="14.25" customHeight="1">
      <c r="A862" s="21"/>
      <c r="B862" s="22"/>
      <c r="C862" s="22"/>
    </row>
    <row r="863" ht="14.25" customHeight="1">
      <c r="A863" s="21"/>
      <c r="B863" s="22"/>
      <c r="C863" s="22"/>
    </row>
    <row r="864" ht="14.25" customHeight="1">
      <c r="A864" s="21"/>
      <c r="B864" s="22"/>
      <c r="C864" s="22"/>
    </row>
    <row r="865" ht="14.25" customHeight="1">
      <c r="A865" s="21"/>
      <c r="B865" s="22"/>
      <c r="C865" s="22"/>
    </row>
    <row r="866" ht="14.25" customHeight="1">
      <c r="A866" s="21"/>
      <c r="B866" s="22"/>
      <c r="C866" s="22"/>
    </row>
    <row r="867" ht="14.25" customHeight="1">
      <c r="A867" s="21"/>
      <c r="B867" s="22"/>
      <c r="C867" s="22"/>
    </row>
    <row r="868" ht="14.25" customHeight="1">
      <c r="A868" s="21"/>
      <c r="B868" s="22"/>
      <c r="C868" s="22"/>
    </row>
    <row r="869" ht="14.25" customHeight="1">
      <c r="A869" s="21"/>
      <c r="B869" s="22"/>
      <c r="C869" s="22"/>
    </row>
    <row r="870" ht="14.25" customHeight="1">
      <c r="A870" s="21"/>
      <c r="B870" s="22"/>
      <c r="C870" s="22"/>
    </row>
    <row r="871" ht="14.25" customHeight="1">
      <c r="A871" s="21"/>
      <c r="B871" s="22"/>
      <c r="C871" s="22"/>
    </row>
    <row r="872" ht="14.25" customHeight="1">
      <c r="A872" s="21"/>
      <c r="B872" s="22"/>
      <c r="C872" s="22"/>
    </row>
    <row r="873" ht="14.25" customHeight="1">
      <c r="A873" s="21"/>
      <c r="B873" s="22"/>
      <c r="C873" s="22"/>
    </row>
    <row r="874" ht="14.25" customHeight="1">
      <c r="A874" s="21"/>
      <c r="B874" s="22"/>
      <c r="C874" s="22"/>
    </row>
    <row r="875" ht="14.25" customHeight="1">
      <c r="A875" s="21"/>
      <c r="B875" s="22"/>
      <c r="C875" s="22"/>
    </row>
    <row r="876" ht="14.25" customHeight="1">
      <c r="A876" s="21"/>
      <c r="B876" s="22"/>
      <c r="C876" s="22"/>
    </row>
    <row r="877" ht="14.25" customHeight="1">
      <c r="A877" s="21"/>
      <c r="B877" s="22"/>
      <c r="C877" s="22"/>
    </row>
    <row r="878" ht="14.25" customHeight="1">
      <c r="A878" s="21"/>
      <c r="B878" s="22"/>
      <c r="C878" s="22"/>
    </row>
    <row r="879" ht="14.25" customHeight="1">
      <c r="A879" s="21"/>
      <c r="B879" s="22"/>
      <c r="C879" s="22"/>
    </row>
    <row r="880" ht="14.25" customHeight="1">
      <c r="A880" s="21"/>
      <c r="B880" s="22"/>
      <c r="C880" s="22"/>
    </row>
    <row r="881" ht="14.25" customHeight="1">
      <c r="A881" s="21"/>
      <c r="B881" s="22"/>
      <c r="C881" s="22"/>
    </row>
    <row r="882" ht="14.25" customHeight="1">
      <c r="A882" s="21"/>
      <c r="B882" s="22"/>
      <c r="C882" s="22"/>
    </row>
    <row r="883" ht="14.25" customHeight="1">
      <c r="A883" s="21"/>
      <c r="B883" s="22"/>
      <c r="C883" s="22"/>
    </row>
    <row r="884" ht="14.25" customHeight="1">
      <c r="A884" s="21"/>
      <c r="B884" s="22"/>
      <c r="C884" s="22"/>
    </row>
    <row r="885" ht="14.25" customHeight="1">
      <c r="A885" s="21"/>
      <c r="B885" s="22"/>
      <c r="C885" s="22"/>
    </row>
    <row r="886" ht="14.25" customHeight="1">
      <c r="A886" s="21"/>
      <c r="B886" s="22"/>
      <c r="C886" s="22"/>
    </row>
    <row r="887" ht="14.25" customHeight="1">
      <c r="A887" s="21"/>
      <c r="B887" s="22"/>
      <c r="C887" s="22"/>
    </row>
    <row r="888" ht="14.25" customHeight="1">
      <c r="A888" s="21"/>
      <c r="B888" s="22"/>
      <c r="C888" s="22"/>
    </row>
    <row r="889" ht="14.25" customHeight="1">
      <c r="A889" s="21"/>
      <c r="B889" s="22"/>
      <c r="C889" s="22"/>
    </row>
    <row r="890" ht="14.25" customHeight="1">
      <c r="A890" s="21"/>
      <c r="B890" s="22"/>
      <c r="C890" s="22"/>
    </row>
    <row r="891" ht="14.25" customHeight="1">
      <c r="A891" s="21"/>
      <c r="B891" s="22"/>
      <c r="C891" s="22"/>
    </row>
    <row r="892" ht="14.25" customHeight="1">
      <c r="A892" s="21"/>
      <c r="B892" s="22"/>
      <c r="C892" s="22"/>
    </row>
    <row r="893" ht="14.25" customHeight="1">
      <c r="A893" s="21"/>
      <c r="B893" s="22"/>
      <c r="C893" s="22"/>
    </row>
    <row r="894" ht="14.25" customHeight="1">
      <c r="A894" s="21"/>
      <c r="B894" s="22"/>
      <c r="C894" s="22"/>
    </row>
    <row r="895" ht="14.25" customHeight="1">
      <c r="A895" s="21"/>
      <c r="B895" s="22"/>
      <c r="C895" s="22"/>
    </row>
    <row r="896" ht="14.25" customHeight="1">
      <c r="A896" s="21"/>
      <c r="B896" s="22"/>
      <c r="C896" s="22"/>
    </row>
    <row r="897" ht="14.25" customHeight="1">
      <c r="A897" s="21"/>
      <c r="B897" s="22"/>
      <c r="C897" s="22"/>
    </row>
    <row r="898" ht="14.25" customHeight="1">
      <c r="A898" s="21"/>
      <c r="B898" s="22"/>
      <c r="C898" s="22"/>
    </row>
    <row r="899" ht="14.25" customHeight="1">
      <c r="A899" s="21"/>
      <c r="B899" s="22"/>
      <c r="C899" s="22"/>
    </row>
    <row r="900" ht="14.25" customHeight="1">
      <c r="A900" s="21"/>
      <c r="B900" s="22"/>
      <c r="C900" s="22"/>
    </row>
    <row r="901" ht="14.25" customHeight="1">
      <c r="A901" s="21"/>
      <c r="B901" s="22"/>
      <c r="C901" s="22"/>
    </row>
    <row r="902" ht="14.25" customHeight="1">
      <c r="A902" s="21"/>
      <c r="B902" s="22"/>
      <c r="C902" s="22"/>
    </row>
    <row r="903" ht="14.25" customHeight="1">
      <c r="A903" s="21"/>
      <c r="B903" s="22"/>
      <c r="C903" s="22"/>
    </row>
    <row r="904" ht="14.25" customHeight="1">
      <c r="A904" s="21"/>
      <c r="B904" s="22"/>
      <c r="C904" s="22"/>
    </row>
    <row r="905" ht="14.25" customHeight="1">
      <c r="A905" s="21"/>
      <c r="B905" s="22"/>
      <c r="C905" s="22"/>
    </row>
    <row r="906" ht="14.25" customHeight="1">
      <c r="A906" s="21"/>
      <c r="B906" s="22"/>
      <c r="C906" s="22"/>
    </row>
    <row r="907" ht="14.25" customHeight="1">
      <c r="A907" s="21"/>
      <c r="B907" s="22"/>
      <c r="C907" s="22"/>
    </row>
    <row r="908" ht="14.25" customHeight="1">
      <c r="A908" s="21"/>
      <c r="B908" s="22"/>
      <c r="C908" s="22"/>
    </row>
    <row r="909" ht="14.25" customHeight="1">
      <c r="A909" s="21"/>
      <c r="B909" s="22"/>
      <c r="C909" s="22"/>
    </row>
    <row r="910" ht="14.25" customHeight="1">
      <c r="A910" s="21"/>
      <c r="B910" s="22"/>
      <c r="C910" s="22"/>
    </row>
    <row r="911" ht="14.25" customHeight="1">
      <c r="A911" s="21"/>
      <c r="B911" s="22"/>
      <c r="C911" s="22"/>
    </row>
    <row r="912" ht="14.25" customHeight="1">
      <c r="A912" s="21"/>
      <c r="B912" s="22"/>
      <c r="C912" s="22"/>
    </row>
    <row r="913" ht="14.25" customHeight="1">
      <c r="A913" s="21"/>
      <c r="B913" s="22"/>
      <c r="C913" s="22"/>
    </row>
    <row r="914" ht="14.25" customHeight="1">
      <c r="A914" s="21"/>
      <c r="B914" s="22"/>
      <c r="C914" s="22"/>
    </row>
    <row r="915" ht="14.25" customHeight="1">
      <c r="A915" s="21"/>
      <c r="B915" s="22"/>
      <c r="C915" s="22"/>
    </row>
    <row r="916" ht="14.25" customHeight="1">
      <c r="A916" s="21"/>
      <c r="B916" s="22"/>
      <c r="C916" s="22"/>
    </row>
    <row r="917" ht="14.25" customHeight="1">
      <c r="A917" s="21"/>
      <c r="B917" s="22"/>
      <c r="C917" s="22"/>
    </row>
    <row r="918" ht="14.25" customHeight="1">
      <c r="A918" s="21"/>
      <c r="B918" s="22"/>
      <c r="C918" s="22"/>
    </row>
    <row r="919" ht="14.25" customHeight="1">
      <c r="A919" s="21"/>
      <c r="B919" s="22"/>
      <c r="C919" s="22"/>
    </row>
    <row r="920" ht="14.25" customHeight="1">
      <c r="A920" s="21"/>
      <c r="B920" s="22"/>
      <c r="C920" s="22"/>
    </row>
    <row r="921" ht="14.25" customHeight="1">
      <c r="A921" s="21"/>
      <c r="B921" s="22"/>
      <c r="C921" s="22"/>
    </row>
    <row r="922" ht="14.25" customHeight="1">
      <c r="A922" s="21"/>
      <c r="B922" s="22"/>
      <c r="C922" s="22"/>
    </row>
    <row r="923" ht="14.25" customHeight="1">
      <c r="A923" s="21"/>
      <c r="B923" s="22"/>
      <c r="C923" s="22"/>
    </row>
    <row r="924" ht="14.25" customHeight="1">
      <c r="A924" s="21"/>
      <c r="B924" s="22"/>
      <c r="C924" s="22"/>
    </row>
    <row r="925" ht="14.25" customHeight="1">
      <c r="A925" s="21"/>
      <c r="B925" s="22"/>
      <c r="C925" s="22"/>
    </row>
    <row r="926" ht="14.25" customHeight="1">
      <c r="A926" s="21"/>
      <c r="B926" s="22"/>
      <c r="C926" s="22"/>
    </row>
    <row r="927" ht="14.25" customHeight="1">
      <c r="A927" s="21"/>
      <c r="B927" s="22"/>
      <c r="C927" s="22"/>
    </row>
    <row r="928" ht="14.25" customHeight="1">
      <c r="A928" s="21"/>
      <c r="B928" s="22"/>
      <c r="C928" s="22"/>
    </row>
    <row r="929" ht="14.25" customHeight="1">
      <c r="A929" s="21"/>
      <c r="B929" s="22"/>
      <c r="C929" s="22"/>
    </row>
    <row r="930" ht="14.25" customHeight="1">
      <c r="A930" s="21"/>
      <c r="B930" s="22"/>
      <c r="C930" s="22"/>
    </row>
    <row r="931" ht="14.25" customHeight="1">
      <c r="A931" s="21"/>
      <c r="B931" s="22"/>
      <c r="C931" s="22"/>
    </row>
    <row r="932" ht="14.25" customHeight="1">
      <c r="A932" s="21"/>
      <c r="B932" s="22"/>
      <c r="C932" s="22"/>
    </row>
    <row r="933" ht="14.25" customHeight="1">
      <c r="A933" s="21"/>
      <c r="B933" s="22"/>
      <c r="C933" s="22"/>
    </row>
    <row r="934" ht="14.25" customHeight="1">
      <c r="A934" s="21"/>
      <c r="B934" s="22"/>
      <c r="C934" s="22"/>
    </row>
    <row r="935" ht="14.25" customHeight="1">
      <c r="A935" s="21"/>
      <c r="B935" s="22"/>
      <c r="C935" s="22"/>
    </row>
    <row r="936" ht="14.25" customHeight="1">
      <c r="A936" s="21"/>
      <c r="B936" s="22"/>
      <c r="C936" s="22"/>
    </row>
    <row r="937" ht="14.25" customHeight="1">
      <c r="A937" s="21"/>
      <c r="B937" s="22"/>
      <c r="C937" s="22"/>
    </row>
    <row r="938" ht="14.25" customHeight="1">
      <c r="A938" s="21"/>
      <c r="B938" s="22"/>
      <c r="C938" s="22"/>
    </row>
    <row r="939" ht="14.25" customHeight="1">
      <c r="A939" s="21"/>
      <c r="B939" s="22"/>
      <c r="C939" s="22"/>
    </row>
    <row r="940" ht="14.25" customHeight="1">
      <c r="A940" s="21"/>
      <c r="B940" s="22"/>
      <c r="C940" s="22"/>
    </row>
    <row r="941" ht="14.25" customHeight="1">
      <c r="A941" s="21"/>
      <c r="B941" s="22"/>
      <c r="C941" s="22"/>
    </row>
    <row r="942" ht="14.25" customHeight="1">
      <c r="A942" s="21"/>
      <c r="B942" s="22"/>
      <c r="C942" s="22"/>
    </row>
    <row r="943" ht="14.25" customHeight="1">
      <c r="A943" s="21"/>
      <c r="B943" s="22"/>
      <c r="C943" s="22"/>
    </row>
    <row r="944" ht="14.25" customHeight="1">
      <c r="A944" s="21"/>
      <c r="B944" s="22"/>
      <c r="C944" s="22"/>
    </row>
    <row r="945" ht="14.25" customHeight="1">
      <c r="A945" s="21"/>
      <c r="B945" s="22"/>
      <c r="C945" s="22"/>
    </row>
    <row r="946" ht="14.25" customHeight="1">
      <c r="A946" s="21"/>
      <c r="B946" s="22"/>
      <c r="C946" s="22"/>
    </row>
    <row r="947" ht="14.25" customHeight="1">
      <c r="A947" s="21"/>
      <c r="B947" s="22"/>
      <c r="C947" s="22"/>
    </row>
    <row r="948" ht="14.25" customHeight="1">
      <c r="A948" s="21"/>
      <c r="B948" s="22"/>
      <c r="C948" s="22"/>
    </row>
    <row r="949" ht="14.25" customHeight="1">
      <c r="A949" s="21"/>
      <c r="B949" s="22"/>
      <c r="C949" s="22"/>
    </row>
    <row r="950" ht="14.25" customHeight="1">
      <c r="A950" s="21"/>
      <c r="B950" s="22"/>
      <c r="C950" s="22"/>
    </row>
    <row r="951" ht="14.25" customHeight="1">
      <c r="A951" s="21"/>
      <c r="B951" s="22"/>
      <c r="C951" s="22"/>
    </row>
    <row r="952" ht="14.25" customHeight="1">
      <c r="A952" s="21"/>
      <c r="B952" s="22"/>
      <c r="C952" s="22"/>
    </row>
    <row r="953" ht="14.25" customHeight="1">
      <c r="A953" s="21"/>
      <c r="B953" s="22"/>
      <c r="C953" s="22"/>
    </row>
    <row r="954" ht="14.25" customHeight="1">
      <c r="A954" s="21"/>
      <c r="B954" s="22"/>
      <c r="C954" s="22"/>
    </row>
    <row r="955" ht="14.25" customHeight="1">
      <c r="A955" s="21"/>
      <c r="B955" s="22"/>
      <c r="C955" s="22"/>
    </row>
    <row r="956" ht="14.25" customHeight="1">
      <c r="A956" s="21"/>
      <c r="B956" s="22"/>
      <c r="C956" s="22"/>
    </row>
    <row r="957" ht="14.25" customHeight="1">
      <c r="A957" s="21"/>
      <c r="B957" s="22"/>
      <c r="C957" s="22"/>
    </row>
    <row r="958" ht="14.25" customHeight="1">
      <c r="A958" s="21"/>
      <c r="B958" s="22"/>
      <c r="C958" s="22"/>
    </row>
    <row r="959" ht="14.25" customHeight="1">
      <c r="A959" s="21"/>
      <c r="B959" s="22"/>
      <c r="C959" s="22"/>
    </row>
    <row r="960" ht="14.25" customHeight="1">
      <c r="A960" s="21"/>
      <c r="B960" s="22"/>
      <c r="C960" s="22"/>
    </row>
    <row r="961" ht="14.25" customHeight="1">
      <c r="A961" s="21"/>
      <c r="B961" s="22"/>
      <c r="C961" s="22"/>
    </row>
    <row r="962" ht="14.25" customHeight="1">
      <c r="A962" s="21"/>
      <c r="B962" s="22"/>
      <c r="C962" s="22"/>
    </row>
    <row r="963" ht="14.25" customHeight="1">
      <c r="A963" s="21"/>
      <c r="B963" s="22"/>
      <c r="C963" s="22"/>
    </row>
    <row r="964" ht="14.25" customHeight="1">
      <c r="A964" s="21"/>
      <c r="B964" s="22"/>
      <c r="C964" s="22"/>
    </row>
    <row r="965" ht="14.25" customHeight="1">
      <c r="A965" s="21"/>
      <c r="B965" s="22"/>
      <c r="C965" s="22"/>
    </row>
    <row r="966" ht="14.25" customHeight="1">
      <c r="A966" s="21"/>
      <c r="B966" s="22"/>
      <c r="C966" s="22"/>
    </row>
    <row r="967" ht="14.25" customHeight="1">
      <c r="A967" s="21"/>
      <c r="B967" s="22"/>
      <c r="C967" s="22"/>
    </row>
    <row r="968" ht="14.25" customHeight="1">
      <c r="A968" s="21"/>
      <c r="B968" s="22"/>
      <c r="C968" s="22"/>
    </row>
    <row r="969" ht="14.25" customHeight="1">
      <c r="A969" s="21"/>
      <c r="B969" s="22"/>
      <c r="C969" s="22"/>
    </row>
    <row r="970" ht="14.25" customHeight="1">
      <c r="A970" s="21"/>
      <c r="B970" s="22"/>
      <c r="C970" s="22"/>
    </row>
    <row r="971" ht="14.25" customHeight="1">
      <c r="A971" s="21"/>
      <c r="B971" s="22"/>
      <c r="C971" s="22"/>
    </row>
    <row r="972" ht="14.25" customHeight="1">
      <c r="A972" s="21"/>
      <c r="B972" s="22"/>
      <c r="C972" s="22"/>
    </row>
    <row r="973" ht="14.25" customHeight="1">
      <c r="A973" s="21"/>
      <c r="B973" s="22"/>
      <c r="C973" s="22"/>
    </row>
    <row r="974" ht="14.25" customHeight="1">
      <c r="A974" s="21"/>
      <c r="B974" s="22"/>
      <c r="C974" s="22"/>
    </row>
    <row r="975" ht="14.25" customHeight="1">
      <c r="A975" s="21"/>
      <c r="B975" s="22"/>
      <c r="C975" s="22"/>
    </row>
    <row r="976" ht="14.25" customHeight="1">
      <c r="A976" s="21"/>
      <c r="B976" s="22"/>
      <c r="C976" s="22"/>
    </row>
    <row r="977" ht="14.25" customHeight="1">
      <c r="A977" s="21"/>
      <c r="B977" s="22"/>
      <c r="C977" s="22"/>
    </row>
    <row r="978" ht="14.25" customHeight="1">
      <c r="A978" s="21"/>
      <c r="B978" s="22"/>
      <c r="C978" s="22"/>
    </row>
    <row r="979" ht="14.25" customHeight="1">
      <c r="A979" s="21"/>
      <c r="B979" s="22"/>
      <c r="C979" s="22"/>
    </row>
    <row r="980" ht="14.25" customHeight="1">
      <c r="A980" s="21"/>
      <c r="B980" s="22"/>
      <c r="C980" s="22"/>
    </row>
    <row r="981" ht="14.25" customHeight="1">
      <c r="A981" s="21"/>
      <c r="B981" s="22"/>
      <c r="C981" s="22"/>
    </row>
    <row r="982" ht="14.25" customHeight="1">
      <c r="A982" s="21"/>
      <c r="B982" s="22"/>
      <c r="C982" s="22"/>
    </row>
    <row r="983" ht="14.25" customHeight="1">
      <c r="A983" s="21"/>
      <c r="B983" s="22"/>
      <c r="C983" s="22"/>
    </row>
    <row r="984" ht="14.25" customHeight="1">
      <c r="A984" s="21"/>
      <c r="B984" s="22"/>
      <c r="C984" s="22"/>
    </row>
    <row r="985" ht="14.25" customHeight="1">
      <c r="A985" s="21"/>
      <c r="B985" s="22"/>
      <c r="C985" s="22"/>
    </row>
    <row r="986" ht="14.25" customHeight="1">
      <c r="A986" s="21"/>
      <c r="B986" s="22"/>
      <c r="C986" s="22"/>
    </row>
    <row r="987" ht="14.25" customHeight="1">
      <c r="A987" s="21"/>
      <c r="B987" s="22"/>
      <c r="C987" s="22"/>
    </row>
    <row r="988" ht="14.25" customHeight="1">
      <c r="A988" s="21"/>
      <c r="B988" s="22"/>
      <c r="C988" s="22"/>
    </row>
    <row r="989" ht="14.25" customHeight="1">
      <c r="A989" s="21"/>
      <c r="B989" s="22"/>
      <c r="C989" s="22"/>
    </row>
    <row r="990" ht="14.25" customHeight="1">
      <c r="A990" s="21"/>
      <c r="B990" s="22"/>
      <c r="C990" s="22"/>
    </row>
    <row r="991" ht="14.25" customHeight="1">
      <c r="A991" s="21"/>
      <c r="B991" s="22"/>
      <c r="C991" s="22"/>
    </row>
    <row r="992" ht="14.25" customHeight="1">
      <c r="A992" s="21"/>
      <c r="B992" s="22"/>
      <c r="C992" s="22"/>
    </row>
    <row r="993" ht="14.25" customHeight="1">
      <c r="A993" s="21"/>
      <c r="B993" s="22"/>
      <c r="C993" s="22"/>
    </row>
    <row r="994" ht="14.25" customHeight="1">
      <c r="A994" s="21"/>
      <c r="B994" s="22"/>
      <c r="C994" s="22"/>
    </row>
    <row r="995" ht="14.25" customHeight="1">
      <c r="A995" s="21"/>
      <c r="B995" s="22"/>
      <c r="C995" s="22"/>
    </row>
    <row r="996" ht="14.25" customHeight="1">
      <c r="A996" s="21"/>
      <c r="B996" s="22"/>
      <c r="C996" s="22"/>
    </row>
    <row r="997" ht="14.25" customHeight="1">
      <c r="A997" s="21"/>
      <c r="B997" s="22"/>
      <c r="C997" s="22"/>
    </row>
    <row r="998" ht="14.25" customHeight="1">
      <c r="A998" s="21"/>
      <c r="B998" s="22"/>
      <c r="C998" s="22"/>
    </row>
    <row r="999" ht="14.25" customHeight="1">
      <c r="A999" s="21"/>
      <c r="B999" s="22"/>
      <c r="C999" s="22"/>
    </row>
    <row r="1000" ht="14.25" customHeight="1">
      <c r="A1000" s="21"/>
      <c r="B1000" s="22"/>
      <c r="C1000" s="22"/>
    </row>
  </sheetData>
  <mergeCells count="11">
    <mergeCell ref="B54:B55"/>
    <mergeCell ref="A66:C70"/>
    <mergeCell ref="A74:C75"/>
    <mergeCell ref="A78:C80"/>
    <mergeCell ref="A1:A2"/>
    <mergeCell ref="B1:C1"/>
    <mergeCell ref="D1:G1"/>
    <mergeCell ref="H1:K1"/>
    <mergeCell ref="P1:S1"/>
    <mergeCell ref="B2:C2"/>
    <mergeCell ref="A3:C3"/>
  </mergeCells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5.86"/>
    <col customWidth="1" min="2" max="2" width="11.0"/>
    <col customWidth="1" min="3" max="9" width="8.71"/>
    <col customWidth="1" min="10" max="10" width="9.14"/>
    <col customWidth="1" min="11" max="26" width="8.71"/>
  </cols>
  <sheetData>
    <row r="1" ht="14.25" customHeight="1">
      <c r="A1" s="1"/>
      <c r="B1" s="2" t="s">
        <v>0</v>
      </c>
      <c r="D1" s="3" t="s">
        <v>456</v>
      </c>
      <c r="E1" s="3" t="s">
        <v>457</v>
      </c>
      <c r="F1" s="3" t="s">
        <v>458</v>
      </c>
      <c r="G1" s="3" t="s">
        <v>459</v>
      </c>
      <c r="H1" s="3" t="s">
        <v>460</v>
      </c>
      <c r="I1" s="3" t="s">
        <v>461</v>
      </c>
      <c r="J1" s="3" t="s">
        <v>462</v>
      </c>
      <c r="K1" s="3" t="s">
        <v>463</v>
      </c>
      <c r="L1" s="3" t="s">
        <v>464</v>
      </c>
      <c r="M1" s="3" t="s">
        <v>465</v>
      </c>
      <c r="N1" s="3" t="s">
        <v>466</v>
      </c>
      <c r="O1" s="3" t="s">
        <v>467</v>
      </c>
      <c r="P1" s="3" t="s">
        <v>468</v>
      </c>
      <c r="Q1" s="3" t="s">
        <v>469</v>
      </c>
      <c r="R1" s="3" t="s">
        <v>470</v>
      </c>
      <c r="S1" s="3" t="s">
        <v>471</v>
      </c>
      <c r="T1" s="3" t="s">
        <v>472</v>
      </c>
      <c r="U1" s="3" t="s">
        <v>473</v>
      </c>
      <c r="V1" s="3" t="s">
        <v>474</v>
      </c>
      <c r="W1" s="3" t="s">
        <v>475</v>
      </c>
      <c r="X1" s="3" t="s">
        <v>476</v>
      </c>
      <c r="Y1" s="3" t="s">
        <v>477</v>
      </c>
      <c r="Z1" s="3"/>
    </row>
    <row r="2" ht="14.25" customHeight="1">
      <c r="A2" s="4"/>
      <c r="B2" s="5" t="s">
        <v>44</v>
      </c>
      <c r="C2" s="4"/>
      <c r="D2" s="23" t="s">
        <v>478</v>
      </c>
      <c r="E2" s="64" t="s">
        <v>100</v>
      </c>
      <c r="F2" s="23" t="s">
        <v>478</v>
      </c>
      <c r="G2" s="64" t="s">
        <v>100</v>
      </c>
      <c r="H2" s="64" t="s">
        <v>100</v>
      </c>
      <c r="I2" s="64" t="s">
        <v>100</v>
      </c>
      <c r="J2" s="64" t="s">
        <v>100</v>
      </c>
      <c r="K2" s="64" t="s">
        <v>100</v>
      </c>
      <c r="L2" s="64" t="s">
        <v>100</v>
      </c>
      <c r="M2" s="6" t="s">
        <v>479</v>
      </c>
      <c r="N2" s="64" t="s">
        <v>100</v>
      </c>
      <c r="O2" s="64" t="s">
        <v>100</v>
      </c>
      <c r="P2" s="64" t="s">
        <v>100</v>
      </c>
      <c r="Q2" s="64" t="s">
        <v>100</v>
      </c>
      <c r="R2" s="64" t="s">
        <v>100</v>
      </c>
      <c r="S2" s="64" t="s">
        <v>100</v>
      </c>
      <c r="T2" s="64" t="s">
        <v>100</v>
      </c>
      <c r="U2" s="64" t="s">
        <v>100</v>
      </c>
      <c r="V2" s="64" t="s">
        <v>100</v>
      </c>
      <c r="W2" s="64" t="s">
        <v>100</v>
      </c>
      <c r="X2" s="64" t="s">
        <v>100</v>
      </c>
      <c r="Y2" s="64" t="s">
        <v>100</v>
      </c>
    </row>
    <row r="3" ht="14.25" customHeight="1">
      <c r="A3" s="15" t="s">
        <v>88</v>
      </c>
      <c r="B3" s="16"/>
      <c r="C3" s="17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49"/>
    </row>
    <row r="4" ht="14.25" customHeight="1">
      <c r="A4" s="19" t="s">
        <v>89</v>
      </c>
      <c r="B4" s="20" t="s">
        <v>90</v>
      </c>
      <c r="C4" s="20" t="s">
        <v>91</v>
      </c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</row>
    <row r="5" ht="14.25" customHeight="1">
      <c r="A5" s="21" t="s">
        <v>92</v>
      </c>
      <c r="B5" s="22" t="s">
        <v>93</v>
      </c>
      <c r="C5" s="22"/>
      <c r="D5" s="23">
        <v>0.0</v>
      </c>
      <c r="E5" s="23">
        <v>0.0</v>
      </c>
      <c r="F5" s="23">
        <v>0.0</v>
      </c>
      <c r="G5" s="23">
        <v>0.0</v>
      </c>
      <c r="H5" s="23">
        <v>0.0</v>
      </c>
      <c r="I5" s="23">
        <v>0.0</v>
      </c>
      <c r="J5" s="23">
        <v>0.0</v>
      </c>
      <c r="K5" s="23">
        <v>0.0</v>
      </c>
      <c r="L5" s="23">
        <v>0.0</v>
      </c>
      <c r="M5" s="23">
        <v>0.12</v>
      </c>
      <c r="N5" s="23">
        <v>0.0</v>
      </c>
      <c r="O5" s="23">
        <v>0.0</v>
      </c>
      <c r="P5" s="23">
        <v>0.0</v>
      </c>
      <c r="Q5" s="23">
        <v>0.0</v>
      </c>
      <c r="R5" s="23">
        <v>0.0</v>
      </c>
      <c r="S5" s="23">
        <v>0.0</v>
      </c>
      <c r="T5" s="23">
        <v>0.0</v>
      </c>
      <c r="U5" s="23">
        <v>0.0</v>
      </c>
      <c r="V5" s="23">
        <v>0.0</v>
      </c>
      <c r="W5" s="23">
        <v>0.0</v>
      </c>
      <c r="X5" s="23">
        <v>0.0</v>
      </c>
      <c r="Y5" s="23">
        <v>0.0</v>
      </c>
    </row>
    <row r="6" ht="14.25" customHeight="1">
      <c r="A6" s="21" t="s">
        <v>94</v>
      </c>
      <c r="B6" s="22" t="s">
        <v>95</v>
      </c>
      <c r="C6" s="22"/>
      <c r="D6" s="23">
        <v>884.0</v>
      </c>
      <c r="E6" s="23">
        <v>884.0</v>
      </c>
      <c r="F6" s="23">
        <v>884.0</v>
      </c>
      <c r="G6" s="23">
        <v>884.0</v>
      </c>
      <c r="H6" s="23">
        <v>884.0</v>
      </c>
      <c r="I6" s="23">
        <v>884.0</v>
      </c>
      <c r="J6" s="23">
        <v>884.0</v>
      </c>
      <c r="K6" s="23">
        <v>884.0</v>
      </c>
      <c r="L6" s="23">
        <v>884.0</v>
      </c>
      <c r="M6" s="23">
        <v>884.0</v>
      </c>
      <c r="N6" s="23">
        <v>884.0</v>
      </c>
      <c r="O6" s="23">
        <v>862.0</v>
      </c>
      <c r="P6" s="23">
        <v>884.0</v>
      </c>
      <c r="Q6" s="23">
        <v>862.0</v>
      </c>
      <c r="R6" s="23">
        <v>884.0</v>
      </c>
      <c r="S6" s="23">
        <v>884.0</v>
      </c>
      <c r="T6" s="23">
        <v>884.0</v>
      </c>
      <c r="U6" s="23">
        <v>884.0</v>
      </c>
      <c r="V6" s="23">
        <v>884.0</v>
      </c>
      <c r="W6" s="23">
        <v>884.0</v>
      </c>
      <c r="X6" s="23">
        <v>884.0</v>
      </c>
      <c r="Y6" s="23">
        <v>884.0</v>
      </c>
    </row>
    <row r="7" ht="14.25" customHeight="1">
      <c r="A7" s="21" t="s">
        <v>96</v>
      </c>
      <c r="B7" s="22" t="s">
        <v>97</v>
      </c>
      <c r="C7" s="22" t="s">
        <v>98</v>
      </c>
      <c r="D7" s="23">
        <v>0.0</v>
      </c>
      <c r="E7" s="23">
        <v>0.0</v>
      </c>
      <c r="F7" s="23">
        <v>0.0</v>
      </c>
      <c r="G7" s="23">
        <v>0.0</v>
      </c>
      <c r="H7" s="23">
        <v>0.0</v>
      </c>
      <c r="I7" s="23">
        <v>0.0</v>
      </c>
      <c r="J7" s="23">
        <v>0.0</v>
      </c>
      <c r="K7" s="23">
        <v>0.0</v>
      </c>
      <c r="L7" s="23">
        <v>0.0</v>
      </c>
      <c r="M7" s="23">
        <v>0.11</v>
      </c>
      <c r="N7" s="23">
        <v>0.0</v>
      </c>
      <c r="O7" s="23">
        <v>0.0</v>
      </c>
      <c r="P7" s="23">
        <v>0.0</v>
      </c>
      <c r="Q7" s="23">
        <v>0.0</v>
      </c>
      <c r="R7" s="23">
        <v>0.0</v>
      </c>
      <c r="S7" s="23">
        <v>0.0</v>
      </c>
      <c r="T7" s="23">
        <v>0.0</v>
      </c>
      <c r="U7" s="23">
        <v>0.0</v>
      </c>
      <c r="V7" s="23">
        <v>0.0</v>
      </c>
      <c r="W7" s="23">
        <v>0.0</v>
      </c>
      <c r="X7" s="23">
        <v>0.0</v>
      </c>
      <c r="Y7" s="23">
        <v>0.0</v>
      </c>
    </row>
    <row r="8" ht="14.25" customHeight="1">
      <c r="A8" s="21" t="s">
        <v>99</v>
      </c>
      <c r="B8" s="22" t="s">
        <v>100</v>
      </c>
      <c r="C8" s="22"/>
      <c r="D8" s="23">
        <v>100.0</v>
      </c>
      <c r="E8" s="23">
        <v>100.0</v>
      </c>
      <c r="F8" s="23">
        <v>100.0</v>
      </c>
      <c r="G8" s="23">
        <v>100.0</v>
      </c>
      <c r="H8" s="23">
        <v>100.0</v>
      </c>
      <c r="I8" s="23">
        <v>100.0</v>
      </c>
      <c r="J8" s="23">
        <v>100.0</v>
      </c>
      <c r="K8" s="23">
        <v>100.0</v>
      </c>
      <c r="L8" s="23">
        <v>100.0</v>
      </c>
      <c r="M8" s="23">
        <v>99.98</v>
      </c>
      <c r="N8" s="23">
        <v>100.0</v>
      </c>
      <c r="O8" s="23">
        <v>100.0</v>
      </c>
      <c r="P8" s="23">
        <v>100.0</v>
      </c>
      <c r="Q8" s="23">
        <v>100.0</v>
      </c>
      <c r="R8" s="23">
        <v>100.0</v>
      </c>
      <c r="S8" s="23">
        <v>100.0</v>
      </c>
      <c r="T8" s="23">
        <v>100.0</v>
      </c>
      <c r="U8" s="23">
        <v>100.0</v>
      </c>
      <c r="V8" s="23">
        <v>100.0</v>
      </c>
      <c r="W8" s="23">
        <v>100.0</v>
      </c>
      <c r="X8" s="23">
        <v>100.0</v>
      </c>
      <c r="Y8" s="23">
        <v>100.0</v>
      </c>
    </row>
    <row r="9" ht="14.25" customHeight="1">
      <c r="A9" s="21" t="s">
        <v>101</v>
      </c>
      <c r="B9" s="22" t="s">
        <v>102</v>
      </c>
      <c r="C9" s="22"/>
      <c r="D9" s="23">
        <v>0.0</v>
      </c>
      <c r="E9" s="23">
        <v>0.0</v>
      </c>
      <c r="F9" s="23">
        <v>0.0</v>
      </c>
      <c r="G9" s="23">
        <v>0.0</v>
      </c>
      <c r="H9" s="23">
        <v>0.0</v>
      </c>
      <c r="I9" s="23">
        <v>0.0</v>
      </c>
      <c r="J9" s="23">
        <v>0.0</v>
      </c>
      <c r="K9" s="23">
        <v>0.0</v>
      </c>
      <c r="L9" s="23">
        <v>0.0</v>
      </c>
      <c r="M9" s="23">
        <v>0.0</v>
      </c>
      <c r="N9" s="23">
        <v>0.0</v>
      </c>
      <c r="O9" s="23">
        <v>0.0</v>
      </c>
      <c r="P9" s="23">
        <v>0.0</v>
      </c>
      <c r="Q9" s="23">
        <v>0.0</v>
      </c>
      <c r="R9" s="23">
        <v>0.0</v>
      </c>
      <c r="S9" s="23">
        <v>0.0</v>
      </c>
      <c r="T9" s="23">
        <v>0.0</v>
      </c>
      <c r="U9" s="23">
        <v>0.0</v>
      </c>
      <c r="V9" s="23">
        <v>0.0</v>
      </c>
      <c r="W9" s="23">
        <v>0.0</v>
      </c>
      <c r="X9" s="23">
        <v>0.0</v>
      </c>
      <c r="Y9" s="23">
        <v>0.0</v>
      </c>
    </row>
    <row r="10" ht="14.25" customHeight="1">
      <c r="A10" s="21" t="s">
        <v>103</v>
      </c>
      <c r="B10" s="22" t="s">
        <v>104</v>
      </c>
      <c r="C10" s="22"/>
      <c r="D10" s="23">
        <v>0.0</v>
      </c>
      <c r="E10" s="23">
        <v>0.0</v>
      </c>
      <c r="F10" s="23">
        <v>0.0</v>
      </c>
      <c r="G10" s="23">
        <v>0.0</v>
      </c>
      <c r="H10" s="23">
        <v>0.0</v>
      </c>
      <c r="I10" s="23">
        <v>0.0</v>
      </c>
      <c r="J10" s="23">
        <v>0.0</v>
      </c>
      <c r="K10" s="23">
        <v>0.0</v>
      </c>
      <c r="L10" s="23">
        <v>0.0</v>
      </c>
      <c r="M10" s="23">
        <v>0.0</v>
      </c>
      <c r="N10" s="23">
        <v>0.0</v>
      </c>
      <c r="O10" s="23">
        <v>0.0</v>
      </c>
      <c r="P10" s="23">
        <v>0.0</v>
      </c>
      <c r="Q10" s="23">
        <v>0.0</v>
      </c>
      <c r="R10" s="23">
        <v>0.0</v>
      </c>
      <c r="S10" s="23">
        <v>0.0</v>
      </c>
      <c r="T10" s="23">
        <v>0.0</v>
      </c>
      <c r="U10" s="23">
        <v>0.0</v>
      </c>
      <c r="V10" s="23">
        <v>0.0</v>
      </c>
      <c r="W10" s="23">
        <v>0.0</v>
      </c>
      <c r="X10" s="23">
        <v>0.0</v>
      </c>
      <c r="Y10" s="23">
        <v>0.0</v>
      </c>
    </row>
    <row r="11" ht="14.25" customHeight="1">
      <c r="A11" s="21" t="s">
        <v>105</v>
      </c>
      <c r="B11" s="22"/>
      <c r="C11" s="22"/>
      <c r="D11" s="23">
        <v>0.0</v>
      </c>
      <c r="E11" s="23">
        <v>0.0</v>
      </c>
      <c r="F11" s="23">
        <v>0.0</v>
      </c>
      <c r="G11" s="23">
        <v>0.0</v>
      </c>
      <c r="H11" s="23">
        <v>0.0</v>
      </c>
      <c r="I11" s="23">
        <v>0.0</v>
      </c>
      <c r="J11" s="23">
        <v>0.0</v>
      </c>
      <c r="K11" s="23">
        <v>0.0</v>
      </c>
      <c r="L11" s="23">
        <v>0.0</v>
      </c>
      <c r="M11" s="23">
        <v>0.0</v>
      </c>
      <c r="N11" s="23">
        <v>0.0</v>
      </c>
      <c r="O11" s="23">
        <v>0.0</v>
      </c>
      <c r="P11" s="23">
        <v>0.0</v>
      </c>
      <c r="Q11" s="23">
        <v>0.0</v>
      </c>
      <c r="R11" s="23">
        <v>0.0</v>
      </c>
      <c r="S11" s="23">
        <v>0.0</v>
      </c>
      <c r="T11" s="23">
        <v>0.0</v>
      </c>
      <c r="U11" s="23">
        <v>0.0</v>
      </c>
      <c r="V11" s="23">
        <v>0.0</v>
      </c>
      <c r="W11" s="23">
        <v>0.0</v>
      </c>
      <c r="X11" s="23">
        <v>0.0</v>
      </c>
      <c r="Y11" s="23">
        <v>0.0</v>
      </c>
    </row>
    <row r="12" ht="14.25" customHeight="1">
      <c r="A12" s="19" t="s">
        <v>106</v>
      </c>
      <c r="B12" s="27"/>
      <c r="C12" s="27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</row>
    <row r="13" ht="14.25" customHeight="1">
      <c r="A13" s="21" t="s">
        <v>107</v>
      </c>
      <c r="B13" s="22">
        <v>1000.0</v>
      </c>
      <c r="C13" s="22">
        <v>2500.0</v>
      </c>
      <c r="D13" s="23">
        <v>0.0</v>
      </c>
      <c r="E13" s="23">
        <v>1.0</v>
      </c>
      <c r="F13" s="23">
        <v>0.0</v>
      </c>
      <c r="G13" s="23">
        <v>0.0</v>
      </c>
      <c r="H13" s="23">
        <v>0.0</v>
      </c>
      <c r="I13" s="23">
        <v>0.0</v>
      </c>
      <c r="J13" s="23">
        <v>0.0</v>
      </c>
      <c r="K13" s="23">
        <v>0.0</v>
      </c>
      <c r="L13" s="23">
        <v>0.0</v>
      </c>
      <c r="M13" s="23">
        <v>1.0</v>
      </c>
      <c r="N13" s="23">
        <v>0.0</v>
      </c>
      <c r="O13" s="23">
        <v>0.0</v>
      </c>
      <c r="P13" s="23">
        <v>0.0</v>
      </c>
      <c r="Q13" s="23">
        <v>0.0</v>
      </c>
      <c r="R13" s="23">
        <v>0.0</v>
      </c>
      <c r="S13" s="23">
        <v>0.0</v>
      </c>
      <c r="T13" s="23">
        <v>0.0</v>
      </c>
      <c r="U13" s="23">
        <v>0.0</v>
      </c>
      <c r="V13" s="23">
        <v>0.0</v>
      </c>
      <c r="W13" s="23">
        <v>0.0</v>
      </c>
      <c r="X13" s="23">
        <v>0.0</v>
      </c>
      <c r="Y13" s="23">
        <v>0.0</v>
      </c>
    </row>
    <row r="14" ht="14.25" customHeight="1">
      <c r="A14" s="21" t="s">
        <v>108</v>
      </c>
      <c r="B14" s="22" t="s">
        <v>109</v>
      </c>
      <c r="C14" s="22" t="s">
        <v>110</v>
      </c>
      <c r="D14" s="23">
        <v>0.03</v>
      </c>
      <c r="E14" s="23">
        <v>0.56</v>
      </c>
      <c r="F14" s="23">
        <v>0.0</v>
      </c>
      <c r="G14" s="23">
        <v>0.03</v>
      </c>
      <c r="H14" s="23">
        <v>0.0</v>
      </c>
      <c r="I14" s="23">
        <v>0.07</v>
      </c>
      <c r="J14" s="23">
        <v>0.0</v>
      </c>
      <c r="K14" s="23">
        <v>0.05</v>
      </c>
      <c r="L14" s="23">
        <v>0.0</v>
      </c>
      <c r="M14" s="23">
        <v>0.0</v>
      </c>
      <c r="N14" s="23">
        <v>0.0</v>
      </c>
      <c r="O14" s="23">
        <v>0.04</v>
      </c>
      <c r="P14" s="23">
        <v>0.01</v>
      </c>
      <c r="Q14" s="23">
        <v>0.0</v>
      </c>
      <c r="R14" s="23">
        <v>0.0</v>
      </c>
      <c r="S14" s="23">
        <v>0.0</v>
      </c>
      <c r="T14" s="23">
        <v>0.0</v>
      </c>
      <c r="U14" s="23">
        <v>0.0</v>
      </c>
      <c r="V14" s="23">
        <v>0.0</v>
      </c>
      <c r="W14" s="23">
        <v>0.0</v>
      </c>
      <c r="X14" s="23">
        <v>0.0</v>
      </c>
      <c r="Y14" s="23">
        <v>0.0</v>
      </c>
    </row>
    <row r="15" ht="14.25" customHeight="1">
      <c r="A15" s="21" t="s">
        <v>111</v>
      </c>
      <c r="B15" s="22" t="s">
        <v>112</v>
      </c>
      <c r="C15" s="22">
        <v>350.0</v>
      </c>
      <c r="D15" s="23">
        <v>0.0</v>
      </c>
      <c r="E15" s="23">
        <v>0.0</v>
      </c>
      <c r="F15" s="23">
        <v>0.0</v>
      </c>
      <c r="G15" s="23">
        <v>0.0</v>
      </c>
      <c r="H15" s="23">
        <v>0.0</v>
      </c>
      <c r="I15" s="23">
        <v>0.0</v>
      </c>
      <c r="J15" s="23">
        <v>0.0</v>
      </c>
      <c r="K15" s="23">
        <v>0.0</v>
      </c>
      <c r="L15" s="23">
        <v>0.0</v>
      </c>
      <c r="M15" s="23">
        <v>0.0</v>
      </c>
      <c r="N15" s="23">
        <v>0.0</v>
      </c>
      <c r="O15" s="23">
        <v>0.0</v>
      </c>
      <c r="P15" s="23">
        <v>0.0</v>
      </c>
      <c r="Q15" s="23">
        <v>0.0</v>
      </c>
      <c r="R15" s="23">
        <v>0.0</v>
      </c>
      <c r="S15" s="23">
        <v>0.0</v>
      </c>
      <c r="T15" s="23">
        <v>0.0</v>
      </c>
      <c r="U15" s="23">
        <v>0.0</v>
      </c>
      <c r="V15" s="23">
        <v>0.0</v>
      </c>
      <c r="W15" s="23">
        <v>0.0</v>
      </c>
      <c r="X15" s="23">
        <v>0.0</v>
      </c>
      <c r="Y15" s="23">
        <v>0.0</v>
      </c>
    </row>
    <row r="16" ht="14.25" customHeight="1">
      <c r="A16" s="21" t="s">
        <v>113</v>
      </c>
      <c r="B16" s="22" t="s">
        <v>114</v>
      </c>
      <c r="C16" s="22">
        <v>4000.0</v>
      </c>
      <c r="D16" s="23">
        <v>0.0</v>
      </c>
      <c r="E16" s="23">
        <v>0.0</v>
      </c>
      <c r="F16" s="23">
        <v>0.0</v>
      </c>
      <c r="G16" s="23">
        <v>0.0</v>
      </c>
      <c r="H16" s="23">
        <v>0.0</v>
      </c>
      <c r="I16" s="23">
        <v>0.0</v>
      </c>
      <c r="J16" s="23">
        <v>0.0</v>
      </c>
      <c r="K16" s="23">
        <v>0.0</v>
      </c>
      <c r="L16" s="23">
        <v>0.0</v>
      </c>
      <c r="M16" s="23">
        <v>1.0</v>
      </c>
      <c r="N16" s="23">
        <v>0.0</v>
      </c>
      <c r="O16" s="23">
        <v>0.0</v>
      </c>
      <c r="P16" s="23">
        <v>0.0</v>
      </c>
      <c r="Q16" s="23">
        <v>0.0</v>
      </c>
      <c r="R16" s="23">
        <v>0.0</v>
      </c>
      <c r="S16" s="23">
        <v>0.0</v>
      </c>
      <c r="T16" s="23">
        <v>0.0</v>
      </c>
      <c r="U16" s="23">
        <v>0.0</v>
      </c>
      <c r="V16" s="23">
        <v>0.0</v>
      </c>
      <c r="W16" s="23">
        <v>0.0</v>
      </c>
      <c r="X16" s="23">
        <v>0.0</v>
      </c>
      <c r="Y16" s="23">
        <v>0.0</v>
      </c>
    </row>
    <row r="17" ht="14.25" customHeight="1">
      <c r="A17" s="21" t="s">
        <v>115</v>
      </c>
      <c r="B17" s="22" t="s">
        <v>116</v>
      </c>
      <c r="C17" s="22" t="s">
        <v>100</v>
      </c>
      <c r="D17" s="23">
        <v>0.0</v>
      </c>
      <c r="E17" s="23">
        <v>1.0</v>
      </c>
      <c r="F17" s="23">
        <v>0.0</v>
      </c>
      <c r="G17" s="23">
        <v>0.0</v>
      </c>
      <c r="H17" s="23">
        <v>0.0</v>
      </c>
      <c r="I17" s="23">
        <v>0.0</v>
      </c>
      <c r="J17" s="23">
        <v>0.0</v>
      </c>
      <c r="K17" s="23">
        <v>0.0</v>
      </c>
      <c r="L17" s="23">
        <v>0.0</v>
      </c>
      <c r="M17" s="23">
        <v>0.0</v>
      </c>
      <c r="N17" s="23">
        <v>0.0</v>
      </c>
      <c r="O17" s="23">
        <v>0.0</v>
      </c>
      <c r="P17" s="23">
        <v>0.0</v>
      </c>
      <c r="Q17" s="23">
        <v>0.0</v>
      </c>
      <c r="R17" s="23">
        <v>0.0</v>
      </c>
      <c r="S17" s="23">
        <v>0.0</v>
      </c>
      <c r="T17" s="23">
        <v>0.0</v>
      </c>
      <c r="U17" s="23">
        <v>0.0</v>
      </c>
      <c r="V17" s="23">
        <v>0.0</v>
      </c>
      <c r="W17" s="23">
        <v>0.0</v>
      </c>
      <c r="X17" s="23">
        <v>0.0</v>
      </c>
      <c r="Y17" s="23">
        <v>0.0</v>
      </c>
    </row>
    <row r="18" ht="14.25" customHeight="1">
      <c r="A18" s="21" t="s">
        <v>117</v>
      </c>
      <c r="B18" s="22" t="s">
        <v>118</v>
      </c>
      <c r="C18" s="22">
        <v>2300.0</v>
      </c>
      <c r="D18" s="23">
        <v>0.0</v>
      </c>
      <c r="E18" s="23">
        <v>2.0</v>
      </c>
      <c r="F18" s="23">
        <v>0.0</v>
      </c>
      <c r="G18" s="23">
        <v>0.0</v>
      </c>
      <c r="H18" s="23">
        <v>0.0</v>
      </c>
      <c r="I18" s="23">
        <v>0.0</v>
      </c>
      <c r="J18" s="23">
        <v>0.0</v>
      </c>
      <c r="K18" s="23">
        <v>0.0</v>
      </c>
      <c r="L18" s="23">
        <v>0.0</v>
      </c>
      <c r="M18" s="23">
        <v>0.0</v>
      </c>
      <c r="N18" s="23">
        <v>0.0</v>
      </c>
      <c r="O18" s="23">
        <v>0.0</v>
      </c>
      <c r="P18" s="23">
        <v>0.0</v>
      </c>
      <c r="Q18" s="23">
        <v>0.0</v>
      </c>
      <c r="R18" s="23">
        <v>0.0</v>
      </c>
      <c r="S18" s="23">
        <v>0.0</v>
      </c>
      <c r="T18" s="23">
        <v>0.0</v>
      </c>
      <c r="U18" s="23">
        <v>0.0</v>
      </c>
      <c r="V18" s="23">
        <v>0.0</v>
      </c>
      <c r="W18" s="23">
        <v>0.0</v>
      </c>
      <c r="X18" s="23">
        <v>0.0</v>
      </c>
      <c r="Y18" s="23">
        <v>0.0</v>
      </c>
    </row>
    <row r="19" ht="14.25" customHeight="1">
      <c r="A19" s="21" t="s">
        <v>119</v>
      </c>
      <c r="B19" s="22" t="s">
        <v>120</v>
      </c>
      <c r="C19" s="22">
        <v>40.0</v>
      </c>
      <c r="D19" s="23">
        <v>0.0</v>
      </c>
      <c r="E19" s="23">
        <v>0.0</v>
      </c>
      <c r="F19" s="23">
        <v>0.0</v>
      </c>
      <c r="G19" s="23">
        <v>0.01</v>
      </c>
      <c r="H19" s="23">
        <v>0.0</v>
      </c>
      <c r="I19" s="23">
        <v>0.0</v>
      </c>
      <c r="J19" s="23">
        <v>0.0</v>
      </c>
      <c r="K19" s="23">
        <v>0.01</v>
      </c>
      <c r="L19" s="23">
        <v>0.0</v>
      </c>
      <c r="M19" s="23">
        <v>0.07</v>
      </c>
      <c r="N19" s="23">
        <v>0.0</v>
      </c>
      <c r="O19" s="23">
        <v>0.0</v>
      </c>
      <c r="P19" s="23">
        <v>0.0</v>
      </c>
      <c r="Q19" s="23">
        <v>0.0</v>
      </c>
      <c r="R19" s="23">
        <v>0.0</v>
      </c>
      <c r="S19" s="23">
        <v>0.0</v>
      </c>
      <c r="T19" s="23">
        <v>0.0</v>
      </c>
      <c r="U19" s="23">
        <v>0.0</v>
      </c>
      <c r="V19" s="23">
        <v>0.0</v>
      </c>
      <c r="W19" s="23">
        <v>0.0</v>
      </c>
      <c r="X19" s="23">
        <v>0.0</v>
      </c>
      <c r="Y19" s="23">
        <v>0.0</v>
      </c>
    </row>
    <row r="20" ht="14.25" customHeight="1">
      <c r="A20" s="21" t="s">
        <v>121</v>
      </c>
      <c r="B20" s="22" t="s">
        <v>122</v>
      </c>
      <c r="C20" s="22">
        <v>10.0</v>
      </c>
      <c r="D20" s="23">
        <v>0.0</v>
      </c>
      <c r="E20" s="23">
        <v>0.0</v>
      </c>
      <c r="F20" s="23">
        <v>0.0</v>
      </c>
      <c r="G20" s="23">
        <v>0.0</v>
      </c>
      <c r="H20" s="23">
        <v>0.0</v>
      </c>
      <c r="I20" s="23">
        <v>0.0</v>
      </c>
      <c r="J20" s="23">
        <v>0.0</v>
      </c>
      <c r="K20" s="23">
        <v>0.0</v>
      </c>
      <c r="L20" s="23">
        <v>0.0</v>
      </c>
      <c r="M20" s="23">
        <v>0.0</v>
      </c>
      <c r="N20" s="23">
        <v>0.0</v>
      </c>
      <c r="O20" s="23">
        <v>0.0</v>
      </c>
      <c r="P20" s="23">
        <v>0.0</v>
      </c>
      <c r="Q20" s="23">
        <v>0.0</v>
      </c>
      <c r="R20" s="23">
        <v>0.0</v>
      </c>
      <c r="S20" s="23">
        <v>0.0</v>
      </c>
      <c r="T20" s="23">
        <v>0.0</v>
      </c>
      <c r="U20" s="23">
        <v>0.0</v>
      </c>
      <c r="V20" s="23">
        <v>0.0</v>
      </c>
      <c r="W20" s="23">
        <v>0.0</v>
      </c>
      <c r="X20" s="23">
        <v>0.0</v>
      </c>
      <c r="Y20" s="23">
        <v>0.0</v>
      </c>
    </row>
    <row r="21" ht="14.25" customHeight="1">
      <c r="A21" s="21" t="s">
        <v>123</v>
      </c>
      <c r="B21" s="22" t="s">
        <v>124</v>
      </c>
      <c r="C21" s="22">
        <v>11.0</v>
      </c>
      <c r="D21" s="23">
        <v>0.0</v>
      </c>
      <c r="E21" s="23">
        <v>0.0</v>
      </c>
      <c r="F21" s="23">
        <v>0.0</v>
      </c>
      <c r="G21" s="23">
        <v>0.0</v>
      </c>
      <c r="H21" s="23">
        <v>0.0</v>
      </c>
      <c r="I21" s="23">
        <v>0.0</v>
      </c>
      <c r="J21" s="23">
        <v>0.0</v>
      </c>
      <c r="K21" s="23">
        <v>0.0</v>
      </c>
      <c r="L21" s="23">
        <v>0.0</v>
      </c>
      <c r="M21" s="23">
        <v>0.0</v>
      </c>
      <c r="N21" s="23">
        <v>0.0</v>
      </c>
      <c r="O21" s="23">
        <v>0.0</v>
      </c>
      <c r="P21" s="23">
        <v>0.0</v>
      </c>
      <c r="Q21" s="23">
        <v>0.0</v>
      </c>
      <c r="R21" s="23">
        <v>0.0</v>
      </c>
      <c r="S21" s="23">
        <v>0.0</v>
      </c>
      <c r="T21" s="23">
        <v>0.0</v>
      </c>
      <c r="U21" s="23">
        <v>0.0</v>
      </c>
      <c r="V21" s="23">
        <v>0.0</v>
      </c>
      <c r="W21" s="23">
        <v>0.0</v>
      </c>
      <c r="X21" s="23">
        <v>0.0</v>
      </c>
      <c r="Y21" s="23">
        <v>0.0</v>
      </c>
    </row>
    <row r="22" ht="14.25" customHeight="1">
      <c r="A22" s="21" t="s">
        <v>125</v>
      </c>
      <c r="B22" s="22" t="s">
        <v>126</v>
      </c>
      <c r="C22" s="22">
        <v>400.0</v>
      </c>
      <c r="D22" s="23">
        <v>0.0</v>
      </c>
      <c r="E22" s="23">
        <v>0.0</v>
      </c>
      <c r="F22" s="23">
        <v>0.0</v>
      </c>
      <c r="G22" s="23">
        <v>0.0</v>
      </c>
      <c r="H22" s="23">
        <v>0.0</v>
      </c>
      <c r="I22" s="23">
        <v>0.0</v>
      </c>
      <c r="J22" s="23">
        <v>0.0</v>
      </c>
      <c r="K22" s="23">
        <v>0.0</v>
      </c>
      <c r="L22" s="23">
        <v>0.0</v>
      </c>
      <c r="M22" s="23">
        <v>0.0</v>
      </c>
      <c r="N22" s="23">
        <v>0.0</v>
      </c>
      <c r="O22" s="23">
        <v>0.0</v>
      </c>
      <c r="P22" s="23">
        <v>0.0</v>
      </c>
      <c r="Q22" s="23">
        <v>0.0</v>
      </c>
      <c r="R22" s="23">
        <v>0.0</v>
      </c>
      <c r="S22" s="23">
        <v>0.0</v>
      </c>
      <c r="T22" s="23">
        <v>0.0</v>
      </c>
      <c r="U22" s="23">
        <v>0.0</v>
      </c>
      <c r="V22" s="23">
        <v>0.0</v>
      </c>
      <c r="W22" s="23">
        <v>0.0</v>
      </c>
      <c r="X22" s="23">
        <v>0.0</v>
      </c>
      <c r="Y22" s="23">
        <v>0.0</v>
      </c>
    </row>
    <row r="23" ht="14.25" customHeight="1">
      <c r="A23" s="21" t="s">
        <v>127</v>
      </c>
      <c r="B23" s="22" t="s">
        <v>128</v>
      </c>
      <c r="C23" s="22" t="s">
        <v>129</v>
      </c>
    </row>
    <row r="24" ht="14.25" customHeight="1">
      <c r="A24" s="19" t="s">
        <v>130</v>
      </c>
      <c r="B24" s="27"/>
      <c r="C24" s="27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 ht="14.25" customHeight="1">
      <c r="A25" s="21" t="s">
        <v>131</v>
      </c>
      <c r="B25" s="22">
        <v>90.0</v>
      </c>
      <c r="C25" s="22">
        <v>2000.0</v>
      </c>
      <c r="D25" s="23">
        <v>0.0</v>
      </c>
      <c r="E25" s="23">
        <v>0.0</v>
      </c>
      <c r="F25" s="23">
        <v>0.0</v>
      </c>
      <c r="G25" s="23">
        <v>0.0</v>
      </c>
      <c r="H25" s="23">
        <v>0.0</v>
      </c>
      <c r="I25" s="23">
        <v>0.0</v>
      </c>
      <c r="J25" s="23">
        <v>0.0</v>
      </c>
      <c r="K25" s="23">
        <v>0.0</v>
      </c>
      <c r="L25" s="23">
        <v>0.0</v>
      </c>
      <c r="M25" s="23">
        <v>0.0</v>
      </c>
      <c r="N25" s="23">
        <v>0.0</v>
      </c>
      <c r="O25" s="23">
        <v>0.0</v>
      </c>
      <c r="P25" s="23">
        <v>0.0</v>
      </c>
      <c r="Q25" s="23">
        <v>0.0</v>
      </c>
      <c r="R25" s="23">
        <v>0.0</v>
      </c>
      <c r="S25" s="23">
        <v>0.0</v>
      </c>
      <c r="T25" s="23">
        <v>0.0</v>
      </c>
      <c r="U25" s="23">
        <v>0.0</v>
      </c>
      <c r="V25" s="23">
        <v>0.0</v>
      </c>
      <c r="W25" s="23">
        <v>0.0</v>
      </c>
      <c r="X25" s="23">
        <v>0.0</v>
      </c>
      <c r="Y25" s="23">
        <v>0.0</v>
      </c>
    </row>
    <row r="26" ht="14.25" customHeight="1">
      <c r="A26" s="21" t="s">
        <v>132</v>
      </c>
      <c r="B26" s="22" t="s">
        <v>133</v>
      </c>
      <c r="C26" s="22" t="s">
        <v>100</v>
      </c>
      <c r="D26" s="23">
        <v>0.0</v>
      </c>
      <c r="E26" s="23">
        <v>0.0</v>
      </c>
      <c r="F26" s="23">
        <v>0.0</v>
      </c>
      <c r="G26" s="23">
        <v>0.0</v>
      </c>
      <c r="H26" s="23">
        <v>0.0</v>
      </c>
      <c r="I26" s="23">
        <v>0.0</v>
      </c>
      <c r="J26" s="23">
        <v>0.0</v>
      </c>
      <c r="K26" s="23">
        <v>0.0</v>
      </c>
      <c r="L26" s="23">
        <v>0.0</v>
      </c>
      <c r="M26" s="23">
        <v>0.0</v>
      </c>
      <c r="N26" s="23">
        <v>0.0</v>
      </c>
      <c r="O26" s="23">
        <v>0.0</v>
      </c>
      <c r="P26" s="23">
        <v>0.0</v>
      </c>
      <c r="Q26" s="23">
        <v>0.0</v>
      </c>
      <c r="R26" s="23">
        <v>0.0</v>
      </c>
      <c r="S26" s="23">
        <v>0.0</v>
      </c>
      <c r="T26" s="23">
        <v>0.0</v>
      </c>
      <c r="U26" s="23">
        <v>0.0</v>
      </c>
      <c r="V26" s="23">
        <v>0.0</v>
      </c>
      <c r="W26" s="23">
        <v>0.0</v>
      </c>
      <c r="X26" s="23">
        <v>0.0</v>
      </c>
      <c r="Y26" s="23">
        <v>0.0</v>
      </c>
    </row>
    <row r="27" ht="14.25" customHeight="1">
      <c r="A27" s="21" t="s">
        <v>134</v>
      </c>
      <c r="B27" s="22" t="s">
        <v>135</v>
      </c>
      <c r="C27" s="22" t="s">
        <v>100</v>
      </c>
      <c r="D27" s="23">
        <v>0.0</v>
      </c>
      <c r="E27" s="23">
        <v>0.0</v>
      </c>
      <c r="F27" s="23">
        <v>0.0</v>
      </c>
      <c r="G27" s="23">
        <v>0.0</v>
      </c>
      <c r="H27" s="23">
        <v>0.0</v>
      </c>
      <c r="I27" s="23">
        <v>0.0</v>
      </c>
      <c r="J27" s="23">
        <v>0.0</v>
      </c>
      <c r="K27" s="23">
        <v>0.0</v>
      </c>
      <c r="L27" s="23">
        <v>0.0</v>
      </c>
      <c r="M27" s="23">
        <v>0.0</v>
      </c>
      <c r="N27" s="23">
        <v>0.0</v>
      </c>
      <c r="O27" s="23">
        <v>0.0</v>
      </c>
      <c r="P27" s="23">
        <v>0.0</v>
      </c>
      <c r="Q27" s="23">
        <v>0.0</v>
      </c>
      <c r="R27" s="23">
        <v>0.0</v>
      </c>
      <c r="S27" s="23">
        <v>0.0</v>
      </c>
      <c r="T27" s="23">
        <v>0.0</v>
      </c>
      <c r="U27" s="23">
        <v>0.0</v>
      </c>
      <c r="V27" s="23">
        <v>0.0</v>
      </c>
      <c r="W27" s="23">
        <v>0.0</v>
      </c>
      <c r="X27" s="23">
        <v>0.0</v>
      </c>
      <c r="Y27" s="23">
        <v>0.0</v>
      </c>
    </row>
    <row r="28" ht="14.25" customHeight="1">
      <c r="A28" s="21" t="s">
        <v>136</v>
      </c>
      <c r="B28" s="22" t="s">
        <v>137</v>
      </c>
      <c r="C28" s="22" t="s">
        <v>138</v>
      </c>
      <c r="D28" s="23">
        <v>0.0</v>
      </c>
      <c r="E28" s="23">
        <v>0.0</v>
      </c>
      <c r="F28" s="23">
        <v>0.0</v>
      </c>
      <c r="G28" s="23">
        <v>0.0</v>
      </c>
      <c r="H28" s="23">
        <v>0.0</v>
      </c>
      <c r="I28" s="23">
        <v>0.0</v>
      </c>
      <c r="J28" s="23">
        <v>0.0</v>
      </c>
      <c r="K28" s="23">
        <v>0.0</v>
      </c>
      <c r="L28" s="23">
        <v>0.0</v>
      </c>
      <c r="M28" s="23">
        <v>0.0</v>
      </c>
      <c r="N28" s="23">
        <v>0.0</v>
      </c>
      <c r="O28" s="23">
        <v>0.0</v>
      </c>
      <c r="P28" s="23">
        <v>0.0</v>
      </c>
      <c r="Q28" s="23">
        <v>0.0</v>
      </c>
      <c r="R28" s="23">
        <v>0.0</v>
      </c>
      <c r="S28" s="23">
        <v>0.0</v>
      </c>
      <c r="T28" s="23">
        <v>0.0</v>
      </c>
      <c r="U28" s="23">
        <v>0.0</v>
      </c>
      <c r="V28" s="23">
        <v>0.0</v>
      </c>
      <c r="W28" s="23">
        <v>0.0</v>
      </c>
      <c r="X28" s="23">
        <v>0.0</v>
      </c>
      <c r="Y28" s="23">
        <v>0.0</v>
      </c>
    </row>
    <row r="29" ht="14.25" customHeight="1">
      <c r="A29" s="21" t="s">
        <v>139</v>
      </c>
      <c r="B29" s="22">
        <v>1.3</v>
      </c>
      <c r="C29" s="22" t="s">
        <v>140</v>
      </c>
      <c r="D29" s="23">
        <v>0.0</v>
      </c>
      <c r="E29" s="23">
        <v>0.0</v>
      </c>
      <c r="F29" s="23">
        <v>0.0</v>
      </c>
      <c r="G29" s="23">
        <v>0.0</v>
      </c>
      <c r="H29" s="23">
        <v>0.0</v>
      </c>
      <c r="I29" s="23">
        <v>0.0</v>
      </c>
      <c r="J29" s="23">
        <v>0.0</v>
      </c>
      <c r="K29" s="23">
        <v>0.0</v>
      </c>
      <c r="L29" s="23">
        <v>0.0</v>
      </c>
      <c r="M29" s="23">
        <v>0.0</v>
      </c>
      <c r="N29" s="23">
        <v>0.0</v>
      </c>
      <c r="O29" s="23">
        <v>0.0</v>
      </c>
      <c r="P29" s="23">
        <v>0.0</v>
      </c>
      <c r="Q29" s="23">
        <v>0.0</v>
      </c>
      <c r="R29" s="23">
        <v>0.0</v>
      </c>
      <c r="S29" s="23">
        <v>0.0</v>
      </c>
      <c r="T29" s="23">
        <v>0.0</v>
      </c>
      <c r="U29" s="23">
        <v>0.0</v>
      </c>
      <c r="V29" s="23">
        <v>0.0</v>
      </c>
      <c r="W29" s="23">
        <v>0.0</v>
      </c>
      <c r="X29" s="23">
        <v>0.0</v>
      </c>
      <c r="Y29" s="23">
        <v>0.0</v>
      </c>
    </row>
    <row r="30" ht="14.25" customHeight="1">
      <c r="A30" s="23" t="s">
        <v>141</v>
      </c>
      <c r="B30" s="22" t="s">
        <v>142</v>
      </c>
      <c r="C30" s="22">
        <v>1000.0</v>
      </c>
      <c r="D30" s="23">
        <v>0.0</v>
      </c>
      <c r="E30" s="23">
        <v>0.0</v>
      </c>
      <c r="F30" s="23">
        <v>0.0</v>
      </c>
      <c r="G30" s="23">
        <v>0.0</v>
      </c>
      <c r="H30" s="23">
        <v>0.0</v>
      </c>
      <c r="I30" s="23">
        <v>0.0</v>
      </c>
      <c r="J30" s="23">
        <v>0.0</v>
      </c>
      <c r="K30" s="23">
        <v>0.0</v>
      </c>
      <c r="L30" s="23">
        <v>0.0</v>
      </c>
      <c r="M30" s="23">
        <v>0.0</v>
      </c>
      <c r="N30" s="23">
        <v>0.0</v>
      </c>
      <c r="O30" s="23">
        <v>0.0</v>
      </c>
      <c r="P30" s="23">
        <v>0.0</v>
      </c>
      <c r="Q30" s="23">
        <v>0.0</v>
      </c>
      <c r="R30" s="23">
        <v>0.0</v>
      </c>
      <c r="S30" s="23">
        <v>0.0</v>
      </c>
      <c r="T30" s="23">
        <v>0.0</v>
      </c>
      <c r="U30" s="23">
        <v>0.0</v>
      </c>
      <c r="V30" s="23">
        <v>0.0</v>
      </c>
      <c r="W30" s="23">
        <v>0.0</v>
      </c>
      <c r="X30" s="23">
        <v>0.0</v>
      </c>
      <c r="Y30" s="23">
        <v>0.0</v>
      </c>
    </row>
    <row r="31" ht="14.25" customHeight="1">
      <c r="A31" s="21" t="s">
        <v>143</v>
      </c>
      <c r="B31" s="22" t="s">
        <v>144</v>
      </c>
      <c r="C31" s="22" t="s">
        <v>100</v>
      </c>
      <c r="D31" s="23">
        <v>0.0</v>
      </c>
      <c r="E31" s="23">
        <v>0.0</v>
      </c>
      <c r="F31" s="23">
        <v>0.0</v>
      </c>
      <c r="G31" s="23">
        <v>0.0</v>
      </c>
      <c r="H31" s="23">
        <v>0.0</v>
      </c>
      <c r="I31" s="23">
        <v>0.0</v>
      </c>
      <c r="J31" s="23">
        <v>0.0</v>
      </c>
      <c r="K31" s="23">
        <v>0.0</v>
      </c>
      <c r="L31" s="23">
        <v>0.0</v>
      </c>
      <c r="M31" s="23">
        <v>0.0</v>
      </c>
      <c r="N31" s="23">
        <v>0.0</v>
      </c>
      <c r="O31" s="23">
        <v>0.0</v>
      </c>
      <c r="P31" s="23">
        <v>0.0</v>
      </c>
      <c r="Q31" s="23">
        <v>0.0</v>
      </c>
      <c r="R31" s="23">
        <v>0.0</v>
      </c>
      <c r="S31" s="23">
        <v>0.0</v>
      </c>
      <c r="T31" s="23">
        <v>0.0</v>
      </c>
      <c r="U31" s="23">
        <v>0.0</v>
      </c>
      <c r="V31" s="23">
        <v>0.0</v>
      </c>
      <c r="W31" s="23">
        <v>0.0</v>
      </c>
      <c r="X31" s="23">
        <v>0.0</v>
      </c>
      <c r="Y31" s="23">
        <v>0.0</v>
      </c>
    </row>
    <row r="32" ht="14.25" customHeight="1">
      <c r="A32" s="21" t="s">
        <v>145</v>
      </c>
      <c r="B32" s="22">
        <v>900.0</v>
      </c>
      <c r="C32" s="22">
        <v>3000.0</v>
      </c>
      <c r="D32" s="23">
        <v>0.0</v>
      </c>
      <c r="E32" s="23">
        <v>0.0</v>
      </c>
      <c r="F32" s="23">
        <v>0.0</v>
      </c>
      <c r="G32" s="23">
        <v>0.0</v>
      </c>
      <c r="H32" s="23">
        <v>0.0</v>
      </c>
      <c r="I32" s="23">
        <v>0.0</v>
      </c>
      <c r="J32" s="23">
        <v>0.0</v>
      </c>
      <c r="K32" s="23">
        <v>0.0</v>
      </c>
      <c r="L32" s="23">
        <v>0.0</v>
      </c>
      <c r="M32" s="23">
        <v>0.0</v>
      </c>
      <c r="N32" s="23">
        <v>0.0</v>
      </c>
      <c r="O32" s="23">
        <v>0.0</v>
      </c>
      <c r="P32" s="23">
        <v>0.0</v>
      </c>
      <c r="Q32" s="23">
        <v>0.0</v>
      </c>
      <c r="R32" s="23">
        <v>0.0</v>
      </c>
      <c r="S32" s="23">
        <v>0.0</v>
      </c>
      <c r="T32" s="23">
        <v>0.0</v>
      </c>
      <c r="U32" s="23">
        <v>0.0</v>
      </c>
      <c r="V32" s="23">
        <v>0.0</v>
      </c>
      <c r="W32" s="23">
        <v>0.0</v>
      </c>
      <c r="X32" s="23">
        <v>0.0</v>
      </c>
      <c r="Y32" s="23">
        <v>0.0</v>
      </c>
    </row>
    <row r="33" ht="14.25" customHeight="1">
      <c r="A33" s="28" t="s">
        <v>146</v>
      </c>
      <c r="B33" s="29"/>
      <c r="C33" s="29"/>
      <c r="D33" s="28">
        <v>0.0</v>
      </c>
      <c r="E33" s="28">
        <v>0.0</v>
      </c>
      <c r="F33" s="28">
        <v>0.0</v>
      </c>
      <c r="G33" s="28">
        <v>0.0</v>
      </c>
      <c r="H33" s="28">
        <v>0.0</v>
      </c>
      <c r="I33" s="28">
        <v>0.0</v>
      </c>
      <c r="J33" s="28">
        <v>0.0</v>
      </c>
      <c r="K33" s="28">
        <v>0.0</v>
      </c>
      <c r="L33" s="28">
        <v>0.0</v>
      </c>
      <c r="M33" s="28">
        <v>0.0</v>
      </c>
      <c r="N33" s="28">
        <v>0.0</v>
      </c>
      <c r="O33" s="28">
        <v>0.0</v>
      </c>
      <c r="P33" s="28">
        <v>0.0</v>
      </c>
      <c r="Q33" s="28">
        <v>0.0</v>
      </c>
      <c r="R33" s="28">
        <v>0.0</v>
      </c>
      <c r="S33" s="28">
        <v>0.0</v>
      </c>
      <c r="T33" s="28">
        <v>0.0</v>
      </c>
      <c r="U33" s="28">
        <v>0.0</v>
      </c>
      <c r="V33" s="28">
        <v>0.0</v>
      </c>
      <c r="W33" s="28">
        <v>0.0</v>
      </c>
      <c r="X33" s="28">
        <v>0.0</v>
      </c>
      <c r="Y33" s="28">
        <v>0.0</v>
      </c>
      <c r="Z33" s="28"/>
    </row>
    <row r="34" ht="14.25" customHeight="1">
      <c r="A34" s="21" t="s">
        <v>147</v>
      </c>
      <c r="B34" s="22" t="s">
        <v>148</v>
      </c>
      <c r="C34" s="22">
        <v>1000.0</v>
      </c>
      <c r="D34" s="26">
        <v>41.08</v>
      </c>
      <c r="E34" s="24">
        <v>14.35</v>
      </c>
      <c r="F34" s="24">
        <v>14.3</v>
      </c>
      <c r="G34" s="24">
        <v>15.69</v>
      </c>
      <c r="H34" s="23">
        <v>0.0</v>
      </c>
      <c r="I34" s="24">
        <v>32.3</v>
      </c>
      <c r="J34" s="26">
        <v>149.4</v>
      </c>
      <c r="K34" s="23">
        <v>8.18</v>
      </c>
      <c r="L34" s="23">
        <v>1.4</v>
      </c>
      <c r="M34" s="23">
        <v>0.47</v>
      </c>
      <c r="N34" s="24">
        <v>17.46</v>
      </c>
      <c r="O34" s="23">
        <v>0.09</v>
      </c>
      <c r="P34" s="24">
        <v>15.94</v>
      </c>
      <c r="Q34" s="23">
        <v>3.81</v>
      </c>
      <c r="R34" s="23">
        <v>1.8</v>
      </c>
      <c r="S34" s="23">
        <v>0.0</v>
      </c>
      <c r="T34" s="50">
        <v>28.8</v>
      </c>
      <c r="U34" s="23">
        <v>4.0</v>
      </c>
      <c r="V34" s="23">
        <v>0.4</v>
      </c>
      <c r="W34" s="50">
        <v>39.2</v>
      </c>
      <c r="X34" s="50">
        <v>35.3</v>
      </c>
      <c r="Y34" s="24">
        <v>11.4</v>
      </c>
    </row>
    <row r="35" ht="14.25" customHeight="1">
      <c r="A35" s="21" t="s">
        <v>149</v>
      </c>
      <c r="B35" s="22" t="s">
        <v>150</v>
      </c>
      <c r="C35" s="22">
        <v>100.0</v>
      </c>
      <c r="D35" s="23">
        <v>0.0</v>
      </c>
      <c r="E35" s="23">
        <v>0.0</v>
      </c>
      <c r="F35" s="23">
        <v>0.0</v>
      </c>
      <c r="G35" s="23">
        <v>0.0</v>
      </c>
      <c r="H35" s="23">
        <v>0.0</v>
      </c>
      <c r="I35" s="23">
        <v>0.0</v>
      </c>
      <c r="J35" s="23">
        <v>0.0</v>
      </c>
      <c r="K35" s="23">
        <v>0.0</v>
      </c>
      <c r="L35" s="23">
        <v>0.0</v>
      </c>
      <c r="M35" s="23">
        <v>0.0</v>
      </c>
      <c r="N35" s="23">
        <v>0.0</v>
      </c>
      <c r="O35" s="23">
        <v>0.0</v>
      </c>
      <c r="P35" s="23">
        <v>0.0</v>
      </c>
      <c r="Q35" s="23">
        <v>0.0</v>
      </c>
      <c r="R35" s="23">
        <v>0.0</v>
      </c>
      <c r="S35" s="23">
        <v>0.0</v>
      </c>
      <c r="T35" s="23">
        <v>0.0</v>
      </c>
      <c r="U35" s="23">
        <v>0.0</v>
      </c>
      <c r="V35" s="23">
        <v>0.0</v>
      </c>
      <c r="W35" s="23">
        <v>0.0</v>
      </c>
      <c r="X35" s="23">
        <v>0.0</v>
      </c>
      <c r="Y35" s="23">
        <v>0.0</v>
      </c>
    </row>
    <row r="36" ht="14.25" customHeight="1">
      <c r="A36" s="28" t="s">
        <v>151</v>
      </c>
      <c r="B36" s="29"/>
      <c r="C36" s="29"/>
      <c r="D36" s="28">
        <v>0.0</v>
      </c>
      <c r="E36" s="28">
        <v>0.0</v>
      </c>
      <c r="F36" s="28">
        <v>0.0</v>
      </c>
      <c r="G36" s="28">
        <v>0.0</v>
      </c>
      <c r="H36" s="28">
        <v>0.0</v>
      </c>
      <c r="I36" s="28">
        <v>0.0</v>
      </c>
      <c r="J36" s="28">
        <v>0.0</v>
      </c>
      <c r="K36" s="28">
        <v>0.0</v>
      </c>
      <c r="L36" s="28">
        <v>0.0</v>
      </c>
      <c r="M36" s="28">
        <v>0.0</v>
      </c>
      <c r="N36" s="28">
        <v>0.0</v>
      </c>
      <c r="O36" s="28">
        <v>0.0</v>
      </c>
      <c r="P36" s="28">
        <v>0.0</v>
      </c>
      <c r="Q36" s="28">
        <v>0.0</v>
      </c>
      <c r="R36" s="28">
        <v>0.0</v>
      </c>
      <c r="S36" s="28">
        <v>0.0</v>
      </c>
      <c r="T36" s="28">
        <v>0.0</v>
      </c>
      <c r="U36" s="28">
        <v>0.0</v>
      </c>
      <c r="V36" s="28">
        <v>0.0</v>
      </c>
      <c r="W36" s="28">
        <v>0.0</v>
      </c>
      <c r="X36" s="28">
        <v>0.0</v>
      </c>
      <c r="Y36" s="28">
        <v>0.0</v>
      </c>
      <c r="Z36" s="28"/>
    </row>
    <row r="37" ht="14.25" customHeight="1">
      <c r="A37" s="21" t="s">
        <v>152</v>
      </c>
      <c r="B37" s="22">
        <v>120.0</v>
      </c>
      <c r="C37" s="22" t="s">
        <v>100</v>
      </c>
      <c r="D37" s="23">
        <v>5.4</v>
      </c>
      <c r="E37" s="25">
        <v>60.2</v>
      </c>
      <c r="F37" s="23">
        <v>1.9</v>
      </c>
      <c r="G37" s="23">
        <v>0.7</v>
      </c>
      <c r="H37" s="23">
        <v>0.0</v>
      </c>
      <c r="I37" s="24">
        <v>24.7</v>
      </c>
      <c r="J37" s="24">
        <v>24.7</v>
      </c>
      <c r="K37" s="26">
        <v>183.9</v>
      </c>
      <c r="L37" s="23">
        <v>13.6</v>
      </c>
      <c r="M37" s="23">
        <v>9.3</v>
      </c>
      <c r="N37" s="25">
        <v>71.3</v>
      </c>
      <c r="O37" s="23">
        <v>0.5</v>
      </c>
      <c r="P37" s="23">
        <v>8.0</v>
      </c>
      <c r="Q37" s="24">
        <v>24.7</v>
      </c>
      <c r="R37" s="24">
        <v>24.7</v>
      </c>
      <c r="S37" s="23">
        <v>0.0</v>
      </c>
      <c r="V37" s="23">
        <v>15.0</v>
      </c>
      <c r="W37" s="23">
        <v>7.0</v>
      </c>
      <c r="X37" s="24">
        <v>24.7</v>
      </c>
    </row>
    <row r="38" ht="14.25" customHeight="1">
      <c r="A38" s="21" t="s">
        <v>153</v>
      </c>
      <c r="B38" s="22" t="s">
        <v>154</v>
      </c>
      <c r="C38" s="22" t="s">
        <v>100</v>
      </c>
      <c r="D38" s="23">
        <v>0.0</v>
      </c>
      <c r="E38" s="23">
        <v>0.0</v>
      </c>
      <c r="F38" s="23">
        <v>0.0</v>
      </c>
      <c r="G38" s="23">
        <v>0.0</v>
      </c>
      <c r="H38" s="23">
        <v>0.0</v>
      </c>
      <c r="I38" s="23">
        <v>0.0</v>
      </c>
      <c r="J38" s="23">
        <v>0.0</v>
      </c>
      <c r="K38" s="23">
        <v>0.0</v>
      </c>
      <c r="L38" s="23">
        <v>0.0</v>
      </c>
      <c r="M38" s="23">
        <v>0.0</v>
      </c>
      <c r="N38" s="23">
        <v>0.0</v>
      </c>
      <c r="O38" s="23">
        <v>0.0</v>
      </c>
      <c r="P38" s="23">
        <v>0.0</v>
      </c>
      <c r="Q38" s="23">
        <v>0.0</v>
      </c>
      <c r="R38" s="23">
        <v>0.0</v>
      </c>
      <c r="S38" s="23">
        <v>0.0</v>
      </c>
      <c r="T38" s="23">
        <v>0.0</v>
      </c>
      <c r="U38" s="23">
        <v>0.0</v>
      </c>
      <c r="V38" s="23">
        <v>0.0</v>
      </c>
      <c r="W38" s="23">
        <v>0.0</v>
      </c>
      <c r="X38" s="23">
        <v>0.0</v>
      </c>
      <c r="Y38" s="23">
        <v>0.0</v>
      </c>
    </row>
    <row r="39" ht="14.25" customHeight="1">
      <c r="A39" s="21" t="s">
        <v>155</v>
      </c>
      <c r="B39" s="22" t="s">
        <v>156</v>
      </c>
      <c r="C39" s="22">
        <v>3500.0</v>
      </c>
      <c r="D39" s="23">
        <v>0.2</v>
      </c>
      <c r="E39" s="23">
        <v>0.3</v>
      </c>
      <c r="F39" s="23">
        <v>0.2</v>
      </c>
      <c r="G39" s="23">
        <v>0.1</v>
      </c>
      <c r="J39" s="24">
        <v>20.0</v>
      </c>
      <c r="K39" s="23">
        <v>0.2</v>
      </c>
      <c r="L39" s="23">
        <v>0.2</v>
      </c>
      <c r="N39" s="23">
        <v>0.2</v>
      </c>
      <c r="O39" s="23">
        <v>0.3</v>
      </c>
      <c r="P39" s="23">
        <v>0.3</v>
      </c>
      <c r="Q39" s="23">
        <v>0.2</v>
      </c>
      <c r="R39" s="23">
        <v>0.3</v>
      </c>
      <c r="V39" s="23">
        <v>0.4</v>
      </c>
      <c r="W39" s="23">
        <v>0.4</v>
      </c>
      <c r="X39" s="23">
        <v>0.2</v>
      </c>
    </row>
    <row r="40" ht="14.25" customHeight="1">
      <c r="A40" s="21" t="s">
        <v>157</v>
      </c>
      <c r="B40" s="22"/>
      <c r="C40" s="22"/>
      <c r="E40" s="23">
        <v>0.1</v>
      </c>
    </row>
    <row r="41" ht="14.25" customHeight="1">
      <c r="A41" s="19" t="s">
        <v>158</v>
      </c>
      <c r="B41" s="27"/>
      <c r="C41" s="27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</row>
    <row r="42" ht="14.25" customHeight="1">
      <c r="A42" s="21" t="s">
        <v>159</v>
      </c>
      <c r="B42" s="22" t="s">
        <v>160</v>
      </c>
      <c r="C42" s="22" t="s">
        <v>161</v>
      </c>
      <c r="D42" s="23">
        <v>9.009</v>
      </c>
      <c r="E42" s="23">
        <v>13.808</v>
      </c>
      <c r="F42" s="23">
        <v>12.948</v>
      </c>
      <c r="G42" s="23">
        <v>16.9</v>
      </c>
      <c r="H42" s="23">
        <v>11.582</v>
      </c>
      <c r="I42" s="23">
        <v>19.7</v>
      </c>
      <c r="J42" s="23">
        <v>18.8</v>
      </c>
      <c r="K42" s="23">
        <v>15.65</v>
      </c>
      <c r="L42" s="23">
        <v>14.2</v>
      </c>
      <c r="M42" s="23">
        <v>8.976</v>
      </c>
      <c r="N42" s="23">
        <v>7.365</v>
      </c>
      <c r="O42" s="23">
        <v>86.5</v>
      </c>
      <c r="P42" s="23">
        <v>49.3</v>
      </c>
      <c r="Q42" s="23">
        <v>81.5</v>
      </c>
      <c r="R42" s="23">
        <v>59.7</v>
      </c>
      <c r="S42" s="23">
        <v>11.56</v>
      </c>
      <c r="T42" s="23">
        <v>9.6</v>
      </c>
      <c r="U42" s="23">
        <v>6.3</v>
      </c>
      <c r="V42" s="23">
        <v>9.1</v>
      </c>
      <c r="W42" s="23">
        <v>8.2</v>
      </c>
      <c r="X42" s="23">
        <v>25.9</v>
      </c>
      <c r="Y42" s="23">
        <v>13.5</v>
      </c>
    </row>
    <row r="43" ht="14.25" customHeight="1">
      <c r="A43" s="21" t="s">
        <v>162</v>
      </c>
      <c r="B43" s="22"/>
      <c r="C43" s="22"/>
      <c r="D43" s="23">
        <v>57.334</v>
      </c>
      <c r="E43" s="23">
        <v>72.961</v>
      </c>
      <c r="F43" s="23">
        <v>27.576</v>
      </c>
      <c r="G43" s="23">
        <v>46.2</v>
      </c>
      <c r="H43" s="23">
        <v>59.187</v>
      </c>
      <c r="I43" s="23">
        <v>39.3</v>
      </c>
      <c r="J43" s="23">
        <v>15.1</v>
      </c>
      <c r="K43" s="23">
        <v>22.783</v>
      </c>
      <c r="L43" s="23">
        <v>39.7</v>
      </c>
      <c r="M43" s="23">
        <v>18.438</v>
      </c>
      <c r="N43" s="23">
        <v>63.276</v>
      </c>
      <c r="O43" s="23">
        <v>5.8</v>
      </c>
      <c r="P43" s="23">
        <v>37.0</v>
      </c>
      <c r="Q43" s="23">
        <v>11.4</v>
      </c>
      <c r="R43" s="23">
        <v>32.9</v>
      </c>
      <c r="S43" s="23">
        <v>70.554</v>
      </c>
      <c r="T43" s="23">
        <v>16.1</v>
      </c>
      <c r="U43" s="23">
        <v>60.0</v>
      </c>
      <c r="V43" s="23">
        <v>22.8</v>
      </c>
      <c r="W43" s="23">
        <v>69.9</v>
      </c>
      <c r="X43" s="23">
        <v>17.8</v>
      </c>
      <c r="Y43" s="23">
        <v>19.7</v>
      </c>
    </row>
    <row r="44" ht="14.25" customHeight="1">
      <c r="A44" s="21" t="s">
        <v>163</v>
      </c>
      <c r="B44" s="22"/>
      <c r="C44" s="22"/>
      <c r="D44" s="23">
        <v>28.962</v>
      </c>
      <c r="E44" s="23">
        <v>10.523</v>
      </c>
      <c r="F44" s="23">
        <v>54.677</v>
      </c>
      <c r="G44" s="23">
        <v>32.0</v>
      </c>
      <c r="H44" s="23">
        <v>21.23</v>
      </c>
      <c r="I44" s="23">
        <v>35.0</v>
      </c>
      <c r="J44" s="23">
        <v>61.7</v>
      </c>
      <c r="K44" s="23">
        <v>57.74</v>
      </c>
      <c r="L44" s="23">
        <v>41.7</v>
      </c>
      <c r="M44" s="23">
        <v>67.849</v>
      </c>
      <c r="N44" s="23">
        <v>28.142</v>
      </c>
      <c r="O44" s="23">
        <v>1.8</v>
      </c>
      <c r="P44" s="23">
        <v>9.3</v>
      </c>
      <c r="Q44" s="23">
        <v>1.6</v>
      </c>
      <c r="R44" s="23">
        <v>3.0</v>
      </c>
      <c r="S44" s="23">
        <v>13.486</v>
      </c>
      <c r="T44" s="23">
        <v>69.9</v>
      </c>
      <c r="U44" s="23">
        <v>29.3</v>
      </c>
      <c r="V44" s="23">
        <v>63.3</v>
      </c>
      <c r="W44" s="23">
        <v>17.4</v>
      </c>
      <c r="X44" s="23">
        <v>51.9</v>
      </c>
      <c r="Y44" s="23">
        <v>62.4</v>
      </c>
    </row>
    <row r="45" ht="14.25" customHeight="1">
      <c r="A45" s="21" t="s">
        <v>164</v>
      </c>
      <c r="B45" s="22" t="s">
        <v>160</v>
      </c>
      <c r="C45" s="22" t="s">
        <v>165</v>
      </c>
      <c r="D45" s="23">
        <v>0.0</v>
      </c>
      <c r="E45" s="23">
        <v>0.0</v>
      </c>
      <c r="F45" s="23">
        <v>0.0</v>
      </c>
      <c r="G45" s="23">
        <v>0.0</v>
      </c>
      <c r="H45" s="23">
        <v>0.0</v>
      </c>
      <c r="I45" s="23">
        <v>0.0</v>
      </c>
      <c r="J45" s="23">
        <v>0.0</v>
      </c>
      <c r="K45" s="23">
        <v>0.0</v>
      </c>
      <c r="L45" s="23">
        <v>0.0</v>
      </c>
      <c r="M45" s="23">
        <v>0.0</v>
      </c>
      <c r="N45" s="23">
        <v>0.0</v>
      </c>
      <c r="O45" s="23">
        <v>0.0</v>
      </c>
      <c r="P45" s="23">
        <v>0.0</v>
      </c>
      <c r="Q45" s="23">
        <v>0.0</v>
      </c>
      <c r="R45" s="23">
        <v>0.0</v>
      </c>
      <c r="S45" s="23">
        <v>0.0</v>
      </c>
      <c r="T45" s="23">
        <v>0.0</v>
      </c>
      <c r="U45" s="23">
        <v>0.0</v>
      </c>
      <c r="V45" s="23">
        <v>0.0</v>
      </c>
      <c r="W45" s="23">
        <v>0.0</v>
      </c>
      <c r="X45" s="23">
        <v>0.0</v>
      </c>
      <c r="Y45" s="23">
        <v>0.0</v>
      </c>
    </row>
    <row r="46" ht="14.25" customHeight="1">
      <c r="A46" s="19" t="s">
        <v>166</v>
      </c>
      <c r="B46" s="30" t="s">
        <v>167</v>
      </c>
      <c r="C46" s="27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</row>
    <row r="47" ht="14.25" customHeight="1">
      <c r="A47" s="31" t="s">
        <v>168</v>
      </c>
      <c r="B47" s="32" t="s">
        <v>169</v>
      </c>
      <c r="C47" s="32"/>
      <c r="D47" s="23">
        <v>0.0</v>
      </c>
      <c r="E47" s="23">
        <v>0.0</v>
      </c>
      <c r="F47" s="23">
        <v>0.0</v>
      </c>
      <c r="G47" s="23">
        <v>0.0</v>
      </c>
      <c r="H47" s="23">
        <v>0.0</v>
      </c>
      <c r="I47" s="23">
        <v>0.0</v>
      </c>
      <c r="J47" s="23">
        <v>0.0</v>
      </c>
      <c r="K47" s="23">
        <v>0.0</v>
      </c>
      <c r="L47" s="23">
        <v>0.0</v>
      </c>
      <c r="M47" s="23">
        <v>0.0</v>
      </c>
      <c r="N47" s="23">
        <v>0.0</v>
      </c>
      <c r="O47" s="23">
        <v>0.0</v>
      </c>
      <c r="P47" s="23">
        <v>0.0</v>
      </c>
      <c r="Q47" s="23">
        <v>0.0</v>
      </c>
      <c r="R47" s="23">
        <v>0.0</v>
      </c>
      <c r="S47" s="23">
        <v>0.0</v>
      </c>
      <c r="T47" s="23">
        <v>0.0</v>
      </c>
      <c r="U47" s="23">
        <v>0.0</v>
      </c>
      <c r="V47" s="23">
        <v>0.0</v>
      </c>
      <c r="W47" s="23">
        <v>0.0</v>
      </c>
      <c r="X47" s="23">
        <v>0.0</v>
      </c>
      <c r="Y47" s="23">
        <v>0.0</v>
      </c>
    </row>
    <row r="48" ht="14.25" customHeight="1">
      <c r="A48" s="31" t="s">
        <v>170</v>
      </c>
      <c r="B48" s="32" t="s">
        <v>171</v>
      </c>
      <c r="C48" s="32"/>
      <c r="D48" s="23">
        <v>0.0</v>
      </c>
      <c r="E48" s="23">
        <v>0.0</v>
      </c>
      <c r="F48" s="23">
        <v>0.0</v>
      </c>
      <c r="G48" s="23">
        <v>0.0</v>
      </c>
      <c r="H48" s="23">
        <v>0.0</v>
      </c>
      <c r="I48" s="23">
        <v>0.0</v>
      </c>
      <c r="J48" s="23">
        <v>0.0</v>
      </c>
      <c r="K48" s="23">
        <v>0.0</v>
      </c>
      <c r="L48" s="23">
        <v>0.0</v>
      </c>
      <c r="M48" s="23">
        <v>0.0</v>
      </c>
      <c r="N48" s="23">
        <v>0.0</v>
      </c>
      <c r="O48" s="23">
        <v>0.0</v>
      </c>
      <c r="P48" s="23">
        <v>0.0</v>
      </c>
      <c r="Q48" s="23">
        <v>0.0</v>
      </c>
      <c r="R48" s="23">
        <v>0.0</v>
      </c>
      <c r="S48" s="23">
        <v>0.0</v>
      </c>
      <c r="T48" s="23">
        <v>0.0</v>
      </c>
      <c r="U48" s="23">
        <v>0.0</v>
      </c>
      <c r="V48" s="23">
        <v>0.0</v>
      </c>
      <c r="W48" s="23">
        <v>0.0</v>
      </c>
      <c r="X48" s="23">
        <v>0.0</v>
      </c>
      <c r="Y48" s="23">
        <v>0.0</v>
      </c>
    </row>
    <row r="49" ht="14.25" customHeight="1">
      <c r="A49" s="31" t="s">
        <v>172</v>
      </c>
      <c r="B49" s="32" t="s">
        <v>173</v>
      </c>
      <c r="C49" s="32"/>
      <c r="D49" s="23">
        <v>0.0</v>
      </c>
      <c r="E49" s="23">
        <v>0.0</v>
      </c>
      <c r="F49" s="23">
        <v>0.0</v>
      </c>
      <c r="G49" s="23">
        <v>0.0</v>
      </c>
      <c r="H49" s="23">
        <v>0.0</v>
      </c>
      <c r="I49" s="23">
        <v>0.0</v>
      </c>
      <c r="J49" s="23">
        <v>0.0</v>
      </c>
      <c r="K49" s="23">
        <v>0.0</v>
      </c>
      <c r="L49" s="23">
        <v>0.0</v>
      </c>
      <c r="M49" s="23">
        <v>0.0</v>
      </c>
      <c r="N49" s="23">
        <v>0.0</v>
      </c>
      <c r="O49" s="23">
        <v>0.0</v>
      </c>
      <c r="P49" s="23">
        <v>0.0</v>
      </c>
      <c r="Q49" s="23">
        <v>0.0</v>
      </c>
      <c r="R49" s="23">
        <v>0.0</v>
      </c>
      <c r="S49" s="23">
        <v>0.0</v>
      </c>
      <c r="T49" s="23">
        <v>0.0</v>
      </c>
      <c r="U49" s="23">
        <v>0.0</v>
      </c>
      <c r="V49" s="23">
        <v>0.0</v>
      </c>
      <c r="W49" s="23">
        <v>0.0</v>
      </c>
      <c r="X49" s="23">
        <v>0.0</v>
      </c>
      <c r="Y49" s="23">
        <v>0.0</v>
      </c>
    </row>
    <row r="50" ht="14.25" customHeight="1">
      <c r="A50" s="31" t="s">
        <v>174</v>
      </c>
      <c r="B50" s="32" t="s">
        <v>175</v>
      </c>
      <c r="C50" s="32"/>
      <c r="D50" s="23">
        <v>0.0</v>
      </c>
      <c r="E50" s="23">
        <v>0.0</v>
      </c>
      <c r="F50" s="23">
        <v>0.0</v>
      </c>
      <c r="G50" s="23">
        <v>0.0</v>
      </c>
      <c r="H50" s="23">
        <v>0.0</v>
      </c>
      <c r="I50" s="23">
        <v>0.0</v>
      </c>
      <c r="J50" s="23">
        <v>0.0</v>
      </c>
      <c r="K50" s="23">
        <v>0.0</v>
      </c>
      <c r="L50" s="23">
        <v>0.0</v>
      </c>
      <c r="M50" s="23">
        <v>0.0</v>
      </c>
      <c r="N50" s="23">
        <v>0.0</v>
      </c>
      <c r="O50" s="23">
        <v>0.0</v>
      </c>
      <c r="P50" s="23">
        <v>0.0</v>
      </c>
      <c r="Q50" s="23">
        <v>0.0</v>
      </c>
      <c r="R50" s="23">
        <v>0.0</v>
      </c>
      <c r="S50" s="23">
        <v>0.0</v>
      </c>
      <c r="T50" s="23">
        <v>0.0</v>
      </c>
      <c r="U50" s="23">
        <v>0.0</v>
      </c>
      <c r="V50" s="23">
        <v>0.0</v>
      </c>
      <c r="W50" s="23">
        <v>0.0</v>
      </c>
      <c r="X50" s="23">
        <v>0.0</v>
      </c>
      <c r="Y50" s="23">
        <v>0.0</v>
      </c>
    </row>
    <row r="51" ht="14.25" customHeight="1">
      <c r="A51" s="31" t="s">
        <v>176</v>
      </c>
      <c r="B51" s="32" t="s">
        <v>177</v>
      </c>
      <c r="C51" s="32"/>
      <c r="D51" s="23">
        <v>0.0</v>
      </c>
      <c r="E51" s="23">
        <v>0.0</v>
      </c>
      <c r="F51" s="23">
        <v>0.0</v>
      </c>
      <c r="G51" s="23">
        <v>0.0</v>
      </c>
      <c r="H51" s="23">
        <v>0.0</v>
      </c>
      <c r="I51" s="23">
        <v>0.0</v>
      </c>
      <c r="J51" s="23">
        <v>0.0</v>
      </c>
      <c r="K51" s="23">
        <v>0.0</v>
      </c>
      <c r="L51" s="23">
        <v>0.0</v>
      </c>
      <c r="M51" s="23">
        <v>0.0</v>
      </c>
      <c r="N51" s="23">
        <v>0.0</v>
      </c>
      <c r="O51" s="23">
        <v>0.0</v>
      </c>
      <c r="P51" s="23">
        <v>0.0</v>
      </c>
      <c r="Q51" s="23">
        <v>0.0</v>
      </c>
      <c r="R51" s="23">
        <v>0.0</v>
      </c>
      <c r="S51" s="23">
        <v>0.0</v>
      </c>
      <c r="T51" s="23">
        <v>0.0</v>
      </c>
      <c r="U51" s="23">
        <v>0.0</v>
      </c>
      <c r="V51" s="23">
        <v>0.0</v>
      </c>
      <c r="W51" s="23">
        <v>0.0</v>
      </c>
      <c r="X51" s="23">
        <v>0.0</v>
      </c>
      <c r="Y51" s="23">
        <v>0.0</v>
      </c>
    </row>
    <row r="52" ht="14.25" customHeight="1">
      <c r="A52" s="31" t="s">
        <v>178</v>
      </c>
      <c r="B52" s="32" t="s">
        <v>179</v>
      </c>
      <c r="C52" s="32"/>
      <c r="D52" s="23">
        <v>0.0</v>
      </c>
      <c r="E52" s="23">
        <v>0.0</v>
      </c>
      <c r="F52" s="23">
        <v>0.0</v>
      </c>
      <c r="G52" s="23">
        <v>0.0</v>
      </c>
      <c r="H52" s="23">
        <v>0.0</v>
      </c>
      <c r="I52" s="23">
        <v>0.0</v>
      </c>
      <c r="J52" s="23">
        <v>0.0</v>
      </c>
      <c r="K52" s="23">
        <v>0.0</v>
      </c>
      <c r="L52" s="23">
        <v>0.0</v>
      </c>
      <c r="M52" s="23">
        <v>0.0</v>
      </c>
      <c r="N52" s="23">
        <v>0.0</v>
      </c>
      <c r="O52" s="23">
        <v>0.0</v>
      </c>
      <c r="P52" s="23">
        <v>0.0</v>
      </c>
      <c r="Q52" s="23">
        <v>0.0</v>
      </c>
      <c r="R52" s="23">
        <v>0.0</v>
      </c>
      <c r="S52" s="23">
        <v>0.0</v>
      </c>
      <c r="T52" s="23">
        <v>0.0</v>
      </c>
      <c r="U52" s="23">
        <v>0.0</v>
      </c>
      <c r="V52" s="23">
        <v>0.0</v>
      </c>
      <c r="W52" s="23">
        <v>0.0</v>
      </c>
      <c r="X52" s="23">
        <v>0.0</v>
      </c>
      <c r="Y52" s="23">
        <v>0.0</v>
      </c>
    </row>
    <row r="53" ht="14.25" customHeight="1">
      <c r="A53" s="21" t="s">
        <v>180</v>
      </c>
      <c r="B53" s="22" t="s">
        <v>181</v>
      </c>
      <c r="C53" s="22"/>
      <c r="D53" s="23">
        <v>0.0</v>
      </c>
      <c r="E53" s="23">
        <v>0.0</v>
      </c>
      <c r="F53" s="23">
        <v>0.0</v>
      </c>
      <c r="G53" s="23">
        <v>0.0</v>
      </c>
      <c r="H53" s="23">
        <v>0.0</v>
      </c>
      <c r="I53" s="23">
        <v>0.0</v>
      </c>
      <c r="J53" s="23">
        <v>0.0</v>
      </c>
      <c r="K53" s="23">
        <v>0.0</v>
      </c>
      <c r="L53" s="23">
        <v>0.0</v>
      </c>
      <c r="M53" s="23">
        <v>0.0</v>
      </c>
      <c r="N53" s="23">
        <v>0.0</v>
      </c>
      <c r="O53" s="23">
        <v>0.0</v>
      </c>
      <c r="P53" s="23">
        <v>0.0</v>
      </c>
      <c r="Q53" s="23">
        <v>0.0</v>
      </c>
      <c r="R53" s="23">
        <v>0.0</v>
      </c>
      <c r="S53" s="23">
        <v>0.0</v>
      </c>
      <c r="T53" s="23">
        <v>0.0</v>
      </c>
      <c r="U53" s="23">
        <v>0.0</v>
      </c>
      <c r="V53" s="23">
        <v>0.0</v>
      </c>
      <c r="W53" s="23">
        <v>0.0</v>
      </c>
      <c r="X53" s="23">
        <v>0.0</v>
      </c>
      <c r="Y53" s="23">
        <v>0.0</v>
      </c>
    </row>
    <row r="54" ht="14.25" customHeight="1">
      <c r="A54" s="31" t="s">
        <v>182</v>
      </c>
      <c r="B54" s="33" t="s">
        <v>183</v>
      </c>
      <c r="C54" s="32"/>
      <c r="D54" s="23">
        <v>0.0</v>
      </c>
      <c r="E54" s="23">
        <v>0.0</v>
      </c>
      <c r="F54" s="23">
        <v>0.0</v>
      </c>
      <c r="G54" s="23">
        <v>0.0</v>
      </c>
      <c r="H54" s="23">
        <v>0.0</v>
      </c>
      <c r="I54" s="23">
        <v>0.0</v>
      </c>
      <c r="J54" s="23">
        <v>0.0</v>
      </c>
      <c r="K54" s="23">
        <v>0.0</v>
      </c>
      <c r="L54" s="23">
        <v>0.0</v>
      </c>
      <c r="M54" s="23">
        <v>0.0</v>
      </c>
      <c r="N54" s="23">
        <v>0.0</v>
      </c>
      <c r="O54" s="23">
        <v>0.0</v>
      </c>
      <c r="P54" s="23">
        <v>0.0</v>
      </c>
      <c r="Q54" s="23">
        <v>0.0</v>
      </c>
      <c r="R54" s="23">
        <v>0.0</v>
      </c>
      <c r="S54" s="23">
        <v>0.0</v>
      </c>
      <c r="T54" s="23">
        <v>0.0</v>
      </c>
      <c r="U54" s="23">
        <v>0.0</v>
      </c>
      <c r="V54" s="23">
        <v>0.0</v>
      </c>
      <c r="W54" s="23">
        <v>0.0</v>
      </c>
      <c r="X54" s="23">
        <v>0.0</v>
      </c>
      <c r="Y54" s="23">
        <v>0.0</v>
      </c>
    </row>
    <row r="55" ht="14.25" customHeight="1">
      <c r="A55" s="21" t="s">
        <v>184</v>
      </c>
      <c r="C55" s="22"/>
      <c r="D55" s="23">
        <v>0.0</v>
      </c>
      <c r="E55" s="23">
        <v>0.0</v>
      </c>
      <c r="F55" s="23">
        <v>0.0</v>
      </c>
      <c r="G55" s="23">
        <v>0.0</v>
      </c>
      <c r="H55" s="23">
        <v>0.0</v>
      </c>
      <c r="I55" s="23">
        <v>0.0</v>
      </c>
      <c r="J55" s="23">
        <v>0.0</v>
      </c>
      <c r="K55" s="23">
        <v>0.0</v>
      </c>
      <c r="L55" s="23">
        <v>0.0</v>
      </c>
      <c r="M55" s="23">
        <v>0.0</v>
      </c>
      <c r="N55" s="23">
        <v>0.0</v>
      </c>
      <c r="O55" s="23">
        <v>0.0</v>
      </c>
      <c r="P55" s="23">
        <v>0.0</v>
      </c>
      <c r="Q55" s="23">
        <v>0.0</v>
      </c>
      <c r="R55" s="23">
        <v>0.0</v>
      </c>
      <c r="S55" s="23">
        <v>0.0</v>
      </c>
      <c r="T55" s="23">
        <v>0.0</v>
      </c>
      <c r="U55" s="23">
        <v>0.0</v>
      </c>
      <c r="V55" s="23">
        <v>0.0</v>
      </c>
      <c r="W55" s="23">
        <v>0.0</v>
      </c>
      <c r="X55" s="23">
        <v>0.0</v>
      </c>
      <c r="Y55" s="23">
        <v>0.0</v>
      </c>
    </row>
    <row r="56" ht="14.25" customHeight="1">
      <c r="A56" s="31" t="s">
        <v>185</v>
      </c>
      <c r="B56" s="32" t="s">
        <v>186</v>
      </c>
      <c r="C56" s="32"/>
      <c r="D56" s="23">
        <v>0.0</v>
      </c>
      <c r="E56" s="23">
        <v>0.0</v>
      </c>
      <c r="F56" s="23">
        <v>0.0</v>
      </c>
      <c r="G56" s="23">
        <v>0.0</v>
      </c>
      <c r="H56" s="23">
        <v>0.0</v>
      </c>
      <c r="I56" s="23">
        <v>0.0</v>
      </c>
      <c r="J56" s="23">
        <v>0.0</v>
      </c>
      <c r="K56" s="23">
        <v>0.0</v>
      </c>
      <c r="L56" s="23">
        <v>0.0</v>
      </c>
      <c r="M56" s="23">
        <v>0.0</v>
      </c>
      <c r="N56" s="23">
        <v>0.0</v>
      </c>
      <c r="O56" s="23">
        <v>0.0</v>
      </c>
      <c r="P56" s="23">
        <v>0.0</v>
      </c>
      <c r="Q56" s="23">
        <v>0.0</v>
      </c>
      <c r="R56" s="23">
        <v>0.0</v>
      </c>
      <c r="S56" s="23">
        <v>0.0</v>
      </c>
      <c r="T56" s="23">
        <v>0.0</v>
      </c>
      <c r="U56" s="23">
        <v>0.0</v>
      </c>
      <c r="V56" s="23">
        <v>0.0</v>
      </c>
      <c r="W56" s="23">
        <v>0.0</v>
      </c>
      <c r="X56" s="23">
        <v>0.0</v>
      </c>
      <c r="Y56" s="23">
        <v>0.0</v>
      </c>
    </row>
    <row r="57" ht="14.25" customHeight="1">
      <c r="A57" s="34" t="s">
        <v>187</v>
      </c>
      <c r="B57" s="35"/>
      <c r="C57" s="35"/>
      <c r="D57" s="23">
        <v>0.0</v>
      </c>
      <c r="E57" s="23">
        <v>0.0</v>
      </c>
      <c r="F57" s="23">
        <v>0.0</v>
      </c>
      <c r="G57" s="23">
        <v>0.0</v>
      </c>
      <c r="H57" s="23">
        <v>0.0</v>
      </c>
      <c r="I57" s="23">
        <v>0.0</v>
      </c>
      <c r="J57" s="23">
        <v>0.0</v>
      </c>
      <c r="K57" s="23">
        <v>0.0</v>
      </c>
      <c r="L57" s="23">
        <v>0.0</v>
      </c>
      <c r="M57" s="23">
        <v>0.0</v>
      </c>
      <c r="N57" s="23">
        <v>0.0</v>
      </c>
      <c r="O57" s="23">
        <v>0.0</v>
      </c>
      <c r="P57" s="23">
        <v>0.0</v>
      </c>
      <c r="Q57" s="23">
        <v>0.0</v>
      </c>
      <c r="R57" s="23">
        <v>0.0</v>
      </c>
      <c r="S57" s="23">
        <v>0.0</v>
      </c>
      <c r="T57" s="23">
        <v>0.0</v>
      </c>
      <c r="U57" s="23">
        <v>0.0</v>
      </c>
      <c r="V57" s="23">
        <v>0.0</v>
      </c>
      <c r="W57" s="23">
        <v>0.0</v>
      </c>
      <c r="X57" s="23">
        <v>0.0</v>
      </c>
      <c r="Y57" s="23">
        <v>0.0</v>
      </c>
    </row>
    <row r="58" ht="14.25" customHeight="1">
      <c r="A58" s="34" t="s">
        <v>188</v>
      </c>
      <c r="B58" s="35" t="s">
        <v>189</v>
      </c>
      <c r="C58" s="35"/>
      <c r="D58" s="23">
        <v>0.0</v>
      </c>
      <c r="E58" s="23">
        <v>0.0</v>
      </c>
      <c r="F58" s="23">
        <v>0.0</v>
      </c>
      <c r="G58" s="23">
        <v>0.0</v>
      </c>
      <c r="H58" s="23">
        <v>0.0</v>
      </c>
      <c r="I58" s="23">
        <v>0.0</v>
      </c>
      <c r="J58" s="23">
        <v>0.0</v>
      </c>
      <c r="K58" s="23">
        <v>0.0</v>
      </c>
      <c r="L58" s="23">
        <v>0.0</v>
      </c>
      <c r="M58" s="23">
        <v>0.0</v>
      </c>
      <c r="N58" s="23">
        <v>0.0</v>
      </c>
      <c r="O58" s="23">
        <v>0.0</v>
      </c>
      <c r="P58" s="23">
        <v>0.0</v>
      </c>
      <c r="Q58" s="23">
        <v>0.0</v>
      </c>
      <c r="R58" s="23">
        <v>0.0</v>
      </c>
      <c r="S58" s="23">
        <v>0.0</v>
      </c>
      <c r="T58" s="23">
        <v>0.0</v>
      </c>
      <c r="U58" s="23">
        <v>0.0</v>
      </c>
      <c r="V58" s="23">
        <v>0.0</v>
      </c>
      <c r="W58" s="23">
        <v>0.0</v>
      </c>
      <c r="X58" s="23">
        <v>0.0</v>
      </c>
      <c r="Y58" s="23">
        <v>0.0</v>
      </c>
    </row>
    <row r="59" ht="14.25" customHeight="1">
      <c r="A59" s="21" t="s">
        <v>190</v>
      </c>
      <c r="B59" s="22"/>
      <c r="C59" s="22"/>
      <c r="D59" s="23">
        <v>0.0</v>
      </c>
      <c r="E59" s="23">
        <v>0.0</v>
      </c>
      <c r="F59" s="23">
        <v>0.0</v>
      </c>
      <c r="G59" s="23">
        <v>0.0</v>
      </c>
      <c r="H59" s="23">
        <v>0.0</v>
      </c>
      <c r="I59" s="23">
        <v>0.0</v>
      </c>
      <c r="J59" s="23">
        <v>0.0</v>
      </c>
      <c r="K59" s="23">
        <v>0.0</v>
      </c>
      <c r="L59" s="23">
        <v>0.0</v>
      </c>
      <c r="M59" s="23">
        <v>0.0</v>
      </c>
      <c r="N59" s="23">
        <v>0.0</v>
      </c>
      <c r="O59" s="23">
        <v>0.0</v>
      </c>
      <c r="P59" s="23">
        <v>0.0</v>
      </c>
      <c r="Q59" s="23">
        <v>0.0</v>
      </c>
      <c r="R59" s="23">
        <v>0.0</v>
      </c>
      <c r="S59" s="23">
        <v>0.0</v>
      </c>
      <c r="T59" s="23">
        <v>0.0</v>
      </c>
      <c r="U59" s="23">
        <v>0.0</v>
      </c>
      <c r="V59" s="23">
        <v>0.0</v>
      </c>
      <c r="W59" s="23">
        <v>0.0</v>
      </c>
      <c r="X59" s="23">
        <v>0.0</v>
      </c>
      <c r="Y59" s="23">
        <v>0.0</v>
      </c>
    </row>
    <row r="60" ht="14.25" customHeight="1">
      <c r="A60" s="21" t="s">
        <v>191</v>
      </c>
      <c r="B60" s="22"/>
      <c r="C60" s="22"/>
      <c r="D60" s="23">
        <v>0.0</v>
      </c>
      <c r="E60" s="23">
        <v>0.0</v>
      </c>
      <c r="F60" s="23">
        <v>0.0</v>
      </c>
      <c r="G60" s="23">
        <v>0.0</v>
      </c>
      <c r="H60" s="23">
        <v>0.0</v>
      </c>
      <c r="I60" s="23">
        <v>0.0</v>
      </c>
      <c r="J60" s="23">
        <v>0.0</v>
      </c>
      <c r="K60" s="23">
        <v>0.0</v>
      </c>
      <c r="L60" s="23">
        <v>0.0</v>
      </c>
      <c r="M60" s="23">
        <v>0.0</v>
      </c>
      <c r="N60" s="23">
        <v>0.0</v>
      </c>
      <c r="O60" s="23">
        <v>0.0</v>
      </c>
      <c r="P60" s="23">
        <v>0.0</v>
      </c>
      <c r="Q60" s="23">
        <v>0.0</v>
      </c>
      <c r="R60" s="23">
        <v>0.0</v>
      </c>
      <c r="S60" s="23">
        <v>0.0</v>
      </c>
      <c r="T60" s="23">
        <v>0.0</v>
      </c>
      <c r="U60" s="23">
        <v>0.0</v>
      </c>
      <c r="V60" s="23">
        <v>0.0</v>
      </c>
      <c r="W60" s="23">
        <v>0.0</v>
      </c>
      <c r="X60" s="23">
        <v>0.0</v>
      </c>
      <c r="Y60" s="23">
        <v>0.0</v>
      </c>
    </row>
    <row r="61" ht="14.25" customHeight="1">
      <c r="A61" s="21" t="s">
        <v>192</v>
      </c>
      <c r="B61" s="22"/>
      <c r="C61" s="22"/>
      <c r="D61" s="23">
        <v>0.0</v>
      </c>
      <c r="E61" s="23">
        <v>0.0</v>
      </c>
      <c r="F61" s="23">
        <v>0.0</v>
      </c>
      <c r="G61" s="23">
        <v>0.0</v>
      </c>
      <c r="H61" s="23">
        <v>0.0</v>
      </c>
      <c r="I61" s="23">
        <v>0.0</v>
      </c>
      <c r="J61" s="23">
        <v>0.0</v>
      </c>
      <c r="K61" s="23">
        <v>0.0</v>
      </c>
      <c r="L61" s="23">
        <v>0.0</v>
      </c>
      <c r="M61" s="23">
        <v>0.0</v>
      </c>
      <c r="N61" s="23">
        <v>0.0</v>
      </c>
      <c r="O61" s="23">
        <v>0.0</v>
      </c>
      <c r="P61" s="23">
        <v>0.0</v>
      </c>
      <c r="Q61" s="23">
        <v>0.0</v>
      </c>
      <c r="R61" s="23">
        <v>0.0</v>
      </c>
      <c r="S61" s="23">
        <v>0.0</v>
      </c>
      <c r="T61" s="23">
        <v>0.0</v>
      </c>
      <c r="U61" s="23">
        <v>0.0</v>
      </c>
      <c r="V61" s="23">
        <v>0.0</v>
      </c>
      <c r="W61" s="23">
        <v>0.0</v>
      </c>
      <c r="X61" s="23">
        <v>0.0</v>
      </c>
      <c r="Y61" s="23">
        <v>0.0</v>
      </c>
    </row>
    <row r="62" ht="14.25" customHeight="1">
      <c r="A62" s="21" t="s">
        <v>193</v>
      </c>
      <c r="B62" s="22"/>
      <c r="C62" s="22"/>
      <c r="D62" s="23">
        <v>0.0</v>
      </c>
      <c r="E62" s="23">
        <v>0.0</v>
      </c>
      <c r="F62" s="23">
        <v>0.0</v>
      </c>
      <c r="G62" s="23">
        <v>0.0</v>
      </c>
      <c r="H62" s="23">
        <v>0.0</v>
      </c>
      <c r="I62" s="23">
        <v>0.0</v>
      </c>
      <c r="J62" s="23">
        <v>0.0</v>
      </c>
      <c r="K62" s="23">
        <v>0.0</v>
      </c>
      <c r="L62" s="23">
        <v>0.0</v>
      </c>
      <c r="M62" s="23">
        <v>0.0</v>
      </c>
      <c r="N62" s="23">
        <v>0.0</v>
      </c>
      <c r="O62" s="23">
        <v>0.0</v>
      </c>
      <c r="P62" s="23">
        <v>0.0</v>
      </c>
      <c r="Q62" s="23">
        <v>0.0</v>
      </c>
      <c r="R62" s="23">
        <v>0.0</v>
      </c>
      <c r="S62" s="23">
        <v>0.0</v>
      </c>
      <c r="T62" s="23">
        <v>0.0</v>
      </c>
      <c r="U62" s="23">
        <v>0.0</v>
      </c>
      <c r="V62" s="23">
        <v>0.0</v>
      </c>
      <c r="W62" s="23">
        <v>0.0</v>
      </c>
      <c r="X62" s="23">
        <v>0.0</v>
      </c>
      <c r="Y62" s="23">
        <v>0.0</v>
      </c>
    </row>
    <row r="63" ht="14.25" customHeight="1">
      <c r="A63" s="21" t="s">
        <v>194</v>
      </c>
      <c r="B63" s="22"/>
      <c r="C63" s="22"/>
      <c r="D63" s="23">
        <v>0.0</v>
      </c>
      <c r="E63" s="23">
        <v>0.0</v>
      </c>
      <c r="F63" s="23">
        <v>0.0</v>
      </c>
      <c r="G63" s="23">
        <v>0.0</v>
      </c>
      <c r="H63" s="23">
        <v>0.0</v>
      </c>
      <c r="I63" s="23">
        <v>0.0</v>
      </c>
      <c r="J63" s="23">
        <v>0.0</v>
      </c>
      <c r="K63" s="23">
        <v>0.0</v>
      </c>
      <c r="L63" s="23">
        <v>0.0</v>
      </c>
      <c r="M63" s="23">
        <v>0.0</v>
      </c>
      <c r="N63" s="23">
        <v>0.0</v>
      </c>
      <c r="O63" s="23">
        <v>0.0</v>
      </c>
      <c r="P63" s="23">
        <v>0.0</v>
      </c>
      <c r="Q63" s="23">
        <v>0.0</v>
      </c>
      <c r="R63" s="23">
        <v>0.0</v>
      </c>
      <c r="S63" s="23">
        <v>0.0</v>
      </c>
      <c r="T63" s="23">
        <v>0.0</v>
      </c>
      <c r="U63" s="23">
        <v>0.0</v>
      </c>
      <c r="V63" s="23">
        <v>0.0</v>
      </c>
      <c r="W63" s="23">
        <v>0.0</v>
      </c>
      <c r="X63" s="23">
        <v>0.0</v>
      </c>
      <c r="Y63" s="23">
        <v>0.0</v>
      </c>
    </row>
    <row r="64" ht="14.25" customHeight="1">
      <c r="A64" s="21" t="s">
        <v>195</v>
      </c>
      <c r="B64" s="22"/>
      <c r="C64" s="22"/>
      <c r="D64" s="23">
        <v>0.0</v>
      </c>
      <c r="E64" s="23">
        <v>0.0</v>
      </c>
      <c r="F64" s="23">
        <v>0.0</v>
      </c>
      <c r="G64" s="23">
        <v>0.0</v>
      </c>
      <c r="H64" s="23">
        <v>0.0</v>
      </c>
      <c r="I64" s="23">
        <v>0.0</v>
      </c>
      <c r="J64" s="23">
        <v>0.0</v>
      </c>
      <c r="K64" s="23">
        <v>0.0</v>
      </c>
      <c r="L64" s="23">
        <v>0.0</v>
      </c>
      <c r="M64" s="23">
        <v>0.0</v>
      </c>
      <c r="N64" s="23">
        <v>0.0</v>
      </c>
      <c r="O64" s="23">
        <v>0.0</v>
      </c>
      <c r="P64" s="23">
        <v>0.0</v>
      </c>
      <c r="Q64" s="23">
        <v>0.0</v>
      </c>
      <c r="R64" s="23">
        <v>0.0</v>
      </c>
      <c r="S64" s="23">
        <v>0.0</v>
      </c>
      <c r="T64" s="23">
        <v>0.0</v>
      </c>
      <c r="U64" s="23">
        <v>0.0</v>
      </c>
      <c r="V64" s="23">
        <v>0.0</v>
      </c>
      <c r="W64" s="23">
        <v>0.0</v>
      </c>
      <c r="X64" s="23">
        <v>0.0</v>
      </c>
      <c r="Y64" s="23">
        <v>0.0</v>
      </c>
    </row>
    <row r="65" ht="14.25" customHeight="1">
      <c r="A65" s="52" t="s">
        <v>480</v>
      </c>
      <c r="B65" s="53"/>
      <c r="C65" s="54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ht="14.25" customHeight="1">
      <c r="A66" s="56" t="s">
        <v>307</v>
      </c>
      <c r="B66" s="56" t="s">
        <v>308</v>
      </c>
      <c r="C66" s="56"/>
      <c r="D66" s="56"/>
      <c r="E66" s="56">
        <v>1.0</v>
      </c>
      <c r="F66" s="56">
        <v>1.0</v>
      </c>
      <c r="G66" s="56"/>
      <c r="H66" s="56">
        <v>12.0</v>
      </c>
      <c r="I66" s="56"/>
      <c r="J66" s="56"/>
      <c r="K66" s="56">
        <v>7.0</v>
      </c>
      <c r="L66" s="56"/>
      <c r="M66" s="56">
        <v>55.0</v>
      </c>
      <c r="N66" s="56">
        <v>10.0</v>
      </c>
      <c r="O66" s="56"/>
      <c r="P66" s="56"/>
      <c r="Q66" s="56"/>
      <c r="R66" s="56"/>
      <c r="S66" s="56"/>
      <c r="T66" s="56"/>
      <c r="U66" s="56"/>
      <c r="V66" s="56"/>
      <c r="W66" s="56"/>
      <c r="X66" s="56">
        <v>1.0</v>
      </c>
      <c r="Y66" s="56"/>
      <c r="Z66" s="56"/>
    </row>
    <row r="67" ht="14.25" customHeight="1">
      <c r="A67" s="56" t="s">
        <v>309</v>
      </c>
      <c r="B67" s="58" t="s">
        <v>310</v>
      </c>
      <c r="C67" s="56"/>
      <c r="D67" s="56">
        <v>65.7</v>
      </c>
      <c r="E67" s="56">
        <v>10.0</v>
      </c>
      <c r="F67" s="56">
        <v>58.0</v>
      </c>
      <c r="G67" s="56">
        <v>32.0</v>
      </c>
      <c r="H67" s="56"/>
      <c r="I67" s="56">
        <v>39.0</v>
      </c>
      <c r="J67" s="56">
        <v>55.0</v>
      </c>
      <c r="K67" s="56">
        <v>54.0</v>
      </c>
      <c r="L67" s="56">
        <v>45.0</v>
      </c>
      <c r="M67" s="56">
        <v>15.0</v>
      </c>
      <c r="N67" s="56">
        <v>22.0</v>
      </c>
      <c r="O67" s="56">
        <v>2.0</v>
      </c>
      <c r="P67" s="56">
        <v>10.0</v>
      </c>
      <c r="Q67" s="56"/>
      <c r="R67" s="56">
        <v>3.0</v>
      </c>
      <c r="S67" s="56"/>
      <c r="T67" s="56">
        <v>69.6</v>
      </c>
      <c r="U67" s="56"/>
      <c r="V67" s="56">
        <v>51.0</v>
      </c>
      <c r="W67" s="56">
        <v>24.0</v>
      </c>
      <c r="X67" s="56">
        <v>54.0</v>
      </c>
      <c r="Y67" s="56">
        <v>70.0</v>
      </c>
      <c r="Z67" s="56"/>
    </row>
    <row r="68" ht="14.25" customHeight="1"/>
    <row r="69" ht="14.25" customHeight="1">
      <c r="A69" s="36" t="s">
        <v>196</v>
      </c>
      <c r="B69" s="37"/>
      <c r="C69" s="38"/>
    </row>
    <row r="70" ht="14.25" customHeight="1">
      <c r="A70" s="39"/>
      <c r="C70" s="40"/>
    </row>
    <row r="71" ht="14.25" customHeight="1">
      <c r="A71" s="39"/>
      <c r="C71" s="40"/>
    </row>
    <row r="72" ht="14.25" customHeight="1">
      <c r="A72" s="39"/>
      <c r="C72" s="40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</row>
    <row r="73" ht="14.25" customHeight="1">
      <c r="A73" s="41"/>
      <c r="B73" s="42"/>
      <c r="C73" s="43"/>
    </row>
    <row r="74" ht="14.25" customHeight="1">
      <c r="A74" s="44" t="s">
        <v>197</v>
      </c>
      <c r="B74" s="21"/>
      <c r="C74" s="21"/>
    </row>
    <row r="75" ht="14.25" customHeight="1">
      <c r="A75" s="44" t="s">
        <v>198</v>
      </c>
      <c r="B75" s="21"/>
      <c r="C75" s="21"/>
    </row>
    <row r="76" ht="14.25" customHeight="1">
      <c r="A76" s="21"/>
      <c r="B76" s="21"/>
      <c r="C76" s="21"/>
    </row>
    <row r="77" ht="15.0" customHeight="1">
      <c r="A77" s="36" t="s">
        <v>199</v>
      </c>
      <c r="B77" s="37"/>
      <c r="C77" s="38"/>
    </row>
    <row r="78" ht="15.0" customHeight="1">
      <c r="A78" s="41"/>
      <c r="B78" s="42"/>
      <c r="C78" s="43"/>
    </row>
    <row r="79" ht="15.0" customHeight="1">
      <c r="A79" s="44" t="s">
        <v>200</v>
      </c>
      <c r="B79" s="22"/>
      <c r="C79" s="22"/>
    </row>
    <row r="80" ht="14.25" customHeight="1">
      <c r="B80" s="22"/>
      <c r="C80" s="22"/>
    </row>
    <row r="81" ht="14.25" customHeight="1">
      <c r="A81" s="45" t="s">
        <v>201</v>
      </c>
      <c r="B81" s="37"/>
      <c r="C81" s="38"/>
    </row>
    <row r="82" ht="14.25" customHeight="1">
      <c r="A82" s="39"/>
      <c r="C82" s="40"/>
    </row>
    <row r="83" ht="14.25" customHeight="1">
      <c r="A83" s="41"/>
      <c r="B83" s="42"/>
      <c r="C83" s="43"/>
    </row>
    <row r="84" ht="14.25" customHeight="1">
      <c r="A84" s="44" t="s">
        <v>202</v>
      </c>
      <c r="B84" s="22"/>
      <c r="C84" s="22"/>
    </row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9">
    <mergeCell ref="A77:C78"/>
    <mergeCell ref="A81:C83"/>
    <mergeCell ref="A1:A2"/>
    <mergeCell ref="B1:C1"/>
    <mergeCell ref="B2:C2"/>
    <mergeCell ref="A3:C3"/>
    <mergeCell ref="B54:B55"/>
    <mergeCell ref="A65:C65"/>
    <mergeCell ref="A69:C73"/>
  </mergeCells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5.86"/>
    <col customWidth="1" min="2" max="2" width="11.0"/>
    <col customWidth="1" min="3" max="3" width="9.14"/>
    <col customWidth="1" min="4" max="48" width="8.71"/>
  </cols>
  <sheetData>
    <row r="1" ht="14.25" customHeight="1">
      <c r="A1" s="1"/>
      <c r="B1" s="2" t="s">
        <v>0</v>
      </c>
      <c r="D1" s="3" t="s">
        <v>481</v>
      </c>
      <c r="G1" s="3" t="s">
        <v>482</v>
      </c>
      <c r="I1" s="3" t="s">
        <v>483</v>
      </c>
      <c r="L1" s="3" t="s">
        <v>484</v>
      </c>
      <c r="N1" s="3" t="s">
        <v>485</v>
      </c>
      <c r="Q1" s="3" t="s">
        <v>486</v>
      </c>
      <c r="R1" s="3" t="s">
        <v>487</v>
      </c>
      <c r="S1" s="3" t="s">
        <v>252</v>
      </c>
      <c r="T1" s="3" t="s">
        <v>488</v>
      </c>
      <c r="X1" s="3" t="s">
        <v>489</v>
      </c>
      <c r="Y1" s="3" t="s">
        <v>490</v>
      </c>
      <c r="Z1" s="3" t="s">
        <v>491</v>
      </c>
      <c r="AA1" s="3" t="s">
        <v>492</v>
      </c>
      <c r="AB1" s="3" t="s">
        <v>493</v>
      </c>
      <c r="AC1" s="3" t="s">
        <v>494</v>
      </c>
      <c r="AE1" s="3" t="s">
        <v>495</v>
      </c>
      <c r="AF1" s="3" t="s">
        <v>496</v>
      </c>
      <c r="AH1" s="3" t="s">
        <v>497</v>
      </c>
      <c r="AI1" s="3" t="s">
        <v>229</v>
      </c>
      <c r="AJ1" s="3" t="s">
        <v>498</v>
      </c>
      <c r="AL1" s="3" t="s">
        <v>499</v>
      </c>
      <c r="AM1" s="3" t="s">
        <v>500</v>
      </c>
      <c r="AN1" s="3" t="s">
        <v>501</v>
      </c>
      <c r="AO1" s="3" t="s">
        <v>502</v>
      </c>
      <c r="AP1" s="3" t="s">
        <v>503</v>
      </c>
      <c r="AQ1" s="3" t="s">
        <v>504</v>
      </c>
      <c r="AS1" s="3" t="s">
        <v>505</v>
      </c>
      <c r="AT1" s="3" t="s">
        <v>506</v>
      </c>
      <c r="AU1" s="3" t="s">
        <v>507</v>
      </c>
      <c r="AV1" s="3" t="s">
        <v>16</v>
      </c>
    </row>
    <row r="2" ht="14.25" customHeight="1">
      <c r="A2" s="4"/>
      <c r="B2" s="5" t="s">
        <v>44</v>
      </c>
      <c r="C2" s="4"/>
      <c r="D2" s="11" t="s">
        <v>508</v>
      </c>
      <c r="E2" s="11" t="s">
        <v>253</v>
      </c>
      <c r="F2" s="11" t="s">
        <v>509</v>
      </c>
      <c r="G2" s="6" t="s">
        <v>510</v>
      </c>
      <c r="H2" s="11" t="s">
        <v>77</v>
      </c>
      <c r="I2" s="6" t="s">
        <v>511</v>
      </c>
      <c r="J2" s="11" t="s">
        <v>59</v>
      </c>
      <c r="K2" s="65" t="s">
        <v>512</v>
      </c>
      <c r="L2" s="6" t="s">
        <v>511</v>
      </c>
      <c r="M2" s="11" t="s">
        <v>59</v>
      </c>
      <c r="N2" s="6" t="s">
        <v>511</v>
      </c>
      <c r="O2" s="11" t="s">
        <v>59</v>
      </c>
      <c r="P2" s="65" t="s">
        <v>512</v>
      </c>
      <c r="Q2" s="6" t="s">
        <v>510</v>
      </c>
      <c r="R2" s="11" t="s">
        <v>59</v>
      </c>
      <c r="S2" s="65" t="s">
        <v>512</v>
      </c>
      <c r="T2" s="66" t="s">
        <v>513</v>
      </c>
      <c r="U2" s="7" t="s">
        <v>514</v>
      </c>
      <c r="V2" s="6" t="s">
        <v>515</v>
      </c>
      <c r="W2" s="7" t="s">
        <v>516</v>
      </c>
      <c r="X2" s="66"/>
      <c r="Y2" s="67" t="s">
        <v>517</v>
      </c>
      <c r="Z2" s="66" t="s">
        <v>518</v>
      </c>
      <c r="AA2" s="11" t="s">
        <v>519</v>
      </c>
      <c r="AB2" s="66" t="s">
        <v>518</v>
      </c>
      <c r="AC2" s="6" t="s">
        <v>520</v>
      </c>
      <c r="AD2" s="66" t="s">
        <v>521</v>
      </c>
      <c r="AE2" s="66" t="s">
        <v>518</v>
      </c>
      <c r="AF2" s="66" t="s">
        <v>521</v>
      </c>
      <c r="AG2" s="66" t="s">
        <v>522</v>
      </c>
      <c r="AH2" s="65" t="s">
        <v>512</v>
      </c>
      <c r="AI2" s="65" t="s">
        <v>512</v>
      </c>
      <c r="AJ2" s="6" t="s">
        <v>510</v>
      </c>
      <c r="AK2" s="11" t="s">
        <v>77</v>
      </c>
      <c r="AL2" s="6" t="s">
        <v>510</v>
      </c>
      <c r="AM2" s="66" t="s">
        <v>521</v>
      </c>
      <c r="AN2" s="66"/>
      <c r="AO2" s="11" t="s">
        <v>59</v>
      </c>
      <c r="AP2" s="11" t="s">
        <v>77</v>
      </c>
      <c r="AQ2" s="6" t="s">
        <v>511</v>
      </c>
      <c r="AR2" s="11" t="s">
        <v>59</v>
      </c>
      <c r="AS2" s="66" t="s">
        <v>521</v>
      </c>
      <c r="AT2" s="7" t="s">
        <v>523</v>
      </c>
      <c r="AU2" s="68" t="s">
        <v>299</v>
      </c>
      <c r="AV2" s="13" t="s">
        <v>524</v>
      </c>
    </row>
    <row r="3" ht="14.25" customHeight="1">
      <c r="A3" s="15" t="s">
        <v>88</v>
      </c>
      <c r="B3" s="16"/>
      <c r="C3" s="17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49"/>
      <c r="AV3" s="18"/>
    </row>
    <row r="4" ht="14.25" customHeight="1">
      <c r="A4" s="19" t="s">
        <v>89</v>
      </c>
      <c r="B4" s="20" t="s">
        <v>90</v>
      </c>
      <c r="C4" s="20" t="s">
        <v>91</v>
      </c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69"/>
      <c r="AV4" s="19"/>
    </row>
    <row r="5" ht="14.25" customHeight="1">
      <c r="A5" s="21" t="s">
        <v>92</v>
      </c>
      <c r="B5" s="22" t="s">
        <v>93</v>
      </c>
      <c r="C5" s="22"/>
      <c r="D5" s="23">
        <v>12.46</v>
      </c>
      <c r="E5" s="23">
        <v>8.05</v>
      </c>
      <c r="F5" s="23">
        <v>11.42</v>
      </c>
      <c r="G5" s="23">
        <v>87.71</v>
      </c>
      <c r="H5" s="23">
        <v>5.89</v>
      </c>
      <c r="I5" s="23">
        <v>85.95</v>
      </c>
      <c r="J5" s="23">
        <v>7.3</v>
      </c>
      <c r="K5" s="23">
        <v>7.7</v>
      </c>
      <c r="L5" s="23">
        <v>92.06</v>
      </c>
      <c r="M5" s="23">
        <v>10.35</v>
      </c>
      <c r="N5" s="23">
        <v>92.21</v>
      </c>
      <c r="O5" s="23">
        <v>7.3</v>
      </c>
      <c r="P5" s="23">
        <v>8.86</v>
      </c>
      <c r="Q5" s="23">
        <v>91.71</v>
      </c>
      <c r="R5" s="23">
        <v>7.64</v>
      </c>
      <c r="S5" s="23">
        <v>8.81</v>
      </c>
      <c r="T5" s="23">
        <v>5.27</v>
      </c>
      <c r="U5" s="23">
        <v>82.65</v>
      </c>
      <c r="V5" s="23">
        <v>90.8</v>
      </c>
      <c r="W5" s="23">
        <v>94.46</v>
      </c>
      <c r="X5" s="23">
        <v>11.24</v>
      </c>
      <c r="Y5" s="23">
        <v>52.58</v>
      </c>
      <c r="Z5" s="23">
        <v>9.87</v>
      </c>
      <c r="AA5" s="23">
        <v>5.44</v>
      </c>
      <c r="AB5" s="23">
        <v>10.58</v>
      </c>
      <c r="AC5" s="23">
        <v>78.89</v>
      </c>
      <c r="AD5" s="23">
        <v>9.94</v>
      </c>
      <c r="AE5" s="23">
        <v>11.36</v>
      </c>
      <c r="AF5" s="23">
        <v>6.23</v>
      </c>
      <c r="AG5" s="23">
        <v>8.17</v>
      </c>
      <c r="AH5" s="23">
        <v>9.87</v>
      </c>
      <c r="AI5" s="23">
        <v>6.04</v>
      </c>
      <c r="AJ5" s="23">
        <v>85.55</v>
      </c>
      <c r="AK5" s="23">
        <v>11.3</v>
      </c>
      <c r="AL5" s="23">
        <v>78.65</v>
      </c>
      <c r="AM5" s="23">
        <v>7.96</v>
      </c>
      <c r="AN5" s="23">
        <v>11.9</v>
      </c>
      <c r="AO5" s="23">
        <v>7.74</v>
      </c>
      <c r="AP5" s="23">
        <v>9.93</v>
      </c>
      <c r="AQ5" s="23">
        <v>65.11</v>
      </c>
      <c r="AR5" s="23">
        <v>7.79</v>
      </c>
      <c r="AS5" s="23">
        <v>9.0</v>
      </c>
      <c r="AT5" s="23">
        <v>85.08</v>
      </c>
      <c r="AU5" s="23">
        <v>87.67</v>
      </c>
      <c r="AV5" s="23">
        <v>73.32</v>
      </c>
    </row>
    <row r="6" ht="14.25" customHeight="1">
      <c r="A6" s="21" t="s">
        <v>94</v>
      </c>
      <c r="B6" s="22" t="s">
        <v>95</v>
      </c>
      <c r="C6" s="22"/>
      <c r="D6" s="23">
        <v>251.0</v>
      </c>
      <c r="E6" s="23">
        <v>318.0</v>
      </c>
      <c r="F6" s="23">
        <v>296.0</v>
      </c>
      <c r="G6" s="23">
        <v>36.0</v>
      </c>
      <c r="H6" s="23">
        <v>292.0</v>
      </c>
      <c r="I6" s="23">
        <v>43.0</v>
      </c>
      <c r="J6" s="23">
        <v>253.0</v>
      </c>
      <c r="K6" s="23">
        <v>305.0</v>
      </c>
      <c r="L6" s="23">
        <v>23.0</v>
      </c>
      <c r="M6" s="23">
        <v>233.0</v>
      </c>
      <c r="N6" s="23">
        <v>23.0</v>
      </c>
      <c r="O6" s="23">
        <v>279.0</v>
      </c>
      <c r="P6" s="23">
        <v>298.0</v>
      </c>
      <c r="Q6" s="23">
        <v>25.0</v>
      </c>
      <c r="R6" s="23">
        <v>271.0</v>
      </c>
      <c r="S6" s="23">
        <v>345.0</v>
      </c>
      <c r="T6" s="23">
        <v>508.0</v>
      </c>
      <c r="U6" s="23">
        <v>67.0</v>
      </c>
      <c r="V6" s="23">
        <v>26.0</v>
      </c>
      <c r="W6" s="23">
        <v>15.0</v>
      </c>
      <c r="X6" s="23">
        <v>282.0</v>
      </c>
      <c r="Y6" s="23">
        <v>288.0</v>
      </c>
      <c r="Z6" s="23">
        <v>274.0</v>
      </c>
      <c r="AA6" s="23">
        <v>313.0</v>
      </c>
      <c r="AB6" s="23">
        <v>247.0</v>
      </c>
      <c r="AC6" s="23">
        <v>80.0</v>
      </c>
      <c r="AD6" s="23">
        <v>335.0</v>
      </c>
      <c r="AE6" s="23">
        <v>354.0</v>
      </c>
      <c r="AF6" s="23">
        <v>525.0</v>
      </c>
      <c r="AG6" s="23">
        <v>475.0</v>
      </c>
      <c r="AH6" s="23">
        <v>333.0</v>
      </c>
      <c r="AI6" s="23">
        <v>392.0</v>
      </c>
      <c r="AJ6" s="23">
        <v>44.0</v>
      </c>
      <c r="AK6" s="23">
        <v>285.0</v>
      </c>
      <c r="AL6" s="23">
        <v>70.0</v>
      </c>
      <c r="AM6" s="23">
        <v>315.0</v>
      </c>
      <c r="AN6" s="23">
        <v>310.0</v>
      </c>
      <c r="AO6" s="23">
        <v>295.0</v>
      </c>
      <c r="AP6" s="23">
        <v>265.0</v>
      </c>
      <c r="AQ6" s="23">
        <v>101.0</v>
      </c>
      <c r="AR6" s="23">
        <v>276.0</v>
      </c>
      <c r="AS6" s="23">
        <v>272.0</v>
      </c>
      <c r="AT6" s="23">
        <v>48.0</v>
      </c>
      <c r="AU6" s="23">
        <v>42.0</v>
      </c>
      <c r="AV6" s="23">
        <v>93.0</v>
      </c>
    </row>
    <row r="7" ht="14.25" customHeight="1">
      <c r="A7" s="21" t="s">
        <v>96</v>
      </c>
      <c r="B7" s="22" t="s">
        <v>97</v>
      </c>
      <c r="C7" s="22" t="s">
        <v>98</v>
      </c>
      <c r="D7" s="24">
        <v>10.39</v>
      </c>
      <c r="E7" s="24">
        <v>12.01</v>
      </c>
      <c r="F7" s="24">
        <v>10.4</v>
      </c>
      <c r="G7" s="23">
        <v>2.97</v>
      </c>
      <c r="H7" s="26">
        <v>26.63</v>
      </c>
      <c r="I7" s="23">
        <v>3.46</v>
      </c>
      <c r="J7" s="25">
        <v>19.96</v>
      </c>
      <c r="K7" s="24">
        <v>15.98</v>
      </c>
      <c r="L7" s="23">
        <v>3.15</v>
      </c>
      <c r="M7" s="26">
        <v>22.98</v>
      </c>
      <c r="N7" s="23">
        <v>2.13</v>
      </c>
      <c r="O7" s="26">
        <v>21.93</v>
      </c>
      <c r="P7" s="24">
        <v>12.37</v>
      </c>
      <c r="Q7" s="23">
        <v>2.58</v>
      </c>
      <c r="R7" s="24">
        <v>12.66</v>
      </c>
      <c r="S7" s="24">
        <v>15.8</v>
      </c>
      <c r="T7" s="26">
        <v>26.08</v>
      </c>
      <c r="U7" s="23">
        <v>4.37</v>
      </c>
      <c r="V7" s="23">
        <v>2.7</v>
      </c>
      <c r="W7" s="23">
        <v>2.26</v>
      </c>
      <c r="X7" s="24">
        <v>14.14</v>
      </c>
      <c r="Y7" s="23">
        <v>0.06</v>
      </c>
      <c r="Z7" s="23">
        <v>5.97</v>
      </c>
      <c r="AA7" s="23">
        <v>7.61</v>
      </c>
      <c r="AB7" s="23">
        <v>3.99</v>
      </c>
      <c r="AC7" s="23">
        <v>1.82</v>
      </c>
      <c r="AD7" s="23">
        <v>8.98</v>
      </c>
      <c r="AE7" s="23">
        <v>7.83</v>
      </c>
      <c r="AF7" s="23">
        <v>5.84</v>
      </c>
      <c r="AG7" s="23">
        <v>6.71</v>
      </c>
      <c r="AH7" s="25">
        <v>19.77</v>
      </c>
      <c r="AI7" s="25">
        <v>18.07</v>
      </c>
      <c r="AJ7" s="23">
        <v>3.29</v>
      </c>
      <c r="AK7" s="25">
        <v>19.93</v>
      </c>
      <c r="AL7" s="23">
        <v>3.75</v>
      </c>
      <c r="AM7" s="24">
        <v>10.63</v>
      </c>
      <c r="AN7" s="24">
        <v>11.43</v>
      </c>
      <c r="AO7" s="26">
        <v>22.77</v>
      </c>
      <c r="AP7" s="23">
        <v>9.0</v>
      </c>
      <c r="AQ7" s="23">
        <v>5.56</v>
      </c>
      <c r="AR7" s="24">
        <v>9.11</v>
      </c>
      <c r="AS7" s="23">
        <v>6.73</v>
      </c>
      <c r="AT7" s="23">
        <v>1.18</v>
      </c>
      <c r="AU7" s="23">
        <v>2.71</v>
      </c>
      <c r="AV7" s="23">
        <v>5.6</v>
      </c>
    </row>
    <row r="8" ht="14.25" customHeight="1">
      <c r="A8" s="21" t="s">
        <v>99</v>
      </c>
      <c r="B8" s="22" t="s">
        <v>100</v>
      </c>
      <c r="C8" s="22"/>
      <c r="D8" s="23">
        <v>3.26</v>
      </c>
      <c r="E8" s="25">
        <v>17.27</v>
      </c>
      <c r="F8" s="23">
        <v>2.12</v>
      </c>
      <c r="G8" s="23">
        <v>0.79</v>
      </c>
      <c r="H8" s="23">
        <v>5.48</v>
      </c>
      <c r="I8" s="23">
        <v>1.12</v>
      </c>
      <c r="J8" s="23">
        <v>4.36</v>
      </c>
      <c r="K8" s="25">
        <v>14.54</v>
      </c>
      <c r="L8" s="23">
        <v>0.64</v>
      </c>
      <c r="M8" s="23">
        <v>4.07</v>
      </c>
      <c r="N8" s="23">
        <v>0.52</v>
      </c>
      <c r="O8" s="23">
        <v>4.78</v>
      </c>
      <c r="P8" s="25">
        <v>17.77</v>
      </c>
      <c r="Q8" s="23">
        <v>0.66</v>
      </c>
      <c r="R8" s="23">
        <v>7.04</v>
      </c>
      <c r="S8" s="25">
        <v>14.87</v>
      </c>
      <c r="T8" s="26">
        <v>36.24</v>
      </c>
      <c r="U8" s="23">
        <v>4.01</v>
      </c>
      <c r="V8" s="23">
        <v>0.2</v>
      </c>
      <c r="W8" s="23">
        <v>0.24</v>
      </c>
      <c r="X8" s="24">
        <v>12.89</v>
      </c>
      <c r="Y8" s="23">
        <v>0.06</v>
      </c>
      <c r="Z8" s="23">
        <v>13.0</v>
      </c>
      <c r="AA8" s="23">
        <v>8.36</v>
      </c>
      <c r="AB8" s="23">
        <v>1.24</v>
      </c>
      <c r="AC8" s="23">
        <v>0.75</v>
      </c>
      <c r="AD8" s="23">
        <v>4.24</v>
      </c>
      <c r="AE8" s="24">
        <v>9.88</v>
      </c>
      <c r="AF8" s="26">
        <v>36.31</v>
      </c>
      <c r="AG8" s="26">
        <v>32.38</v>
      </c>
      <c r="AH8" s="25">
        <v>14.59</v>
      </c>
      <c r="AI8" s="26">
        <v>25.27</v>
      </c>
      <c r="AJ8" s="23">
        <v>0.73</v>
      </c>
      <c r="AK8" s="23">
        <v>6.03</v>
      </c>
      <c r="AL8" s="23">
        <v>0.94</v>
      </c>
      <c r="AM8" s="24">
        <v>12.75</v>
      </c>
      <c r="AN8" s="23">
        <v>5.85</v>
      </c>
      <c r="AO8" s="24">
        <v>7.24</v>
      </c>
      <c r="AP8" s="23">
        <v>4.28</v>
      </c>
      <c r="AQ8" s="23">
        <v>1.68</v>
      </c>
      <c r="AR8" s="24">
        <v>7.43</v>
      </c>
      <c r="AS8" s="23">
        <v>5.91</v>
      </c>
      <c r="AT8" s="23">
        <v>0.69</v>
      </c>
      <c r="AU8" s="23">
        <v>0.11</v>
      </c>
      <c r="AV8" s="23">
        <v>2.12</v>
      </c>
    </row>
    <row r="9" ht="14.25" customHeight="1">
      <c r="A9" s="21" t="s">
        <v>101</v>
      </c>
      <c r="B9" s="22" t="s">
        <v>102</v>
      </c>
      <c r="C9" s="22"/>
      <c r="D9" s="23">
        <v>63.95</v>
      </c>
      <c r="E9" s="23">
        <v>56.63</v>
      </c>
      <c r="F9" s="23">
        <v>68.61</v>
      </c>
      <c r="G9" s="23">
        <v>6.33</v>
      </c>
      <c r="H9" s="23">
        <v>50.64</v>
      </c>
      <c r="I9" s="23">
        <v>7.02</v>
      </c>
      <c r="J9" s="23">
        <v>55.82</v>
      </c>
      <c r="K9" s="23">
        <v>55.17</v>
      </c>
      <c r="L9" s="23">
        <v>2.65</v>
      </c>
      <c r="M9" s="23">
        <v>47.75</v>
      </c>
      <c r="N9" s="23">
        <v>3.67</v>
      </c>
      <c r="O9" s="23">
        <v>52.1</v>
      </c>
      <c r="P9" s="23">
        <v>54.99</v>
      </c>
      <c r="Q9" s="23">
        <v>3.65</v>
      </c>
      <c r="R9" s="23">
        <v>60.56</v>
      </c>
      <c r="S9" s="23">
        <v>52.29</v>
      </c>
      <c r="T9" s="23">
        <v>28.09</v>
      </c>
      <c r="U9" s="23">
        <v>5.33</v>
      </c>
      <c r="V9" s="23">
        <v>4.9</v>
      </c>
      <c r="W9" s="23">
        <v>2.1</v>
      </c>
      <c r="X9" s="23">
        <v>53.99</v>
      </c>
      <c r="Y9" s="23">
        <v>12.65</v>
      </c>
      <c r="Z9" s="23">
        <v>65.53</v>
      </c>
      <c r="AA9" s="23">
        <v>74.97</v>
      </c>
      <c r="AB9" s="23">
        <v>80.59</v>
      </c>
      <c r="AC9" s="23">
        <v>17.77</v>
      </c>
      <c r="AD9" s="23">
        <v>71.62</v>
      </c>
      <c r="AE9" s="23">
        <v>64.93</v>
      </c>
      <c r="AF9" s="23">
        <v>49.29</v>
      </c>
      <c r="AG9" s="23">
        <v>50.5</v>
      </c>
      <c r="AH9" s="23">
        <v>49.9</v>
      </c>
      <c r="AI9" s="23">
        <v>41.35</v>
      </c>
      <c r="AJ9" s="23">
        <v>8.41</v>
      </c>
      <c r="AK9" s="23">
        <v>52.04</v>
      </c>
      <c r="AL9" s="23">
        <v>14.89</v>
      </c>
      <c r="AM9" s="23">
        <v>60.73</v>
      </c>
      <c r="AN9" s="23">
        <v>65.37</v>
      </c>
      <c r="AO9" s="23">
        <v>50.22</v>
      </c>
      <c r="AP9" s="23">
        <v>68.92</v>
      </c>
      <c r="AQ9" s="23">
        <v>24.45</v>
      </c>
      <c r="AR9" s="23">
        <v>63.94</v>
      </c>
      <c r="AS9" s="23">
        <v>68.73</v>
      </c>
      <c r="AT9" s="23">
        <v>11.29</v>
      </c>
      <c r="AU9" s="23">
        <v>7.49</v>
      </c>
      <c r="AV9" s="23">
        <v>17.31</v>
      </c>
    </row>
    <row r="10" ht="14.25" customHeight="1">
      <c r="A10" s="21" t="s">
        <v>103</v>
      </c>
      <c r="B10" s="22" t="s">
        <v>104</v>
      </c>
      <c r="C10" s="22"/>
      <c r="D10" s="25">
        <v>25.3</v>
      </c>
      <c r="E10" s="25">
        <v>27.2</v>
      </c>
      <c r="F10" s="25">
        <v>26.2</v>
      </c>
      <c r="G10" s="23">
        <v>3.3</v>
      </c>
      <c r="H10" s="25">
        <v>26.7</v>
      </c>
      <c r="I10" s="23">
        <v>2.1</v>
      </c>
      <c r="J10" s="24">
        <v>13.6</v>
      </c>
      <c r="K10" s="25">
        <v>21.1</v>
      </c>
      <c r="L10" s="23">
        <v>1.6</v>
      </c>
      <c r="M10" s="26">
        <v>37.7</v>
      </c>
      <c r="N10" s="23">
        <v>2.8</v>
      </c>
      <c r="O10" s="24">
        <v>10.4</v>
      </c>
      <c r="P10" s="26">
        <v>41.9</v>
      </c>
      <c r="Q10" s="23">
        <v>1.6</v>
      </c>
      <c r="R10" s="26">
        <v>40.3</v>
      </c>
      <c r="S10" s="26">
        <v>39.8</v>
      </c>
      <c r="T10" s="24">
        <v>12.2</v>
      </c>
      <c r="U10" s="23">
        <v>3.3</v>
      </c>
      <c r="V10" s="23">
        <v>3.3</v>
      </c>
      <c r="W10" s="23">
        <v>2.0</v>
      </c>
      <c r="X10" s="26">
        <v>34.9</v>
      </c>
      <c r="Y10" s="23">
        <v>0.0</v>
      </c>
      <c r="Z10" s="26">
        <v>33.9</v>
      </c>
      <c r="AA10" s="25">
        <v>26.3</v>
      </c>
      <c r="AB10" s="26">
        <v>53.1</v>
      </c>
      <c r="AC10" s="23">
        <v>2.0</v>
      </c>
      <c r="AD10" s="24">
        <v>14.1</v>
      </c>
      <c r="AE10" s="25">
        <v>21.1</v>
      </c>
      <c r="AF10" s="25">
        <v>20.8</v>
      </c>
      <c r="AG10" s="25">
        <v>20.2</v>
      </c>
      <c r="AH10" s="26">
        <v>38.0</v>
      </c>
      <c r="AI10" s="24">
        <v>11.8</v>
      </c>
      <c r="AJ10" s="23">
        <v>6.8</v>
      </c>
      <c r="AK10" s="26">
        <v>29.8</v>
      </c>
      <c r="AL10" s="23">
        <v>8.0</v>
      </c>
      <c r="AM10" s="26">
        <v>40.3</v>
      </c>
      <c r="AN10" s="23">
        <v>3.9</v>
      </c>
      <c r="AO10" s="23">
        <v>7.4</v>
      </c>
      <c r="AP10" s="26">
        <v>42.5</v>
      </c>
      <c r="AQ10" s="24">
        <v>14.0</v>
      </c>
      <c r="AR10" s="26">
        <v>37.0</v>
      </c>
      <c r="AS10" s="26">
        <v>45.7</v>
      </c>
      <c r="AT10" s="23">
        <v>3.3</v>
      </c>
      <c r="AU10" s="23">
        <v>6.9</v>
      </c>
      <c r="AV10" s="23">
        <v>11.0</v>
      </c>
    </row>
    <row r="11" ht="14.25" customHeight="1">
      <c r="A11" s="21" t="s">
        <v>105</v>
      </c>
      <c r="B11" s="22"/>
      <c r="C11" s="22"/>
      <c r="D11" s="23">
        <v>0.64</v>
      </c>
      <c r="E11" s="23">
        <v>10.34</v>
      </c>
      <c r="G11" s="23">
        <v>0.85</v>
      </c>
      <c r="H11" s="23">
        <v>7.27</v>
      </c>
      <c r="L11" s="23">
        <v>0.3</v>
      </c>
      <c r="M11" s="23">
        <v>1.71</v>
      </c>
      <c r="N11" s="23">
        <v>0.87</v>
      </c>
      <c r="O11" s="23">
        <v>7.27</v>
      </c>
      <c r="Q11" s="23">
        <v>2.05</v>
      </c>
      <c r="R11" s="23">
        <v>4.09</v>
      </c>
      <c r="T11" s="23">
        <v>6.79</v>
      </c>
      <c r="U11" s="23">
        <v>0.86</v>
      </c>
      <c r="V11" s="23">
        <v>1.6</v>
      </c>
      <c r="W11" s="23">
        <v>0.1</v>
      </c>
      <c r="X11" s="23">
        <v>10.34</v>
      </c>
      <c r="Y11" s="23">
        <v>12.65</v>
      </c>
      <c r="Z11" s="23">
        <v>2.38</v>
      </c>
      <c r="AB11" s="23">
        <v>2.17</v>
      </c>
      <c r="AC11" s="23">
        <v>1.7</v>
      </c>
      <c r="AD11" s="23">
        <v>3.39</v>
      </c>
      <c r="AE11" s="23">
        <v>3.21</v>
      </c>
      <c r="AF11" s="23">
        <v>28.49</v>
      </c>
      <c r="AH11" s="23">
        <v>0.64</v>
      </c>
      <c r="AI11" s="23">
        <v>0.67</v>
      </c>
      <c r="AM11" s="23">
        <v>1.71</v>
      </c>
      <c r="AP11" s="23">
        <v>4.09</v>
      </c>
      <c r="AR11" s="23">
        <v>1.71</v>
      </c>
      <c r="AT11" s="23">
        <v>7.99</v>
      </c>
      <c r="AU11" s="23">
        <v>0.25</v>
      </c>
      <c r="AV11" s="23">
        <v>6.3</v>
      </c>
    </row>
    <row r="12" ht="14.25" customHeight="1">
      <c r="A12" s="19" t="s">
        <v>106</v>
      </c>
      <c r="B12" s="27"/>
      <c r="C12" s="27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9"/>
    </row>
    <row r="13" ht="14.25" customHeight="1">
      <c r="A13" s="21" t="s">
        <v>107</v>
      </c>
      <c r="B13" s="22">
        <v>1000.0</v>
      </c>
      <c r="C13" s="22">
        <v>2500.0</v>
      </c>
      <c r="D13" s="25">
        <v>443.0</v>
      </c>
      <c r="E13" s="23">
        <v>148.0</v>
      </c>
      <c r="F13" s="24">
        <v>265.0</v>
      </c>
      <c r="G13" s="23">
        <v>138.0</v>
      </c>
      <c r="H13" s="26">
        <v>1140.0</v>
      </c>
      <c r="I13" s="24">
        <v>208.0</v>
      </c>
      <c r="J13" s="26">
        <v>1784.0</v>
      </c>
      <c r="K13" s="26">
        <v>1516.0</v>
      </c>
      <c r="L13" s="23">
        <v>177.0</v>
      </c>
      <c r="M13" s="26">
        <v>2240.0</v>
      </c>
      <c r="N13" s="23">
        <v>67.0</v>
      </c>
      <c r="O13" s="26">
        <v>1246.0</v>
      </c>
      <c r="P13" s="50">
        <v>709.0</v>
      </c>
      <c r="Q13" s="23">
        <v>160.0</v>
      </c>
      <c r="R13" s="26">
        <v>1990.0</v>
      </c>
      <c r="S13" s="26">
        <v>1196.0</v>
      </c>
      <c r="T13" s="24">
        <v>266.0</v>
      </c>
      <c r="U13" s="23">
        <v>58.0</v>
      </c>
      <c r="V13" s="23">
        <v>103.0</v>
      </c>
      <c r="W13" s="23">
        <v>74.0</v>
      </c>
      <c r="X13" s="24">
        <v>229.0</v>
      </c>
      <c r="Y13" s="23">
        <v>11.0</v>
      </c>
      <c r="Z13" s="50">
        <v>632.0</v>
      </c>
      <c r="AA13" s="50">
        <v>834.0</v>
      </c>
      <c r="AB13" s="26">
        <v>1002.0</v>
      </c>
      <c r="AC13" s="23">
        <v>16.0</v>
      </c>
      <c r="AD13" s="23">
        <v>114.0</v>
      </c>
      <c r="AE13" s="23">
        <v>183.0</v>
      </c>
      <c r="AF13" s="23">
        <v>184.0</v>
      </c>
      <c r="AG13" s="24">
        <v>252.0</v>
      </c>
      <c r="AH13" s="50">
        <v>689.0</v>
      </c>
      <c r="AI13" s="26">
        <v>1767.0</v>
      </c>
      <c r="AJ13" s="24">
        <v>199.0</v>
      </c>
      <c r="AK13" s="26">
        <v>1488.0</v>
      </c>
      <c r="AL13" s="24">
        <v>243.0</v>
      </c>
      <c r="AM13" s="26">
        <v>1652.0</v>
      </c>
      <c r="AN13" s="23">
        <v>111.0</v>
      </c>
      <c r="AO13" s="26">
        <v>1139.0</v>
      </c>
      <c r="AP13" s="26">
        <v>1597.0</v>
      </c>
      <c r="AQ13" s="25">
        <v>405.0</v>
      </c>
      <c r="AR13" s="26">
        <v>1890.0</v>
      </c>
      <c r="AS13" s="26">
        <v>2132.0</v>
      </c>
      <c r="AT13" s="23">
        <v>56.0</v>
      </c>
      <c r="AU13" s="25">
        <v>481.0</v>
      </c>
      <c r="AV13" s="25">
        <v>363.0</v>
      </c>
    </row>
    <row r="14" ht="14.25" customHeight="1">
      <c r="A14" s="21" t="s">
        <v>108</v>
      </c>
      <c r="B14" s="22" t="s">
        <v>109</v>
      </c>
      <c r="C14" s="22" t="s">
        <v>110</v>
      </c>
      <c r="D14" s="25">
        <v>9.71</v>
      </c>
      <c r="E14" s="25">
        <v>7.8</v>
      </c>
      <c r="F14" s="50">
        <v>14.31</v>
      </c>
      <c r="G14" s="24">
        <v>6.2</v>
      </c>
      <c r="H14" s="26">
        <v>22.04</v>
      </c>
      <c r="I14" s="24">
        <v>6.59</v>
      </c>
      <c r="J14" s="51">
        <v>48.78</v>
      </c>
      <c r="K14" s="50">
        <v>16.33</v>
      </c>
      <c r="L14" s="23">
        <v>3.17</v>
      </c>
      <c r="M14" s="51">
        <v>89.8</v>
      </c>
      <c r="N14" s="23">
        <v>1.77</v>
      </c>
      <c r="O14" s="51">
        <v>42.46</v>
      </c>
      <c r="P14" s="50">
        <v>16.32</v>
      </c>
      <c r="Q14" s="23">
        <v>1.46</v>
      </c>
      <c r="R14" s="51">
        <v>82.71</v>
      </c>
      <c r="S14" s="26">
        <v>18.54</v>
      </c>
      <c r="T14" s="25">
        <v>9.21</v>
      </c>
      <c r="U14" s="23">
        <v>1.51</v>
      </c>
      <c r="V14" s="23">
        <v>1.46</v>
      </c>
      <c r="W14" s="23">
        <v>0.7</v>
      </c>
      <c r="X14" s="26">
        <v>21.14</v>
      </c>
      <c r="Y14" s="23">
        <v>0.12</v>
      </c>
      <c r="Z14" s="50">
        <v>11.83</v>
      </c>
      <c r="AA14" s="51">
        <v>43.0</v>
      </c>
      <c r="AB14" s="25">
        <v>8.32</v>
      </c>
      <c r="AC14" s="23">
        <v>0.6</v>
      </c>
      <c r="AD14" s="26">
        <v>19.8</v>
      </c>
      <c r="AE14" s="51">
        <v>41.42</v>
      </c>
      <c r="AF14" s="23">
        <v>3.04</v>
      </c>
      <c r="AG14" s="50">
        <v>13.9</v>
      </c>
      <c r="AH14" s="50">
        <v>16.23</v>
      </c>
      <c r="AI14" s="51">
        <v>44.9</v>
      </c>
      <c r="AJ14" s="50">
        <v>11.87</v>
      </c>
      <c r="AK14" s="51">
        <v>87.47</v>
      </c>
      <c r="AL14" s="24">
        <v>5.08</v>
      </c>
      <c r="AM14" s="26">
        <v>28.12</v>
      </c>
      <c r="AN14" s="50">
        <v>11.1</v>
      </c>
      <c r="AO14" s="26">
        <v>32.3</v>
      </c>
      <c r="AP14" s="26">
        <v>36.8</v>
      </c>
      <c r="AQ14" s="26">
        <v>17.45</v>
      </c>
      <c r="AR14" s="51">
        <v>123.6</v>
      </c>
      <c r="AS14" s="26">
        <v>37.88</v>
      </c>
      <c r="AT14" s="23">
        <v>0.42</v>
      </c>
      <c r="AU14" s="23">
        <v>1.64</v>
      </c>
      <c r="AV14" s="23">
        <v>2.63</v>
      </c>
    </row>
    <row r="15" ht="14.25" customHeight="1">
      <c r="A15" s="21" t="s">
        <v>111</v>
      </c>
      <c r="B15" s="22" t="s">
        <v>112</v>
      </c>
      <c r="C15" s="22">
        <v>350.0</v>
      </c>
      <c r="D15" s="24">
        <v>171.0</v>
      </c>
      <c r="E15" s="24">
        <v>152.0</v>
      </c>
      <c r="F15" s="23">
        <v>90.0</v>
      </c>
      <c r="G15" s="23">
        <v>50.0</v>
      </c>
      <c r="H15" s="51">
        <v>400.0</v>
      </c>
      <c r="I15" s="23">
        <v>55.0</v>
      </c>
      <c r="J15" s="51">
        <v>451.0</v>
      </c>
      <c r="K15" s="26">
        <v>256.0</v>
      </c>
      <c r="L15" s="23">
        <v>64.0</v>
      </c>
      <c r="M15" s="51">
        <v>711.0</v>
      </c>
      <c r="N15" s="23">
        <v>26.0</v>
      </c>
      <c r="O15" s="51">
        <v>694.0</v>
      </c>
      <c r="P15" s="26">
        <v>330.0</v>
      </c>
      <c r="Q15" s="23">
        <v>47.0</v>
      </c>
      <c r="R15" s="26">
        <v>346.0</v>
      </c>
      <c r="S15" s="51">
        <v>385.0</v>
      </c>
      <c r="T15" s="51">
        <v>370.0</v>
      </c>
      <c r="U15" s="23">
        <v>49.0</v>
      </c>
      <c r="V15" s="23">
        <v>32.0</v>
      </c>
      <c r="W15" s="23">
        <v>15.0</v>
      </c>
      <c r="X15" s="24">
        <v>178.0</v>
      </c>
      <c r="Y15" s="23">
        <v>12.0</v>
      </c>
      <c r="Z15" s="25">
        <v>259.0</v>
      </c>
      <c r="AA15" s="24">
        <v>120.0</v>
      </c>
      <c r="AB15" s="23">
        <v>60.0</v>
      </c>
      <c r="AC15" s="23">
        <v>43.0</v>
      </c>
      <c r="AD15" s="25">
        <v>214.0</v>
      </c>
      <c r="AE15" s="24">
        <v>193.0</v>
      </c>
      <c r="AF15" s="24">
        <v>183.0</v>
      </c>
      <c r="AG15" s="24">
        <v>163.0</v>
      </c>
      <c r="AH15" s="25">
        <v>258.0</v>
      </c>
      <c r="AI15" s="51">
        <v>440.0</v>
      </c>
      <c r="AJ15" s="23">
        <v>63.0</v>
      </c>
      <c r="AK15" s="51">
        <v>602.0</v>
      </c>
      <c r="AL15" s="23">
        <v>80.0</v>
      </c>
      <c r="AM15" s="51">
        <v>428.0</v>
      </c>
      <c r="AN15" s="25">
        <v>264.0</v>
      </c>
      <c r="AO15" s="26">
        <v>347.0</v>
      </c>
      <c r="AP15" s="26">
        <v>270.0</v>
      </c>
      <c r="AQ15" s="24">
        <v>160.0</v>
      </c>
      <c r="AR15" s="25">
        <v>220.0</v>
      </c>
      <c r="AS15" s="51">
        <v>377.0</v>
      </c>
      <c r="AT15" s="23">
        <v>27.0</v>
      </c>
      <c r="AU15" s="23">
        <v>57.0</v>
      </c>
      <c r="AV15" s="23">
        <v>95.0</v>
      </c>
    </row>
    <row r="16" ht="14.25" customHeight="1">
      <c r="A16" s="21" t="s">
        <v>113</v>
      </c>
      <c r="B16" s="22" t="s">
        <v>114</v>
      </c>
      <c r="C16" s="22">
        <v>4000.0</v>
      </c>
      <c r="D16" s="23">
        <v>158.0</v>
      </c>
      <c r="E16" s="24">
        <v>293.0</v>
      </c>
      <c r="F16" s="23">
        <v>176.0</v>
      </c>
      <c r="G16" s="23">
        <v>58.0</v>
      </c>
      <c r="H16" s="25">
        <v>436.0</v>
      </c>
      <c r="I16" s="23">
        <v>66.0</v>
      </c>
      <c r="J16" s="50">
        <v>543.0</v>
      </c>
      <c r="K16" s="24">
        <v>277.0</v>
      </c>
      <c r="L16" s="23">
        <v>56.0</v>
      </c>
      <c r="M16" s="24">
        <v>274.0</v>
      </c>
      <c r="N16" s="23">
        <v>48.0</v>
      </c>
      <c r="O16" s="25">
        <v>481.0</v>
      </c>
      <c r="P16" s="25">
        <v>409.0</v>
      </c>
      <c r="Q16" s="23">
        <v>52.0</v>
      </c>
      <c r="R16" s="24">
        <v>306.0</v>
      </c>
      <c r="S16" s="25">
        <v>487.0</v>
      </c>
      <c r="T16" s="26">
        <v>828.0</v>
      </c>
      <c r="U16" s="23">
        <v>106.0</v>
      </c>
      <c r="V16" s="23">
        <v>43.0</v>
      </c>
      <c r="W16" s="23">
        <v>41.0</v>
      </c>
      <c r="X16" s="24">
        <v>314.0</v>
      </c>
      <c r="Y16" s="23">
        <v>6.0</v>
      </c>
      <c r="Z16" s="23">
        <v>104.0</v>
      </c>
      <c r="AA16" s="23">
        <v>113.0</v>
      </c>
      <c r="AB16" s="23">
        <v>64.0</v>
      </c>
      <c r="AC16" s="23">
        <v>34.0</v>
      </c>
      <c r="AD16" s="23">
        <v>168.0</v>
      </c>
      <c r="AE16" s="24">
        <v>268.0</v>
      </c>
      <c r="AF16" s="23">
        <v>213.0</v>
      </c>
      <c r="AG16" s="23">
        <v>110.0</v>
      </c>
      <c r="AH16" s="50">
        <v>568.0</v>
      </c>
      <c r="AI16" s="50">
        <v>547.0</v>
      </c>
      <c r="AJ16" s="23">
        <v>60.0</v>
      </c>
      <c r="AK16" s="24">
        <v>276.0</v>
      </c>
      <c r="AL16" s="23">
        <v>73.0</v>
      </c>
      <c r="AM16" s="23">
        <v>91.0</v>
      </c>
      <c r="AN16" s="24">
        <v>252.0</v>
      </c>
      <c r="AO16" s="24">
        <v>313.0</v>
      </c>
      <c r="AP16" s="23">
        <v>148.0</v>
      </c>
      <c r="AQ16" s="23">
        <v>106.0</v>
      </c>
      <c r="AR16" s="23">
        <v>201.0</v>
      </c>
      <c r="AS16" s="23">
        <v>140.0</v>
      </c>
      <c r="AT16" s="23">
        <v>31.0</v>
      </c>
      <c r="AU16" s="23">
        <v>71.0</v>
      </c>
      <c r="AV16" s="23">
        <v>91.0</v>
      </c>
    </row>
    <row r="17" ht="14.25" customHeight="1">
      <c r="A17" s="21" t="s">
        <v>115</v>
      </c>
      <c r="B17" s="22" t="s">
        <v>116</v>
      </c>
      <c r="C17" s="22" t="s">
        <v>100</v>
      </c>
      <c r="D17" s="24">
        <v>1329.0</v>
      </c>
      <c r="E17" s="25">
        <v>2014.0</v>
      </c>
      <c r="F17" s="23">
        <v>73.0</v>
      </c>
      <c r="G17" s="23">
        <v>554.0</v>
      </c>
      <c r="H17" s="25">
        <v>2683.0</v>
      </c>
      <c r="I17" s="23">
        <v>738.0</v>
      </c>
      <c r="J17" s="50">
        <v>3308.0</v>
      </c>
      <c r="K17" s="24">
        <v>1186.0</v>
      </c>
      <c r="L17" s="23">
        <v>295.0</v>
      </c>
      <c r="M17" s="25">
        <v>2630.0</v>
      </c>
      <c r="N17" s="23">
        <v>521.0</v>
      </c>
      <c r="O17" s="26">
        <v>4466.0</v>
      </c>
      <c r="P17" s="24">
        <v>1267.0</v>
      </c>
      <c r="Q17" s="23">
        <v>369.0</v>
      </c>
      <c r="R17" s="24">
        <v>1522.0</v>
      </c>
      <c r="S17" s="24">
        <v>1694.0</v>
      </c>
      <c r="T17" s="23">
        <v>738.0</v>
      </c>
      <c r="U17" s="23">
        <v>138.0</v>
      </c>
      <c r="V17" s="23">
        <v>354.0</v>
      </c>
      <c r="W17" s="23">
        <v>202.0</v>
      </c>
      <c r="X17" s="25">
        <v>2280.0</v>
      </c>
      <c r="Y17" s="23">
        <v>148.0</v>
      </c>
      <c r="Z17" s="24">
        <v>1020.0</v>
      </c>
      <c r="AA17" s="23">
        <v>529.0</v>
      </c>
      <c r="AB17" s="23">
        <v>431.0</v>
      </c>
      <c r="AC17" s="23">
        <v>415.0</v>
      </c>
      <c r="AD17" s="24">
        <v>1320.0</v>
      </c>
      <c r="AE17" s="25">
        <v>2525.0</v>
      </c>
      <c r="AF17" s="23">
        <v>350.0</v>
      </c>
      <c r="AG17" s="23">
        <v>463.0</v>
      </c>
      <c r="AH17" s="24">
        <v>1351.0</v>
      </c>
      <c r="AI17" s="24">
        <v>1400.0</v>
      </c>
      <c r="AJ17" s="23">
        <v>458.0</v>
      </c>
      <c r="AK17" s="25">
        <v>1924.0</v>
      </c>
      <c r="AL17" s="23">
        <v>569.0</v>
      </c>
      <c r="AM17" s="24">
        <v>1070.0</v>
      </c>
      <c r="AN17" s="24">
        <v>1724.0</v>
      </c>
      <c r="AO17" s="50">
        <v>3020.0</v>
      </c>
      <c r="AP17" s="24">
        <v>1260.0</v>
      </c>
      <c r="AQ17" s="23">
        <v>609.0</v>
      </c>
      <c r="AR17" s="23">
        <v>814.0</v>
      </c>
      <c r="AS17" s="24">
        <v>1051.0</v>
      </c>
      <c r="AT17" s="23">
        <v>246.0</v>
      </c>
      <c r="AU17" s="23">
        <v>334.0</v>
      </c>
      <c r="AV17" s="23">
        <v>272.0</v>
      </c>
    </row>
    <row r="18" ht="14.25" customHeight="1">
      <c r="A18" s="21" t="s">
        <v>117</v>
      </c>
      <c r="B18" s="22" t="s">
        <v>118</v>
      </c>
      <c r="C18" s="22">
        <v>2300.0</v>
      </c>
      <c r="D18" s="23">
        <v>20.0</v>
      </c>
      <c r="E18" s="23">
        <v>30.0</v>
      </c>
      <c r="F18" s="23">
        <v>5.0</v>
      </c>
      <c r="G18" s="23">
        <v>56.0</v>
      </c>
      <c r="H18" s="25">
        <v>452.0</v>
      </c>
      <c r="I18" s="23">
        <v>61.0</v>
      </c>
      <c r="J18" s="24">
        <v>208.0</v>
      </c>
      <c r="K18" s="23">
        <v>20.0</v>
      </c>
      <c r="L18" s="23">
        <v>4.0</v>
      </c>
      <c r="M18" s="23">
        <v>76.0</v>
      </c>
      <c r="N18" s="23">
        <v>46.0</v>
      </c>
      <c r="O18" s="24">
        <v>211.0</v>
      </c>
      <c r="P18" s="23">
        <v>35.0</v>
      </c>
      <c r="Q18" s="23">
        <v>27.0</v>
      </c>
      <c r="R18" s="23">
        <v>77.0</v>
      </c>
      <c r="S18" s="23">
        <v>88.0</v>
      </c>
      <c r="T18" s="23">
        <v>13.0</v>
      </c>
      <c r="U18" s="62">
        <v>1135.0</v>
      </c>
      <c r="V18" s="23">
        <v>25.0</v>
      </c>
      <c r="W18" s="23">
        <v>16.0</v>
      </c>
      <c r="X18" s="23">
        <v>68.0</v>
      </c>
      <c r="Y18" s="23">
        <v>9.0</v>
      </c>
      <c r="Z18" s="24">
        <v>277.0</v>
      </c>
      <c r="AA18" s="23">
        <v>23.0</v>
      </c>
      <c r="AB18" s="23">
        <v>10.0</v>
      </c>
      <c r="AC18" s="23">
        <v>13.0</v>
      </c>
      <c r="AD18" s="23">
        <v>27.0</v>
      </c>
      <c r="AE18" s="23">
        <v>38.0</v>
      </c>
      <c r="AF18" s="23">
        <v>16.0</v>
      </c>
      <c r="AG18" s="23">
        <v>80.0</v>
      </c>
      <c r="AH18" s="23">
        <v>17.0</v>
      </c>
      <c r="AI18" s="24">
        <v>160.0</v>
      </c>
      <c r="AJ18" s="23">
        <v>30.0</v>
      </c>
      <c r="AK18" s="25">
        <v>344.0</v>
      </c>
      <c r="AL18" s="23">
        <v>31.0</v>
      </c>
      <c r="AM18" s="23">
        <v>11.0</v>
      </c>
      <c r="AN18" s="24">
        <v>148.0</v>
      </c>
      <c r="AO18" s="23">
        <v>62.0</v>
      </c>
      <c r="AP18" s="23">
        <v>25.0</v>
      </c>
      <c r="AQ18" s="23">
        <v>9.0</v>
      </c>
      <c r="AR18" s="23">
        <v>55.0</v>
      </c>
      <c r="AS18" s="23">
        <v>24.0</v>
      </c>
      <c r="AT18" s="34">
        <v>314.0</v>
      </c>
      <c r="AU18" s="23">
        <v>4.0</v>
      </c>
      <c r="AV18" s="23">
        <v>9.0</v>
      </c>
    </row>
    <row r="19" ht="14.25" customHeight="1">
      <c r="A19" s="21" t="s">
        <v>119</v>
      </c>
      <c r="B19" s="22" t="s">
        <v>120</v>
      </c>
      <c r="C19" s="22">
        <v>40.0</v>
      </c>
      <c r="D19" s="23">
        <v>1.19</v>
      </c>
      <c r="E19" s="23">
        <v>2.48</v>
      </c>
      <c r="F19" s="23">
        <v>1.13</v>
      </c>
      <c r="G19" s="23">
        <v>1.07</v>
      </c>
      <c r="H19" s="24">
        <v>5.44</v>
      </c>
      <c r="I19" s="23">
        <v>0.91</v>
      </c>
      <c r="J19" s="23">
        <v>3.3</v>
      </c>
      <c r="K19" s="24">
        <v>5.2</v>
      </c>
      <c r="L19" s="23">
        <v>0.81</v>
      </c>
      <c r="M19" s="25">
        <v>7.1</v>
      </c>
      <c r="N19" s="23">
        <v>0.5</v>
      </c>
      <c r="O19" s="24">
        <v>4.72</v>
      </c>
      <c r="P19" s="24">
        <v>4.7</v>
      </c>
      <c r="Q19" s="23">
        <v>0.47</v>
      </c>
      <c r="R19" s="23">
        <v>3.6</v>
      </c>
      <c r="S19" s="23">
        <v>3.7</v>
      </c>
      <c r="T19" s="25">
        <v>6.08</v>
      </c>
      <c r="U19" s="23">
        <v>0.64</v>
      </c>
      <c r="V19" s="23">
        <v>0.2</v>
      </c>
      <c r="W19" s="23">
        <v>0.11</v>
      </c>
      <c r="X19" s="24">
        <v>4.33</v>
      </c>
      <c r="Y19" s="23">
        <v>0.11</v>
      </c>
      <c r="Z19" s="23">
        <v>2.32</v>
      </c>
      <c r="AA19" s="23">
        <v>3.7</v>
      </c>
      <c r="AB19" s="23">
        <v>1.83</v>
      </c>
      <c r="AC19" s="23">
        <v>0.34</v>
      </c>
      <c r="AD19" s="23">
        <v>3.64</v>
      </c>
      <c r="AE19" s="24">
        <v>4.35</v>
      </c>
      <c r="AF19" s="23">
        <v>2.15</v>
      </c>
      <c r="AG19" s="23">
        <v>2.3</v>
      </c>
      <c r="AH19" s="24">
        <v>5.5</v>
      </c>
      <c r="AI19" s="25">
        <v>6.93</v>
      </c>
      <c r="AJ19" s="23">
        <v>1.09</v>
      </c>
      <c r="AK19" s="23">
        <v>2.41</v>
      </c>
      <c r="AL19" s="23">
        <v>1.11</v>
      </c>
      <c r="AM19" s="24">
        <v>4.7</v>
      </c>
      <c r="AN19" s="23">
        <v>1.09</v>
      </c>
      <c r="AO19" s="24">
        <v>3.9</v>
      </c>
      <c r="AP19" s="23">
        <v>2.69</v>
      </c>
      <c r="AQ19" s="23">
        <v>1.81</v>
      </c>
      <c r="AR19" s="25">
        <v>6.18</v>
      </c>
      <c r="AS19" s="24">
        <v>4.3</v>
      </c>
      <c r="AT19" s="23">
        <v>0.83</v>
      </c>
      <c r="AU19" s="23">
        <v>0.34</v>
      </c>
      <c r="AV19" s="23">
        <v>0.67</v>
      </c>
    </row>
    <row r="20" ht="14.25" customHeight="1">
      <c r="A20" s="21" t="s">
        <v>121</v>
      </c>
      <c r="B20" s="22" t="s">
        <v>122</v>
      </c>
      <c r="C20" s="22">
        <v>10.0</v>
      </c>
      <c r="D20" s="26">
        <v>1.33</v>
      </c>
      <c r="E20" s="23">
        <v>0.373</v>
      </c>
      <c r="F20" s="26">
        <v>0.91</v>
      </c>
      <c r="G20" s="23">
        <v>0.149</v>
      </c>
      <c r="H20" s="25">
        <v>0.78</v>
      </c>
      <c r="I20" s="23">
        <v>0.146</v>
      </c>
      <c r="J20" s="23">
        <v>0.49</v>
      </c>
      <c r="K20" s="25">
        <v>0.78</v>
      </c>
      <c r="L20" s="23">
        <v>0.385</v>
      </c>
      <c r="M20" s="26">
        <v>2.1</v>
      </c>
      <c r="N20" s="23">
        <v>0.225</v>
      </c>
      <c r="O20" s="26">
        <v>1.786</v>
      </c>
      <c r="P20" s="26">
        <v>0.975</v>
      </c>
      <c r="Q20" s="23">
        <v>0.076</v>
      </c>
      <c r="R20" s="26">
        <v>1.133</v>
      </c>
      <c r="S20" s="26">
        <v>1.067</v>
      </c>
      <c r="T20" s="25">
        <v>0.645</v>
      </c>
      <c r="U20" s="23">
        <v>0.085</v>
      </c>
      <c r="V20" s="23">
        <v>0.147</v>
      </c>
      <c r="W20" s="23">
        <v>0.084</v>
      </c>
      <c r="X20" s="25">
        <v>0.713</v>
      </c>
      <c r="Y20" s="23">
        <v>0.072</v>
      </c>
      <c r="Z20" s="23">
        <v>0.368</v>
      </c>
      <c r="AA20" s="23">
        <v>0.416</v>
      </c>
      <c r="AB20" s="23">
        <v>0.339</v>
      </c>
      <c r="AC20" s="23">
        <v>0.226</v>
      </c>
      <c r="AD20" s="23">
        <v>0.48</v>
      </c>
      <c r="AE20" s="24">
        <v>0.603</v>
      </c>
      <c r="AF20" s="26">
        <v>1.027</v>
      </c>
      <c r="AG20" s="26">
        <v>2.467</v>
      </c>
      <c r="AH20" s="26">
        <v>0.91</v>
      </c>
      <c r="AI20" s="26">
        <v>1.37</v>
      </c>
      <c r="AJ20" s="23">
        <v>0.24</v>
      </c>
      <c r="AK20" s="26">
        <v>1.542</v>
      </c>
      <c r="AL20" s="23">
        <v>0.329</v>
      </c>
      <c r="AM20" s="25">
        <v>0.757</v>
      </c>
      <c r="AN20" s="23">
        <v>0.328</v>
      </c>
      <c r="AO20" s="24">
        <v>0.677</v>
      </c>
      <c r="AP20" s="24">
        <v>0.633</v>
      </c>
      <c r="AQ20" s="23">
        <v>0.555</v>
      </c>
      <c r="AR20" s="25">
        <v>0.86</v>
      </c>
      <c r="AS20" s="25">
        <v>0.847</v>
      </c>
      <c r="AT20" s="23">
        <v>0.058</v>
      </c>
      <c r="AU20" s="23">
        <v>0.076</v>
      </c>
      <c r="AV20" s="25">
        <v>0.415</v>
      </c>
    </row>
    <row r="21" ht="14.25" customHeight="1">
      <c r="A21" s="21" t="s">
        <v>123</v>
      </c>
      <c r="B21" s="22" t="s">
        <v>124</v>
      </c>
      <c r="C21" s="22">
        <v>11.0</v>
      </c>
      <c r="D21" s="51">
        <v>12.753</v>
      </c>
      <c r="E21" s="25">
        <v>2.0</v>
      </c>
      <c r="F21" s="26">
        <v>4.3</v>
      </c>
      <c r="G21" s="23">
        <v>0.16</v>
      </c>
      <c r="H21" s="26">
        <v>9.81</v>
      </c>
      <c r="I21" s="24">
        <v>1.264</v>
      </c>
      <c r="J21" s="26">
        <v>3.95</v>
      </c>
      <c r="K21" s="25">
        <v>1.833</v>
      </c>
      <c r="L21" s="24">
        <v>1.148</v>
      </c>
      <c r="M21" s="26">
        <v>9.8</v>
      </c>
      <c r="N21" s="23">
        <v>0.426</v>
      </c>
      <c r="O21" s="26">
        <v>6.355</v>
      </c>
      <c r="P21" s="25">
        <v>1.9</v>
      </c>
      <c r="Q21" s="23">
        <v>0.321</v>
      </c>
      <c r="R21" s="26">
        <v>5.433</v>
      </c>
      <c r="S21" s="26">
        <v>6.533</v>
      </c>
      <c r="T21" s="26">
        <v>2.448</v>
      </c>
      <c r="U21" s="23">
        <v>0.417</v>
      </c>
      <c r="V21" s="23">
        <v>0.48</v>
      </c>
      <c r="W21" s="23">
        <v>0.274</v>
      </c>
      <c r="X21" s="24">
        <v>1.59</v>
      </c>
      <c r="Y21" s="23">
        <v>0.23</v>
      </c>
      <c r="Z21" s="51">
        <v>60.127</v>
      </c>
      <c r="AA21" s="26">
        <v>8.167</v>
      </c>
      <c r="AB21" s="51">
        <v>17.466</v>
      </c>
      <c r="AC21" s="23">
        <v>0.229</v>
      </c>
      <c r="AD21" s="51">
        <v>33.3</v>
      </c>
      <c r="AE21" s="26">
        <v>7.833</v>
      </c>
      <c r="AF21" s="26">
        <v>2.9</v>
      </c>
      <c r="AG21" s="24">
        <v>1.5</v>
      </c>
      <c r="AH21" s="24">
        <v>1.3</v>
      </c>
      <c r="AI21" s="26">
        <v>7.567</v>
      </c>
      <c r="AJ21" s="24">
        <v>1.118</v>
      </c>
      <c r="AK21" s="51">
        <v>11.482</v>
      </c>
      <c r="AL21" s="24">
        <v>1.176</v>
      </c>
      <c r="AM21" s="26">
        <v>3.133</v>
      </c>
      <c r="AN21" s="51">
        <v>28.408</v>
      </c>
      <c r="AO21" s="26">
        <v>7.967</v>
      </c>
      <c r="AP21" s="26">
        <v>4.99</v>
      </c>
      <c r="AQ21" s="24">
        <v>1.719</v>
      </c>
      <c r="AR21" s="26">
        <v>7.867</v>
      </c>
      <c r="AS21" s="26">
        <v>6.1</v>
      </c>
      <c r="AT21" s="23">
        <v>0.126</v>
      </c>
      <c r="AU21" s="23">
        <v>0.779</v>
      </c>
      <c r="AV21" s="26">
        <v>2.855</v>
      </c>
    </row>
    <row r="22" ht="14.25" customHeight="1">
      <c r="A22" s="21" t="s">
        <v>125</v>
      </c>
      <c r="B22" s="22" t="s">
        <v>126</v>
      </c>
      <c r="C22" s="22">
        <v>400.0</v>
      </c>
      <c r="D22" s="23">
        <v>4.9</v>
      </c>
      <c r="E22" s="23">
        <v>8.8</v>
      </c>
      <c r="F22" s="23">
        <v>3.1</v>
      </c>
      <c r="G22" s="23">
        <v>0.1</v>
      </c>
      <c r="H22" s="24">
        <v>14.1</v>
      </c>
      <c r="K22" s="24">
        <v>12.1</v>
      </c>
      <c r="L22" s="23">
        <v>0.3</v>
      </c>
      <c r="M22" s="23">
        <v>3.0</v>
      </c>
      <c r="N22" s="23">
        <v>0.9</v>
      </c>
      <c r="O22" s="25">
        <v>29.3</v>
      </c>
      <c r="P22" s="25">
        <v>26.2</v>
      </c>
      <c r="Q22" s="23">
        <v>0.3</v>
      </c>
      <c r="R22" s="23">
        <v>4.5</v>
      </c>
      <c r="T22" s="26">
        <v>208.1</v>
      </c>
      <c r="U22" s="25">
        <v>32.9</v>
      </c>
      <c r="V22" s="23">
        <v>0.9</v>
      </c>
      <c r="W22" s="23">
        <v>0.6</v>
      </c>
      <c r="X22" s="23">
        <v>6.3</v>
      </c>
      <c r="Y22" s="23">
        <v>0.0</v>
      </c>
      <c r="Z22" s="23">
        <v>7.2</v>
      </c>
      <c r="AA22" s="23">
        <v>2.8</v>
      </c>
      <c r="AB22" s="23">
        <v>3.1</v>
      </c>
      <c r="AC22" s="23">
        <v>0.7</v>
      </c>
      <c r="AD22" s="26">
        <v>55.8</v>
      </c>
      <c r="AE22" s="23">
        <v>4.5</v>
      </c>
      <c r="AF22" s="23">
        <v>1.6</v>
      </c>
      <c r="AG22" s="23">
        <v>2.7</v>
      </c>
      <c r="AH22" s="24">
        <v>12.1</v>
      </c>
      <c r="AI22" s="24">
        <v>12.1</v>
      </c>
      <c r="AM22" s="23">
        <v>3.7</v>
      </c>
      <c r="AN22" s="23">
        <v>5.6</v>
      </c>
      <c r="AO22" s="23">
        <v>4.4</v>
      </c>
      <c r="AP22" s="23">
        <v>4.5</v>
      </c>
      <c r="AR22" s="23">
        <v>4.6</v>
      </c>
      <c r="AS22" s="23">
        <v>4.6</v>
      </c>
      <c r="AT22" s="23">
        <v>2.8</v>
      </c>
      <c r="AU22" s="23">
        <v>0.3</v>
      </c>
      <c r="AV22" s="23">
        <v>0.9</v>
      </c>
    </row>
    <row r="23" ht="14.25" customHeight="1">
      <c r="A23" s="21" t="s">
        <v>127</v>
      </c>
      <c r="B23" s="22" t="s">
        <v>128</v>
      </c>
      <c r="C23" s="22" t="s">
        <v>129</v>
      </c>
      <c r="D23" s="23">
        <v>34.2</v>
      </c>
      <c r="U23" s="23">
        <v>1.5</v>
      </c>
    </row>
    <row r="24" ht="14.25" customHeight="1">
      <c r="A24" s="19" t="s">
        <v>130</v>
      </c>
      <c r="B24" s="27"/>
      <c r="C24" s="27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19"/>
    </row>
    <row r="25" ht="14.25" customHeight="1">
      <c r="A25" s="21" t="s">
        <v>131</v>
      </c>
      <c r="B25" s="22">
        <v>90.0</v>
      </c>
      <c r="C25" s="22">
        <v>2000.0</v>
      </c>
      <c r="D25" s="23">
        <v>0.0</v>
      </c>
      <c r="E25" s="25">
        <v>76.4</v>
      </c>
      <c r="F25" s="23">
        <v>21.0</v>
      </c>
      <c r="G25" s="26">
        <v>133.0</v>
      </c>
      <c r="H25" s="26">
        <v>125.0</v>
      </c>
      <c r="I25" s="25">
        <v>85.0</v>
      </c>
      <c r="J25" s="24">
        <v>50.0</v>
      </c>
      <c r="K25" s="23">
        <v>21.0</v>
      </c>
      <c r="L25" s="23">
        <v>18.0</v>
      </c>
      <c r="M25" s="23">
        <v>0.8</v>
      </c>
      <c r="N25" s="23">
        <v>27.0</v>
      </c>
      <c r="O25" s="26">
        <v>566.7</v>
      </c>
      <c r="P25" s="23">
        <v>21.0</v>
      </c>
      <c r="Q25" s="23">
        <v>15.0</v>
      </c>
      <c r="R25" s="24">
        <v>51.4</v>
      </c>
      <c r="S25" s="23">
        <v>21.0</v>
      </c>
      <c r="T25" s="23">
        <v>7.1</v>
      </c>
      <c r="U25" s="23">
        <v>1.5</v>
      </c>
      <c r="V25" s="25">
        <v>70.0</v>
      </c>
      <c r="W25" s="23">
        <v>25.3</v>
      </c>
      <c r="X25" s="23">
        <v>0.9</v>
      </c>
      <c r="Y25" s="23">
        <v>0.0</v>
      </c>
      <c r="Z25" s="23">
        <v>0.2</v>
      </c>
      <c r="AA25" s="24">
        <v>46.5</v>
      </c>
      <c r="AB25" s="23">
        <v>3.8</v>
      </c>
      <c r="AC25" s="23">
        <v>5.0</v>
      </c>
      <c r="AD25" s="23">
        <v>0.7</v>
      </c>
      <c r="AE25" s="23">
        <v>25.9</v>
      </c>
      <c r="AF25" s="23">
        <v>3.0</v>
      </c>
      <c r="AG25" s="23">
        <v>21.0</v>
      </c>
      <c r="AH25" s="23">
        <v>21.0</v>
      </c>
      <c r="AI25" s="23">
        <v>17.1</v>
      </c>
      <c r="AJ25" s="23">
        <v>13.3</v>
      </c>
      <c r="AK25" s="23">
        <v>0.0</v>
      </c>
      <c r="AL25" s="23">
        <v>31.8</v>
      </c>
      <c r="AM25" s="23">
        <v>32.4</v>
      </c>
      <c r="AN25" s="25">
        <v>80.8</v>
      </c>
      <c r="AO25" s="24">
        <v>50.0</v>
      </c>
      <c r="AP25" s="23">
        <v>2.3</v>
      </c>
      <c r="AQ25" s="26">
        <v>160.1</v>
      </c>
      <c r="AR25" s="24">
        <v>50.0</v>
      </c>
      <c r="AS25" s="24">
        <v>50.0</v>
      </c>
      <c r="AT25" s="23">
        <v>24.9</v>
      </c>
      <c r="AV25" s="23">
        <v>11.1</v>
      </c>
    </row>
    <row r="26" ht="14.25" customHeight="1">
      <c r="A26" s="21" t="s">
        <v>132</v>
      </c>
      <c r="B26" s="22" t="s">
        <v>133</v>
      </c>
      <c r="C26" s="22" t="s">
        <v>100</v>
      </c>
      <c r="D26" s="23">
        <v>0.108</v>
      </c>
      <c r="E26" s="23">
        <v>0.328</v>
      </c>
      <c r="F26" s="23">
        <v>0.022</v>
      </c>
      <c r="G26" s="23">
        <v>0.086</v>
      </c>
      <c r="H26" s="23">
        <v>0.196</v>
      </c>
      <c r="I26" s="23">
        <v>0.058</v>
      </c>
      <c r="J26" s="24">
        <v>0.418</v>
      </c>
      <c r="K26" s="24">
        <v>0.418</v>
      </c>
      <c r="L26" s="23">
        <v>0.034</v>
      </c>
      <c r="M26" s="23">
        <v>0.08</v>
      </c>
      <c r="N26" s="23">
        <v>0.067</v>
      </c>
      <c r="O26" s="26">
        <v>1.252</v>
      </c>
      <c r="P26" s="23">
        <v>0.239</v>
      </c>
      <c r="Q26" s="23">
        <v>0.044</v>
      </c>
      <c r="R26" s="23">
        <v>0.289</v>
      </c>
      <c r="S26" s="24">
        <v>0.408</v>
      </c>
      <c r="T26" s="25">
        <v>0.805</v>
      </c>
      <c r="U26" s="23">
        <v>0.343</v>
      </c>
      <c r="V26" s="23">
        <v>0.08</v>
      </c>
      <c r="W26" s="23">
        <v>0.041</v>
      </c>
      <c r="X26" s="23">
        <v>0.33</v>
      </c>
      <c r="Y26" s="23">
        <v>0.011</v>
      </c>
      <c r="Z26" s="23">
        <v>0.158</v>
      </c>
      <c r="AA26" s="23">
        <v>0.009</v>
      </c>
      <c r="AB26" s="23">
        <v>0.022</v>
      </c>
      <c r="AC26" s="23">
        <v>0.025</v>
      </c>
      <c r="AD26" s="23">
        <v>0.046</v>
      </c>
      <c r="AE26" s="23">
        <v>0.152</v>
      </c>
      <c r="AF26" s="23">
        <v>0.346</v>
      </c>
      <c r="AG26" s="23">
        <v>0.312</v>
      </c>
      <c r="AH26" s="23">
        <v>0.383</v>
      </c>
      <c r="AI26" s="23">
        <v>0.34</v>
      </c>
      <c r="AJ26" s="23">
        <v>0.078</v>
      </c>
      <c r="AK26" s="23">
        <v>0.288</v>
      </c>
      <c r="AL26" s="23">
        <v>0.082</v>
      </c>
      <c r="AM26" s="25">
        <v>0.754</v>
      </c>
      <c r="AN26" s="23">
        <v>0.115</v>
      </c>
      <c r="AO26" s="23">
        <v>0.251</v>
      </c>
      <c r="AP26" s="23">
        <v>0.177</v>
      </c>
      <c r="AQ26" s="23">
        <v>0.048</v>
      </c>
      <c r="AR26" s="23">
        <v>0.513</v>
      </c>
      <c r="AS26" s="23">
        <v>0.366</v>
      </c>
      <c r="AT26" s="23">
        <v>0.008</v>
      </c>
      <c r="AU26" s="23">
        <v>0.008</v>
      </c>
      <c r="AV26" s="23">
        <v>0.04</v>
      </c>
    </row>
    <row r="27" ht="14.25" customHeight="1">
      <c r="A27" s="21" t="s">
        <v>134</v>
      </c>
      <c r="B27" s="22" t="s">
        <v>135</v>
      </c>
      <c r="C27" s="22" t="s">
        <v>100</v>
      </c>
      <c r="D27" s="23">
        <v>0.18</v>
      </c>
      <c r="E27" s="25">
        <v>0.919</v>
      </c>
      <c r="F27" s="23">
        <v>0.126</v>
      </c>
      <c r="G27" s="23">
        <v>0.098</v>
      </c>
      <c r="H27" s="26">
        <v>2.383</v>
      </c>
      <c r="I27" s="23">
        <v>0.296</v>
      </c>
      <c r="J27" s="23">
        <v>0.284</v>
      </c>
      <c r="K27" s="23">
        <v>0.284</v>
      </c>
      <c r="L27" s="23">
        <v>0.076</v>
      </c>
      <c r="M27" s="26">
        <v>1.2</v>
      </c>
      <c r="N27" s="23">
        <v>0.162</v>
      </c>
      <c r="O27" s="26">
        <v>1.5</v>
      </c>
      <c r="P27" s="23">
        <v>0.29</v>
      </c>
      <c r="Q27" s="23">
        <v>0.086</v>
      </c>
      <c r="R27" s="23">
        <v>0.316</v>
      </c>
      <c r="S27" s="23">
        <v>0.353</v>
      </c>
      <c r="T27" s="23">
        <v>0.261</v>
      </c>
      <c r="U27" s="23">
        <v>0.03</v>
      </c>
      <c r="V27" s="23">
        <v>0.11</v>
      </c>
      <c r="W27" s="23">
        <v>0.063</v>
      </c>
      <c r="X27" s="26">
        <v>1.23</v>
      </c>
      <c r="Y27" s="23">
        <v>0.095</v>
      </c>
      <c r="Z27" s="23">
        <v>0.22</v>
      </c>
      <c r="AA27" s="24">
        <v>0.421</v>
      </c>
      <c r="AB27" s="23">
        <v>0.041</v>
      </c>
      <c r="AC27" s="23">
        <v>0.034</v>
      </c>
      <c r="AD27" s="23">
        <v>0.17</v>
      </c>
      <c r="AE27" s="23">
        <v>0.233</v>
      </c>
      <c r="AF27" s="23">
        <v>0.057</v>
      </c>
      <c r="AG27" s="24">
        <v>0.448</v>
      </c>
      <c r="AH27" s="24">
        <v>0.379</v>
      </c>
      <c r="AI27" s="23">
        <v>0.29</v>
      </c>
      <c r="AJ27" s="23">
        <v>0.175</v>
      </c>
      <c r="AK27" s="26">
        <v>1.421</v>
      </c>
      <c r="AL27" s="23">
        <v>0.266</v>
      </c>
      <c r="AM27" s="24">
        <v>0.336</v>
      </c>
      <c r="AN27" s="23">
        <v>0.267</v>
      </c>
      <c r="AO27" s="26">
        <v>1.339</v>
      </c>
      <c r="AP27" s="24">
        <v>0.528</v>
      </c>
      <c r="AQ27" s="24">
        <v>0.471</v>
      </c>
      <c r="AR27" s="24">
        <v>0.399</v>
      </c>
      <c r="AT27" s="23">
        <v>0.024</v>
      </c>
      <c r="AU27" s="23">
        <v>0.16</v>
      </c>
      <c r="AV27" s="23">
        <v>0.354</v>
      </c>
    </row>
    <row r="28" ht="14.25" customHeight="1">
      <c r="A28" s="21" t="s">
        <v>136</v>
      </c>
      <c r="B28" s="22" t="s">
        <v>137</v>
      </c>
      <c r="C28" s="22" t="s">
        <v>138</v>
      </c>
      <c r="D28" s="23">
        <v>1.143</v>
      </c>
      <c r="E28" s="25">
        <v>8.701</v>
      </c>
      <c r="F28" s="23">
        <v>0.212</v>
      </c>
      <c r="G28" s="23">
        <v>1.313</v>
      </c>
      <c r="H28" s="25">
        <v>9.943</v>
      </c>
      <c r="I28" s="23">
        <v>1.57</v>
      </c>
      <c r="J28" s="23">
        <v>2.807</v>
      </c>
      <c r="K28" s="23">
        <v>2.807</v>
      </c>
      <c r="L28" s="23">
        <v>0.902</v>
      </c>
      <c r="M28" s="24">
        <v>4.9</v>
      </c>
      <c r="N28" s="23">
        <v>1.114</v>
      </c>
      <c r="O28" s="25">
        <v>10.707</v>
      </c>
      <c r="P28" s="23">
        <v>2.13</v>
      </c>
      <c r="Q28" s="23">
        <v>0.305</v>
      </c>
      <c r="R28" s="23">
        <v>4.12</v>
      </c>
      <c r="S28" s="24">
        <v>6.05</v>
      </c>
      <c r="T28" s="24">
        <v>4.733</v>
      </c>
      <c r="U28" s="23">
        <v>0.523</v>
      </c>
      <c r="V28" s="23">
        <v>0.8</v>
      </c>
      <c r="W28" s="23">
        <v>0.433</v>
      </c>
      <c r="X28" s="25">
        <v>10.06</v>
      </c>
      <c r="Y28" s="23">
        <v>0.425</v>
      </c>
      <c r="Z28" s="23">
        <v>1.56</v>
      </c>
      <c r="AA28" s="23">
        <v>2.005</v>
      </c>
      <c r="AB28" s="23">
        <v>1.332</v>
      </c>
      <c r="AC28" s="23">
        <v>0.75</v>
      </c>
      <c r="AD28" s="25">
        <v>9.62</v>
      </c>
      <c r="AE28" s="24">
        <v>5.14</v>
      </c>
      <c r="AF28" s="23">
        <v>1.299</v>
      </c>
      <c r="AG28" s="23">
        <v>1.35</v>
      </c>
      <c r="AH28" s="23">
        <v>3.606</v>
      </c>
      <c r="AI28" s="23">
        <v>3.06</v>
      </c>
      <c r="AJ28" s="23">
        <v>0.948</v>
      </c>
      <c r="AK28" s="24">
        <v>6.561</v>
      </c>
      <c r="AL28" s="23">
        <v>1.706</v>
      </c>
      <c r="AM28" s="24">
        <v>5.72</v>
      </c>
      <c r="AN28" s="23">
        <v>1.46</v>
      </c>
      <c r="AO28" s="25">
        <v>8.95</v>
      </c>
      <c r="AP28" s="24">
        <v>4.64</v>
      </c>
      <c r="AQ28" s="23">
        <v>1.824</v>
      </c>
      <c r="AR28" s="24">
        <v>4.94</v>
      </c>
      <c r="AS28" s="24">
        <v>4.08</v>
      </c>
      <c r="AT28" s="23">
        <v>0.386</v>
      </c>
      <c r="AU28" s="23">
        <v>0.388</v>
      </c>
      <c r="AV28" s="23">
        <v>2.362</v>
      </c>
    </row>
    <row r="29" ht="14.25" customHeight="1">
      <c r="A29" s="21" t="s">
        <v>139</v>
      </c>
      <c r="B29" s="22">
        <v>1.3</v>
      </c>
      <c r="C29" s="22" t="s">
        <v>140</v>
      </c>
      <c r="D29" s="23">
        <v>0.291</v>
      </c>
      <c r="E29" s="26">
        <v>2.45</v>
      </c>
      <c r="F29" s="23">
        <v>0.1</v>
      </c>
      <c r="G29" s="23">
        <v>0.09</v>
      </c>
      <c r="H29" s="25">
        <v>0.9</v>
      </c>
      <c r="I29" s="23">
        <v>0.185</v>
      </c>
      <c r="J29" s="26">
        <v>1.71</v>
      </c>
      <c r="K29" s="23">
        <v>0.25</v>
      </c>
      <c r="L29" s="23">
        <v>0.155</v>
      </c>
      <c r="M29" s="26">
        <v>1.34</v>
      </c>
      <c r="N29" s="23">
        <v>0.149</v>
      </c>
      <c r="O29" s="23">
        <v>0.61</v>
      </c>
      <c r="Q29" s="23">
        <v>0.073</v>
      </c>
      <c r="R29" s="25">
        <v>1.19</v>
      </c>
      <c r="S29" s="23">
        <v>0.47</v>
      </c>
      <c r="T29" s="24">
        <v>0.397</v>
      </c>
      <c r="U29" s="23">
        <v>0.063</v>
      </c>
      <c r="V29" s="23">
        <v>0.18</v>
      </c>
      <c r="W29" s="23">
        <v>0.098</v>
      </c>
      <c r="X29" s="26">
        <v>2.141</v>
      </c>
      <c r="Y29" s="23">
        <v>0.026</v>
      </c>
      <c r="Z29" s="24">
        <v>0.391</v>
      </c>
      <c r="AA29" s="26">
        <v>1.74</v>
      </c>
      <c r="AB29" s="23">
        <v>0.158</v>
      </c>
      <c r="AC29" s="23">
        <v>0.16</v>
      </c>
      <c r="AD29" s="24">
        <v>0.626</v>
      </c>
      <c r="AE29" s="26">
        <v>1.8</v>
      </c>
      <c r="AF29" s="23">
        <v>0.16</v>
      </c>
      <c r="AG29" s="23">
        <v>0.16</v>
      </c>
      <c r="AH29" s="23">
        <v>0.36</v>
      </c>
      <c r="AI29" s="25">
        <v>0.89</v>
      </c>
      <c r="AJ29" s="23">
        <v>0.158</v>
      </c>
      <c r="AK29" s="26">
        <v>2.579</v>
      </c>
      <c r="AL29" s="23">
        <v>0.129</v>
      </c>
      <c r="AM29" s="26">
        <v>2.69</v>
      </c>
      <c r="AN29" s="25">
        <v>1.01</v>
      </c>
      <c r="AO29" s="26">
        <v>2.41</v>
      </c>
      <c r="AP29" s="25">
        <v>1.044</v>
      </c>
      <c r="AQ29" s="23">
        <v>0.348</v>
      </c>
      <c r="AR29" s="23">
        <v>0.55</v>
      </c>
      <c r="AS29" s="26">
        <v>1.81</v>
      </c>
      <c r="AT29" s="23">
        <v>0.073</v>
      </c>
      <c r="AU29" s="23">
        <v>0.103</v>
      </c>
      <c r="AV29" s="23">
        <v>0.4</v>
      </c>
    </row>
    <row r="30" ht="14.25" customHeight="1">
      <c r="A30" s="23" t="s">
        <v>141</v>
      </c>
      <c r="B30" s="22" t="s">
        <v>142</v>
      </c>
      <c r="C30" s="22">
        <v>1000.0</v>
      </c>
      <c r="D30" s="23">
        <v>17.0</v>
      </c>
      <c r="E30" s="24">
        <v>106.0</v>
      </c>
      <c r="F30" s="23">
        <v>10.0</v>
      </c>
      <c r="G30" s="24">
        <v>152.0</v>
      </c>
      <c r="H30" s="24">
        <v>180.0</v>
      </c>
      <c r="I30" s="24">
        <v>150.0</v>
      </c>
      <c r="K30" s="23">
        <v>10.0</v>
      </c>
      <c r="L30" s="23">
        <v>68.0</v>
      </c>
      <c r="M30" s="25">
        <v>310.0</v>
      </c>
      <c r="N30" s="23">
        <v>62.0</v>
      </c>
      <c r="O30" s="24">
        <v>274.0</v>
      </c>
      <c r="P30" s="23">
        <v>0.0</v>
      </c>
      <c r="Q30" s="24">
        <v>97.0</v>
      </c>
      <c r="R30" s="24">
        <v>274.0</v>
      </c>
      <c r="T30" s="24">
        <v>162.0</v>
      </c>
      <c r="U30" s="23">
        <v>7.0</v>
      </c>
      <c r="V30" s="24">
        <v>187.0</v>
      </c>
      <c r="W30" s="23">
        <v>73.0</v>
      </c>
      <c r="X30" s="23">
        <v>49.0</v>
      </c>
      <c r="Y30" s="23">
        <v>0.0</v>
      </c>
      <c r="Z30" s="23">
        <v>25.0</v>
      </c>
      <c r="AA30" s="24">
        <v>180.0</v>
      </c>
      <c r="AB30" s="23">
        <v>6.0</v>
      </c>
      <c r="AC30" s="23">
        <v>11.0</v>
      </c>
      <c r="AD30" s="23">
        <v>13.0</v>
      </c>
      <c r="AE30" s="23">
        <v>39.0</v>
      </c>
      <c r="AF30" s="23">
        <v>76.0</v>
      </c>
      <c r="AG30" s="23">
        <v>76.0</v>
      </c>
      <c r="AH30" s="23">
        <v>10.0</v>
      </c>
      <c r="AI30" s="23">
        <v>10.0</v>
      </c>
      <c r="AJ30" s="24">
        <v>105.0</v>
      </c>
      <c r="AK30" s="26">
        <v>530.0</v>
      </c>
      <c r="AL30" s="24">
        <v>114.0</v>
      </c>
      <c r="AM30" s="24">
        <v>274.0</v>
      </c>
      <c r="AN30" s="23">
        <v>93.0</v>
      </c>
      <c r="AO30" s="24">
        <v>274.0</v>
      </c>
      <c r="AP30" s="24">
        <v>237.0</v>
      </c>
      <c r="AQ30" s="23">
        <v>45.0</v>
      </c>
      <c r="AR30" s="24">
        <v>274.0</v>
      </c>
      <c r="AT30" s="23">
        <v>57.0</v>
      </c>
      <c r="AU30" s="23">
        <v>14.0</v>
      </c>
      <c r="AV30" s="23">
        <v>83.0</v>
      </c>
    </row>
    <row r="31" ht="14.25" customHeight="1">
      <c r="A31" s="21" t="s">
        <v>143</v>
      </c>
      <c r="B31" s="22" t="s">
        <v>144</v>
      </c>
      <c r="C31" s="22" t="s">
        <v>100</v>
      </c>
      <c r="D31" s="23">
        <v>0.0</v>
      </c>
      <c r="E31" s="23">
        <v>0.0</v>
      </c>
      <c r="F31" s="23">
        <v>0.0</v>
      </c>
      <c r="G31" s="23">
        <v>0.0</v>
      </c>
      <c r="H31" s="23">
        <v>0.0</v>
      </c>
      <c r="I31" s="23">
        <v>0.0</v>
      </c>
      <c r="J31" s="23">
        <v>0.0</v>
      </c>
      <c r="K31" s="23">
        <v>0.0</v>
      </c>
      <c r="L31" s="23">
        <v>0.0</v>
      </c>
      <c r="M31" s="23">
        <v>0.0</v>
      </c>
      <c r="N31" s="23">
        <v>0.0</v>
      </c>
      <c r="O31" s="23">
        <v>0.0</v>
      </c>
      <c r="P31" s="23">
        <v>0.0</v>
      </c>
      <c r="Q31" s="23">
        <v>0.0</v>
      </c>
      <c r="R31" s="23">
        <v>0.0</v>
      </c>
      <c r="S31" s="23">
        <v>0.0</v>
      </c>
      <c r="T31" s="23">
        <v>0.0</v>
      </c>
      <c r="U31" s="23">
        <v>0.0</v>
      </c>
      <c r="V31" s="23">
        <v>0.0</v>
      </c>
      <c r="W31" s="23">
        <v>0.0</v>
      </c>
      <c r="X31" s="23">
        <v>0.0</v>
      </c>
      <c r="Y31" s="23">
        <v>0.0</v>
      </c>
      <c r="Z31" s="23">
        <v>0.0</v>
      </c>
      <c r="AA31" s="23">
        <v>0.0</v>
      </c>
      <c r="AB31" s="23">
        <v>0.0</v>
      </c>
      <c r="AC31" s="23">
        <v>0.0</v>
      </c>
      <c r="AD31" s="23">
        <v>0.0</v>
      </c>
      <c r="AE31" s="23">
        <v>0.0</v>
      </c>
      <c r="AF31" s="23">
        <v>0.0</v>
      </c>
      <c r="AG31" s="23">
        <v>0.0</v>
      </c>
      <c r="AH31" s="23">
        <v>0.0</v>
      </c>
      <c r="AI31" s="23">
        <v>0.0</v>
      </c>
      <c r="AJ31" s="23">
        <v>0.0</v>
      </c>
      <c r="AK31" s="23">
        <v>0.0</v>
      </c>
      <c r="AL31" s="23">
        <v>0.0</v>
      </c>
      <c r="AM31" s="23">
        <v>0.0</v>
      </c>
      <c r="AN31" s="23">
        <v>0.0</v>
      </c>
      <c r="AO31" s="23">
        <v>0.0</v>
      </c>
      <c r="AP31" s="23">
        <v>0.0</v>
      </c>
      <c r="AQ31" s="23">
        <v>0.0</v>
      </c>
      <c r="AR31" s="23">
        <v>0.0</v>
      </c>
      <c r="AS31" s="23">
        <v>0.0</v>
      </c>
      <c r="AT31" s="23">
        <v>0.0</v>
      </c>
      <c r="AV31" s="23">
        <v>0.0</v>
      </c>
    </row>
    <row r="32" ht="14.25" customHeight="1">
      <c r="A32" s="21" t="s">
        <v>145</v>
      </c>
      <c r="B32" s="22">
        <v>900.0</v>
      </c>
      <c r="C32" s="22">
        <v>3000.0</v>
      </c>
      <c r="D32" s="23">
        <v>27.0</v>
      </c>
      <c r="E32" s="26">
        <v>2081.0</v>
      </c>
      <c r="F32" s="23">
        <v>0.0</v>
      </c>
      <c r="G32" s="24">
        <v>421.0</v>
      </c>
      <c r="H32" s="23">
        <v>97.0</v>
      </c>
      <c r="I32" s="23">
        <v>386.0</v>
      </c>
      <c r="J32" s="23">
        <v>293.0</v>
      </c>
      <c r="K32" s="23">
        <v>3.0</v>
      </c>
      <c r="L32" s="23">
        <v>264.0</v>
      </c>
      <c r="M32" s="23">
        <v>37.0</v>
      </c>
      <c r="N32" s="23">
        <v>337.0</v>
      </c>
      <c r="O32" s="23">
        <v>293.0</v>
      </c>
      <c r="P32" s="23">
        <v>0.0</v>
      </c>
      <c r="Q32" s="23">
        <v>119.0</v>
      </c>
      <c r="R32" s="24">
        <v>403.0</v>
      </c>
      <c r="S32" s="23">
        <v>7.0</v>
      </c>
      <c r="T32" s="23">
        <v>2.0</v>
      </c>
      <c r="U32" s="23">
        <v>4.0</v>
      </c>
      <c r="V32" s="24">
        <v>525.0</v>
      </c>
      <c r="W32" s="23">
        <v>316.0</v>
      </c>
      <c r="X32" s="26">
        <v>2463.0</v>
      </c>
      <c r="Y32" s="23">
        <v>0.0</v>
      </c>
      <c r="Z32" s="23">
        <v>8.0</v>
      </c>
      <c r="AA32" s="23">
        <v>309.0</v>
      </c>
      <c r="AB32" s="23">
        <v>15.0</v>
      </c>
      <c r="AC32" s="23">
        <v>0.0</v>
      </c>
      <c r="AD32" s="23">
        <v>2.0</v>
      </c>
      <c r="AE32" s="23">
        <v>0.0</v>
      </c>
      <c r="AF32" s="23">
        <v>5.0</v>
      </c>
      <c r="AG32" s="23">
        <v>40.0</v>
      </c>
      <c r="AH32" s="23">
        <v>18.0</v>
      </c>
      <c r="AI32" s="23">
        <v>3.0</v>
      </c>
      <c r="AJ32" s="23">
        <v>203.0</v>
      </c>
      <c r="AK32" s="24">
        <v>529.0</v>
      </c>
      <c r="AL32" s="23">
        <v>212.0</v>
      </c>
      <c r="AM32" s="23">
        <v>295.0</v>
      </c>
      <c r="AN32" s="23">
        <v>27.0</v>
      </c>
      <c r="AO32" s="23">
        <v>210.0</v>
      </c>
      <c r="AP32" s="23">
        <v>85.0</v>
      </c>
      <c r="AQ32" s="23">
        <v>238.0</v>
      </c>
      <c r="AR32" s="23">
        <v>190.0</v>
      </c>
      <c r="AS32" s="23">
        <v>257.0</v>
      </c>
      <c r="AT32" s="23">
        <v>0.0</v>
      </c>
      <c r="AU32" s="23">
        <v>101.0</v>
      </c>
      <c r="AV32" s="26">
        <v>1376.0</v>
      </c>
    </row>
    <row r="33" ht="14.25" customHeight="1">
      <c r="A33" s="28" t="s">
        <v>146</v>
      </c>
      <c r="B33" s="29"/>
      <c r="C33" s="29"/>
      <c r="D33" s="28">
        <v>547.0</v>
      </c>
      <c r="E33" s="28">
        <v>41610.0</v>
      </c>
      <c r="F33" s="28">
        <v>0.0</v>
      </c>
      <c r="G33" s="28">
        <v>8424.0</v>
      </c>
      <c r="H33" s="28">
        <v>1939.0</v>
      </c>
      <c r="I33" s="28">
        <v>7718.0</v>
      </c>
      <c r="J33" s="28">
        <v>5850.0</v>
      </c>
      <c r="K33" s="28">
        <v>53.0</v>
      </c>
      <c r="L33" s="28">
        <v>5275.0</v>
      </c>
      <c r="M33" s="28">
        <v>744.0</v>
      </c>
      <c r="N33" s="28">
        <v>6748.0</v>
      </c>
      <c r="O33" s="28">
        <v>5850.0</v>
      </c>
      <c r="P33" s="28">
        <v>0.0</v>
      </c>
      <c r="Q33" s="28">
        <v>2373.0</v>
      </c>
      <c r="R33" s="28">
        <v>8068.0</v>
      </c>
      <c r="S33" s="28">
        <v>135.0</v>
      </c>
      <c r="T33" s="28">
        <v>31.0</v>
      </c>
      <c r="U33" s="28">
        <v>71.0</v>
      </c>
      <c r="V33" s="28">
        <v>10500.0</v>
      </c>
      <c r="W33" s="28">
        <v>6323.0</v>
      </c>
      <c r="X33" s="28">
        <v>49254.0</v>
      </c>
      <c r="Y33" s="28">
        <v>0.0</v>
      </c>
      <c r="Z33" s="28">
        <v>160.0</v>
      </c>
      <c r="AA33" s="28">
        <v>6185.0</v>
      </c>
      <c r="AB33" s="28">
        <v>295.0</v>
      </c>
      <c r="AC33" s="28">
        <v>0.0</v>
      </c>
      <c r="AD33" s="28">
        <v>30.0</v>
      </c>
      <c r="AE33" s="28">
        <v>0.0</v>
      </c>
      <c r="AF33" s="28">
        <v>102.0</v>
      </c>
      <c r="AG33" s="28">
        <v>800.0</v>
      </c>
      <c r="AH33" s="28">
        <v>363.0</v>
      </c>
      <c r="AI33" s="28">
        <v>52.0</v>
      </c>
      <c r="AJ33" s="28">
        <v>4054.0</v>
      </c>
      <c r="AK33" s="28">
        <v>10579.0</v>
      </c>
      <c r="AL33" s="28">
        <v>4248.0</v>
      </c>
      <c r="AM33" s="28">
        <v>5900.0</v>
      </c>
      <c r="AN33" s="28">
        <v>530.0</v>
      </c>
      <c r="AO33" s="28">
        <v>4200.0</v>
      </c>
      <c r="AP33" s="28">
        <v>1701.0</v>
      </c>
      <c r="AQ33" s="28">
        <v>4751.0</v>
      </c>
      <c r="AR33" s="28">
        <v>3800.0</v>
      </c>
      <c r="AS33" s="28">
        <v>5130.0</v>
      </c>
      <c r="AT33" s="28">
        <v>2.0</v>
      </c>
      <c r="AU33" s="28">
        <v>2011.0</v>
      </c>
      <c r="AV33" s="28">
        <v>27521.0</v>
      </c>
    </row>
    <row r="34" ht="14.25" customHeight="1">
      <c r="A34" s="21" t="s">
        <v>147</v>
      </c>
      <c r="B34" s="22" t="s">
        <v>148</v>
      </c>
      <c r="C34" s="22">
        <v>1000.0</v>
      </c>
      <c r="D34" s="23">
        <v>1.04</v>
      </c>
      <c r="E34" s="26">
        <v>29.83</v>
      </c>
      <c r="G34" s="23">
        <v>0.75</v>
      </c>
      <c r="H34" s="24">
        <v>8.96</v>
      </c>
      <c r="L34" s="23">
        <v>0.8</v>
      </c>
      <c r="M34" s="25">
        <v>10.7</v>
      </c>
      <c r="N34" s="23">
        <v>2.5</v>
      </c>
      <c r="O34" s="23">
        <v>1.03</v>
      </c>
      <c r="Q34" s="23">
        <v>0.43</v>
      </c>
      <c r="R34" s="23">
        <v>1.69</v>
      </c>
      <c r="T34" s="24">
        <v>5.07</v>
      </c>
      <c r="U34" s="23">
        <v>0.36</v>
      </c>
      <c r="V34" s="23">
        <v>2.01</v>
      </c>
      <c r="W34" s="23">
        <v>1.21</v>
      </c>
      <c r="X34" s="26">
        <v>29.83</v>
      </c>
      <c r="Y34" s="23">
        <v>0.0</v>
      </c>
      <c r="Z34" s="24">
        <v>8.82</v>
      </c>
      <c r="AB34" s="23">
        <v>2.32</v>
      </c>
      <c r="AC34" s="23">
        <v>0.26</v>
      </c>
      <c r="AD34" s="23">
        <v>0.0</v>
      </c>
      <c r="AE34" s="23">
        <v>3.1</v>
      </c>
      <c r="AF34" s="23">
        <v>0.0</v>
      </c>
      <c r="AH34" s="23">
        <v>2.5</v>
      </c>
      <c r="AI34" s="23">
        <v>1.07</v>
      </c>
      <c r="AM34" s="24">
        <v>7.48</v>
      </c>
      <c r="AP34" s="26">
        <v>18.26</v>
      </c>
      <c r="AR34" s="24">
        <v>7.48</v>
      </c>
      <c r="AT34" s="23">
        <v>0.01</v>
      </c>
      <c r="AV34" s="23">
        <v>2.0</v>
      </c>
    </row>
    <row r="35" ht="14.25" customHeight="1">
      <c r="A35" s="21" t="s">
        <v>149</v>
      </c>
      <c r="B35" s="22" t="s">
        <v>150</v>
      </c>
      <c r="C35" s="22">
        <v>100.0</v>
      </c>
      <c r="D35" s="23">
        <v>0.0</v>
      </c>
      <c r="E35" s="23">
        <v>0.0</v>
      </c>
      <c r="F35" s="23">
        <v>0.0</v>
      </c>
      <c r="G35" s="23">
        <v>0.0</v>
      </c>
      <c r="H35" s="23">
        <v>0.0</v>
      </c>
      <c r="I35" s="23">
        <v>0.0</v>
      </c>
      <c r="J35" s="23">
        <v>0.0</v>
      </c>
      <c r="K35" s="23">
        <v>0.0</v>
      </c>
      <c r="L35" s="23">
        <v>0.0</v>
      </c>
      <c r="M35" s="23">
        <v>0.0</v>
      </c>
      <c r="N35" s="23">
        <v>0.0</v>
      </c>
      <c r="O35" s="23">
        <v>0.0</v>
      </c>
      <c r="P35" s="23">
        <v>0.0</v>
      </c>
      <c r="Q35" s="23">
        <v>0.0</v>
      </c>
      <c r="R35" s="23">
        <v>0.0</v>
      </c>
      <c r="S35" s="23">
        <v>0.0</v>
      </c>
      <c r="T35" s="23">
        <v>0.0</v>
      </c>
      <c r="U35" s="23">
        <v>0.0</v>
      </c>
      <c r="V35" s="23">
        <v>0.0</v>
      </c>
      <c r="W35" s="23">
        <v>0.0</v>
      </c>
      <c r="X35" s="23">
        <v>0.0</v>
      </c>
      <c r="Y35" s="23">
        <v>0.0</v>
      </c>
      <c r="Z35" s="23">
        <v>0.0</v>
      </c>
      <c r="AA35" s="23">
        <v>0.0</v>
      </c>
      <c r="AB35" s="23">
        <v>0.0</v>
      </c>
      <c r="AC35" s="23">
        <v>0.0</v>
      </c>
      <c r="AD35" s="23">
        <v>0.0</v>
      </c>
      <c r="AE35" s="23">
        <v>0.0</v>
      </c>
      <c r="AF35" s="23">
        <v>0.0</v>
      </c>
      <c r="AG35" s="23">
        <v>0.0</v>
      </c>
      <c r="AH35" s="23">
        <v>0.0</v>
      </c>
      <c r="AI35" s="23">
        <v>0.0</v>
      </c>
      <c r="AJ35" s="23">
        <v>0.0</v>
      </c>
      <c r="AK35" s="23">
        <v>0.0</v>
      </c>
      <c r="AL35" s="23">
        <v>0.0</v>
      </c>
      <c r="AM35" s="23">
        <v>0.0</v>
      </c>
      <c r="AN35" s="23">
        <v>0.0</v>
      </c>
      <c r="AO35" s="23">
        <v>0.0</v>
      </c>
      <c r="AP35" s="23">
        <v>0.0</v>
      </c>
      <c r="AQ35" s="23">
        <v>0.0</v>
      </c>
      <c r="AR35" s="23">
        <v>0.0</v>
      </c>
      <c r="AS35" s="23">
        <v>0.0</v>
      </c>
      <c r="AT35" s="23">
        <v>0.0</v>
      </c>
      <c r="AV35" s="23">
        <v>0.0</v>
      </c>
    </row>
    <row r="36" ht="14.25" customHeight="1">
      <c r="A36" s="28" t="s">
        <v>151</v>
      </c>
      <c r="B36" s="29"/>
      <c r="C36" s="29"/>
      <c r="D36" s="28">
        <v>0.0</v>
      </c>
      <c r="E36" s="28">
        <v>0.0</v>
      </c>
      <c r="F36" s="28">
        <v>0.0</v>
      </c>
      <c r="G36" s="28">
        <v>0.0</v>
      </c>
      <c r="H36" s="28">
        <v>0.0</v>
      </c>
      <c r="I36" s="28">
        <v>0.0</v>
      </c>
      <c r="J36" s="28">
        <v>0.0</v>
      </c>
      <c r="K36" s="28">
        <v>0.0</v>
      </c>
      <c r="L36" s="28">
        <v>0.0</v>
      </c>
      <c r="M36" s="28">
        <v>0.0</v>
      </c>
      <c r="N36" s="28">
        <v>0.0</v>
      </c>
      <c r="O36" s="28">
        <v>0.0</v>
      </c>
      <c r="P36" s="28">
        <v>0.0</v>
      </c>
      <c r="Q36" s="28">
        <v>0.0</v>
      </c>
      <c r="R36" s="28">
        <v>0.0</v>
      </c>
      <c r="S36" s="28">
        <v>0.0</v>
      </c>
      <c r="T36" s="28">
        <v>0.0</v>
      </c>
      <c r="U36" s="28">
        <v>0.0</v>
      </c>
      <c r="V36" s="28">
        <v>0.0</v>
      </c>
      <c r="W36" s="28">
        <v>0.0</v>
      </c>
      <c r="X36" s="28">
        <v>0.0</v>
      </c>
      <c r="Y36" s="28">
        <v>0.0</v>
      </c>
      <c r="Z36" s="28">
        <v>0.0</v>
      </c>
      <c r="AA36" s="28">
        <v>0.0</v>
      </c>
      <c r="AB36" s="28">
        <v>0.0</v>
      </c>
      <c r="AC36" s="28">
        <v>0.0</v>
      </c>
      <c r="AD36" s="28">
        <v>0.0</v>
      </c>
      <c r="AE36" s="28">
        <v>0.0</v>
      </c>
      <c r="AF36" s="28">
        <v>0.0</v>
      </c>
      <c r="AG36" s="28">
        <v>0.0</v>
      </c>
      <c r="AH36" s="28">
        <v>0.0</v>
      </c>
      <c r="AI36" s="28">
        <v>0.0</v>
      </c>
      <c r="AJ36" s="28">
        <v>0.0</v>
      </c>
      <c r="AK36" s="28">
        <v>0.0</v>
      </c>
      <c r="AL36" s="28">
        <v>0.0</v>
      </c>
      <c r="AM36" s="28">
        <v>0.0</v>
      </c>
      <c r="AN36" s="28">
        <v>0.0</v>
      </c>
      <c r="AO36" s="28">
        <v>0.0</v>
      </c>
      <c r="AP36" s="28">
        <v>0.0</v>
      </c>
      <c r="AQ36" s="28">
        <v>0.0</v>
      </c>
      <c r="AR36" s="28">
        <v>0.0</v>
      </c>
      <c r="AS36" s="28">
        <v>0.0</v>
      </c>
      <c r="AT36" s="28">
        <v>0.0</v>
      </c>
      <c r="AV36" s="28">
        <v>0.0</v>
      </c>
    </row>
    <row r="37" ht="14.25" customHeight="1">
      <c r="A37" s="21" t="s">
        <v>152</v>
      </c>
      <c r="B37" s="22">
        <v>120.0</v>
      </c>
      <c r="C37" s="22" t="s">
        <v>100</v>
      </c>
      <c r="D37" s="26">
        <v>163.7</v>
      </c>
      <c r="E37" s="25">
        <v>80.3</v>
      </c>
      <c r="G37" s="26">
        <v>1640.0</v>
      </c>
      <c r="H37" s="26">
        <v>1359.5</v>
      </c>
      <c r="L37" s="26">
        <v>414.8</v>
      </c>
      <c r="M37" s="26">
        <v>1714.5</v>
      </c>
      <c r="N37" s="26">
        <v>310.0</v>
      </c>
      <c r="O37" s="26">
        <v>1359.5</v>
      </c>
      <c r="Q37" s="25">
        <v>108.6</v>
      </c>
      <c r="R37" s="26">
        <v>621.7</v>
      </c>
      <c r="T37" s="23">
        <v>5.4</v>
      </c>
      <c r="U37" s="23">
        <v>1.8</v>
      </c>
      <c r="V37" s="26">
        <v>497.3</v>
      </c>
      <c r="W37" s="26">
        <v>299.5</v>
      </c>
      <c r="X37" s="25">
        <v>80.3</v>
      </c>
      <c r="Y37" s="23">
        <v>0.0</v>
      </c>
      <c r="Z37" s="26">
        <v>141.8</v>
      </c>
      <c r="AB37" s="23">
        <v>31.2</v>
      </c>
      <c r="AC37" s="23">
        <v>0.1</v>
      </c>
      <c r="AD37" s="23">
        <v>0.8</v>
      </c>
      <c r="AE37" s="23">
        <v>13.4</v>
      </c>
      <c r="AF37" s="23">
        <v>0.0</v>
      </c>
      <c r="AH37" s="23">
        <v>0.0</v>
      </c>
      <c r="AI37" s="23">
        <v>0.0</v>
      </c>
      <c r="AM37" s="26">
        <v>1714.5</v>
      </c>
      <c r="AP37" s="26">
        <v>621.7</v>
      </c>
      <c r="AR37" s="26">
        <v>1714.5</v>
      </c>
      <c r="AT37" s="23">
        <v>1.3</v>
      </c>
      <c r="AU37" s="23">
        <v>498.6</v>
      </c>
      <c r="AV37" s="24">
        <v>108.6</v>
      </c>
    </row>
    <row r="38" ht="14.25" customHeight="1">
      <c r="A38" s="21" t="s">
        <v>153</v>
      </c>
      <c r="B38" s="22" t="s">
        <v>154</v>
      </c>
      <c r="C38" s="22" t="s">
        <v>100</v>
      </c>
      <c r="D38" s="24">
        <v>1.399</v>
      </c>
      <c r="G38" s="23">
        <v>0.4</v>
      </c>
      <c r="H38" s="24">
        <v>1.062</v>
      </c>
      <c r="I38" s="23">
        <v>0.397</v>
      </c>
      <c r="L38" s="23">
        <v>0.209</v>
      </c>
      <c r="M38" s="23">
        <v>0.838</v>
      </c>
      <c r="N38" s="23">
        <v>0.57</v>
      </c>
      <c r="Q38" s="23">
        <v>0.437</v>
      </c>
      <c r="T38" s="23">
        <v>0.81</v>
      </c>
      <c r="U38" s="23">
        <v>0.3</v>
      </c>
      <c r="V38" s="23">
        <v>0.21</v>
      </c>
      <c r="W38" s="23">
        <v>0.12</v>
      </c>
      <c r="X38" s="25">
        <v>2.51</v>
      </c>
      <c r="Y38" s="23">
        <v>0.035</v>
      </c>
      <c r="Z38" s="23">
        <v>0.509</v>
      </c>
      <c r="AB38" s="23">
        <v>0.358</v>
      </c>
      <c r="AC38" s="23">
        <v>0.203</v>
      </c>
      <c r="AD38" s="23">
        <v>0.477</v>
      </c>
      <c r="AJ38" s="23">
        <v>0.25</v>
      </c>
      <c r="AK38" s="24">
        <v>1.399</v>
      </c>
      <c r="AL38" s="23">
        <v>0.338</v>
      </c>
      <c r="AP38" s="24">
        <v>0.921</v>
      </c>
      <c r="AQ38" s="23">
        <v>0.409</v>
      </c>
      <c r="AT38" s="23">
        <v>0.093</v>
      </c>
      <c r="AV38" s="23">
        <v>0.231</v>
      </c>
    </row>
    <row r="39" ht="14.25" customHeight="1">
      <c r="A39" s="21" t="s">
        <v>155</v>
      </c>
      <c r="B39" s="22" t="s">
        <v>156</v>
      </c>
      <c r="C39" s="22">
        <v>3500.0</v>
      </c>
      <c r="D39" s="23">
        <v>11.3</v>
      </c>
      <c r="E39" s="23">
        <v>51.5</v>
      </c>
      <c r="G39" s="23">
        <v>12.8</v>
      </c>
      <c r="H39" s="24">
        <v>97.1</v>
      </c>
      <c r="L39" s="23">
        <v>11.4</v>
      </c>
      <c r="M39" s="23">
        <v>54.9</v>
      </c>
      <c r="N39" s="23">
        <v>12.8</v>
      </c>
      <c r="O39" s="24">
        <v>97.1</v>
      </c>
      <c r="Q39" s="23">
        <v>15.3</v>
      </c>
      <c r="R39" s="23">
        <v>43.6</v>
      </c>
      <c r="T39" s="24">
        <v>122.7</v>
      </c>
      <c r="U39" s="23">
        <v>22.4</v>
      </c>
      <c r="V39" s="23">
        <v>0.4</v>
      </c>
      <c r="W39" s="23">
        <v>0.3</v>
      </c>
      <c r="X39" s="23">
        <v>51.5</v>
      </c>
      <c r="Z39" s="23">
        <v>37.4</v>
      </c>
      <c r="AB39" s="23">
        <v>11.0</v>
      </c>
      <c r="AC39" s="23">
        <v>28.8</v>
      </c>
      <c r="AD39" s="23">
        <v>41.2</v>
      </c>
      <c r="AE39" s="23">
        <v>49.2</v>
      </c>
      <c r="AF39" s="23">
        <v>8.8</v>
      </c>
      <c r="AH39" s="23">
        <v>24.7</v>
      </c>
      <c r="AI39" s="23">
        <v>24.7</v>
      </c>
      <c r="AM39" s="23">
        <v>43.6</v>
      </c>
      <c r="AP39" s="23">
        <v>32.3</v>
      </c>
      <c r="AR39" s="23">
        <v>43.6</v>
      </c>
      <c r="AT39" s="23">
        <v>6.5</v>
      </c>
      <c r="AU39" s="23">
        <v>17.4</v>
      </c>
      <c r="AV39" s="23">
        <v>12.8</v>
      </c>
    </row>
    <row r="40" ht="14.25" customHeight="1">
      <c r="A40" s="21" t="s">
        <v>157</v>
      </c>
      <c r="B40" s="22"/>
      <c r="C40" s="22"/>
      <c r="D40" s="23">
        <v>8.9</v>
      </c>
      <c r="H40" s="23">
        <v>1.7</v>
      </c>
      <c r="L40" s="23">
        <v>0.4</v>
      </c>
      <c r="M40" s="23">
        <v>16.1</v>
      </c>
      <c r="Q40" s="23">
        <v>0.1</v>
      </c>
      <c r="T40" s="23">
        <v>1.9</v>
      </c>
      <c r="U40" s="23">
        <v>0.2</v>
      </c>
      <c r="X40" s="23">
        <v>7.1</v>
      </c>
      <c r="Z40" s="23">
        <v>1.4</v>
      </c>
      <c r="AB40" s="23">
        <v>3.9</v>
      </c>
      <c r="AD40" s="23">
        <v>3.4</v>
      </c>
      <c r="AE40" s="23">
        <v>9.7</v>
      </c>
      <c r="AP40" s="23">
        <v>9.8</v>
      </c>
      <c r="AU40" s="23">
        <v>21.4</v>
      </c>
    </row>
    <row r="41" ht="14.25" customHeight="1">
      <c r="A41" s="19" t="s">
        <v>158</v>
      </c>
      <c r="B41" s="27"/>
      <c r="C41" s="27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69"/>
      <c r="AV41" s="19"/>
    </row>
    <row r="42" ht="14.25" customHeight="1">
      <c r="A42" s="21" t="s">
        <v>159</v>
      </c>
      <c r="B42" s="22" t="s">
        <v>160</v>
      </c>
      <c r="C42" s="22" t="s">
        <v>161</v>
      </c>
      <c r="D42" s="23">
        <v>1.392</v>
      </c>
      <c r="E42" s="23">
        <v>3.26</v>
      </c>
      <c r="F42" s="23">
        <v>0.626</v>
      </c>
      <c r="G42" s="23">
        <v>0.132</v>
      </c>
      <c r="H42" s="23">
        <v>1.378</v>
      </c>
      <c r="I42" s="23">
        <v>0.06</v>
      </c>
      <c r="J42" s="23">
        <v>0.234</v>
      </c>
      <c r="K42" s="23">
        <v>0.73</v>
      </c>
      <c r="L42" s="23">
        <v>0.041</v>
      </c>
      <c r="M42" s="23">
        <v>2.157</v>
      </c>
      <c r="N42" s="23">
        <v>0.014</v>
      </c>
      <c r="O42" s="23">
        <v>0.115</v>
      </c>
      <c r="P42" s="23">
        <v>0.99</v>
      </c>
      <c r="Q42" s="23">
        <v>0.086</v>
      </c>
      <c r="R42" s="23">
        <v>0.529</v>
      </c>
      <c r="S42" s="23">
        <v>0.48</v>
      </c>
      <c r="T42" s="23">
        <v>1.989</v>
      </c>
      <c r="U42" s="23">
        <v>0.248</v>
      </c>
      <c r="V42" s="23">
        <v>0.01</v>
      </c>
      <c r="W42" s="23">
        <v>0.012</v>
      </c>
      <c r="X42" s="23">
        <v>2.14</v>
      </c>
      <c r="Y42" s="23">
        <v>0.01</v>
      </c>
      <c r="Z42" s="23">
        <v>3.952</v>
      </c>
      <c r="AA42" s="23">
        <v>2.28</v>
      </c>
      <c r="AB42" s="23">
        <v>0.345</v>
      </c>
      <c r="AC42" s="23">
        <v>0.203</v>
      </c>
      <c r="AD42" s="23">
        <v>2.599</v>
      </c>
      <c r="AE42" s="23">
        <v>3.12</v>
      </c>
      <c r="AF42" s="23">
        <v>25.94</v>
      </c>
      <c r="AG42" s="23">
        <v>9.51</v>
      </c>
      <c r="AH42" s="23">
        <v>0.62</v>
      </c>
      <c r="AI42" s="23">
        <v>2.19</v>
      </c>
      <c r="AJ42" s="23">
        <v>0.191</v>
      </c>
      <c r="AK42" s="23">
        <v>1.577</v>
      </c>
      <c r="AL42" s="23">
        <v>0.246</v>
      </c>
      <c r="AM42" s="23">
        <v>7.03</v>
      </c>
      <c r="AN42" s="23">
        <v>1.586</v>
      </c>
      <c r="AO42" s="23">
        <v>1.881</v>
      </c>
      <c r="AP42" s="23">
        <v>1.551</v>
      </c>
      <c r="AQ42" s="23">
        <v>0.467</v>
      </c>
      <c r="AR42" s="23">
        <v>2.73</v>
      </c>
      <c r="AS42" s="23">
        <v>3.26</v>
      </c>
      <c r="AT42" s="23">
        <v>0.09</v>
      </c>
      <c r="AV42" s="23">
        <v>0.336</v>
      </c>
    </row>
    <row r="43" ht="14.25" customHeight="1">
      <c r="A43" s="21" t="s">
        <v>162</v>
      </c>
      <c r="B43" s="22"/>
      <c r="C43" s="22"/>
      <c r="D43" s="23">
        <v>0.739</v>
      </c>
      <c r="E43" s="23">
        <v>2.75</v>
      </c>
      <c r="F43" s="23">
        <v>0.789</v>
      </c>
      <c r="G43" s="23">
        <v>0.295</v>
      </c>
      <c r="H43" s="23">
        <v>0.761</v>
      </c>
      <c r="I43" s="23">
        <v>0.802</v>
      </c>
      <c r="K43" s="23">
        <v>9.41</v>
      </c>
      <c r="L43" s="23">
        <v>0.088</v>
      </c>
      <c r="M43" s="23">
        <v>1.238</v>
      </c>
      <c r="N43" s="23">
        <v>0.275</v>
      </c>
      <c r="O43" s="23">
        <v>2.232</v>
      </c>
      <c r="P43" s="23">
        <v>13.58</v>
      </c>
      <c r="Q43" s="23">
        <v>0.049</v>
      </c>
      <c r="R43" s="23">
        <v>0.94</v>
      </c>
      <c r="S43" s="23">
        <v>9.91</v>
      </c>
      <c r="T43" s="23">
        <v>22.518</v>
      </c>
      <c r="U43" s="23">
        <v>2.627</v>
      </c>
      <c r="V43" s="23">
        <v>0.092</v>
      </c>
      <c r="W43" s="23">
        <v>0.11</v>
      </c>
      <c r="X43" s="23">
        <v>1.695</v>
      </c>
      <c r="Y43" s="23">
        <v>0.01</v>
      </c>
      <c r="Z43" s="23">
        <v>1.393</v>
      </c>
      <c r="AA43" s="23">
        <v>1.64</v>
      </c>
      <c r="AB43" s="23">
        <v>0.246</v>
      </c>
      <c r="AC43" s="23">
        <v>0.154</v>
      </c>
      <c r="AD43" s="23">
        <v>0.479</v>
      </c>
      <c r="AE43" s="23">
        <v>1.66</v>
      </c>
      <c r="AF43" s="23">
        <v>3.22</v>
      </c>
      <c r="AG43" s="23">
        <v>11.17</v>
      </c>
      <c r="AH43" s="23">
        <v>7.125</v>
      </c>
      <c r="AI43" s="23">
        <v>15.93</v>
      </c>
      <c r="AJ43" s="23">
        <v>0.025</v>
      </c>
      <c r="AK43" s="23">
        <v>0.21</v>
      </c>
      <c r="AL43" s="23">
        <v>0.033</v>
      </c>
      <c r="AM43" s="23">
        <v>1.87</v>
      </c>
      <c r="AN43" s="23">
        <v>0.429</v>
      </c>
      <c r="AO43" s="23">
        <v>0.474</v>
      </c>
      <c r="AP43" s="23">
        <v>0.716</v>
      </c>
      <c r="AQ43" s="23">
        <v>0.081</v>
      </c>
      <c r="AR43" s="23">
        <v>0.47</v>
      </c>
      <c r="AT43" s="23">
        <v>0.13</v>
      </c>
      <c r="AV43" s="23">
        <v>0.081</v>
      </c>
    </row>
    <row r="44" ht="14.25" customHeight="1">
      <c r="A44" s="21" t="s">
        <v>163</v>
      </c>
      <c r="B44" s="22"/>
      <c r="C44" s="22"/>
      <c r="D44" s="23">
        <v>0.998</v>
      </c>
      <c r="E44" s="23">
        <v>8.37</v>
      </c>
      <c r="F44" s="23">
        <v>0.616</v>
      </c>
      <c r="G44" s="23">
        <v>0.124</v>
      </c>
      <c r="H44" s="23">
        <v>3.124</v>
      </c>
      <c r="I44" s="23">
        <v>0.095</v>
      </c>
      <c r="K44" s="23">
        <v>1.01</v>
      </c>
      <c r="L44" s="23">
        <v>0.389</v>
      </c>
      <c r="M44" s="23">
        <v>0.498</v>
      </c>
      <c r="N44" s="23">
        <v>0.04</v>
      </c>
      <c r="O44" s="23">
        <v>0.328</v>
      </c>
      <c r="P44" s="23">
        <v>1.75</v>
      </c>
      <c r="Q44" s="23">
        <v>0.319</v>
      </c>
      <c r="R44" s="23">
        <v>4.405</v>
      </c>
      <c r="S44" s="23">
        <v>1.69</v>
      </c>
      <c r="T44" s="23">
        <v>10.088</v>
      </c>
      <c r="U44" s="23">
        <v>0.954</v>
      </c>
      <c r="V44" s="23">
        <v>0.038</v>
      </c>
      <c r="W44" s="23">
        <v>0.046</v>
      </c>
      <c r="X44" s="23">
        <v>7.766</v>
      </c>
      <c r="Y44" s="23">
        <v>0.004</v>
      </c>
      <c r="Z44" s="23">
        <v>7.207</v>
      </c>
      <c r="AA44" s="23">
        <v>2.29</v>
      </c>
      <c r="AB44" s="23">
        <v>0.068</v>
      </c>
      <c r="AC44" s="23">
        <v>0.154</v>
      </c>
      <c r="AD44" s="23">
        <v>0.929</v>
      </c>
      <c r="AE44" s="23">
        <v>2.18</v>
      </c>
      <c r="AF44" s="23">
        <v>0.35</v>
      </c>
      <c r="AG44" s="23">
        <v>4.39</v>
      </c>
      <c r="AH44" s="23">
        <v>3.272</v>
      </c>
      <c r="AI44" s="23">
        <v>3.72</v>
      </c>
      <c r="AJ44" s="23">
        <v>0.394</v>
      </c>
      <c r="AK44" s="23">
        <v>3.257</v>
      </c>
      <c r="AL44" s="23">
        <v>0.508</v>
      </c>
      <c r="AM44" s="23">
        <v>1.76</v>
      </c>
      <c r="AN44" s="23">
        <v>2.067</v>
      </c>
      <c r="AO44" s="23">
        <v>3.698</v>
      </c>
      <c r="AP44" s="23">
        <v>1.369</v>
      </c>
      <c r="AQ44" s="23">
        <v>0.532</v>
      </c>
      <c r="AR44" s="23">
        <v>1.19</v>
      </c>
      <c r="AT44" s="23">
        <v>0.339</v>
      </c>
      <c r="AV44" s="23">
        <v>1.065</v>
      </c>
    </row>
    <row r="45" ht="14.25" customHeight="1">
      <c r="A45" s="21" t="s">
        <v>164</v>
      </c>
      <c r="B45" s="22" t="s">
        <v>160</v>
      </c>
      <c r="C45" s="22" t="s">
        <v>165</v>
      </c>
      <c r="D45" s="23">
        <v>0.0</v>
      </c>
      <c r="E45" s="23">
        <v>0.0</v>
      </c>
      <c r="F45" s="23">
        <v>0.0</v>
      </c>
      <c r="G45" s="23">
        <v>0.0</v>
      </c>
      <c r="H45" s="23">
        <v>0.0</v>
      </c>
      <c r="I45" s="23">
        <v>0.0</v>
      </c>
      <c r="J45" s="23">
        <v>0.0</v>
      </c>
      <c r="K45" s="23">
        <v>0.0</v>
      </c>
      <c r="L45" s="23">
        <v>0.0</v>
      </c>
      <c r="M45" s="23">
        <v>0.0</v>
      </c>
      <c r="N45" s="23">
        <v>0.0</v>
      </c>
      <c r="O45" s="23">
        <v>0.0</v>
      </c>
      <c r="P45" s="23">
        <v>0.0</v>
      </c>
      <c r="Q45" s="23">
        <v>0.0</v>
      </c>
      <c r="R45" s="23">
        <v>0.0</v>
      </c>
      <c r="S45" s="23">
        <v>0.0</v>
      </c>
      <c r="T45" s="23">
        <v>0.0</v>
      </c>
      <c r="U45" s="23">
        <v>0.0</v>
      </c>
      <c r="V45" s="23">
        <v>0.0</v>
      </c>
      <c r="W45" s="23">
        <v>0.0</v>
      </c>
      <c r="X45" s="23">
        <v>0.0</v>
      </c>
      <c r="Y45" s="23">
        <v>0.0</v>
      </c>
      <c r="Z45" s="23">
        <v>0.0</v>
      </c>
      <c r="AA45" s="23">
        <v>0.0</v>
      </c>
      <c r="AB45" s="23">
        <v>0.0</v>
      </c>
      <c r="AC45" s="23">
        <v>0.0</v>
      </c>
      <c r="AD45" s="23">
        <v>0.0</v>
      </c>
      <c r="AE45" s="23">
        <v>0.0</v>
      </c>
      <c r="AF45" s="23">
        <v>0.0</v>
      </c>
      <c r="AG45" s="23">
        <v>0.0</v>
      </c>
      <c r="AH45" s="23">
        <v>0.0</v>
      </c>
      <c r="AI45" s="23">
        <v>0.0</v>
      </c>
      <c r="AJ45" s="23">
        <v>0.0</v>
      </c>
      <c r="AK45" s="23">
        <v>0.0</v>
      </c>
      <c r="AL45" s="23">
        <v>0.0</v>
      </c>
      <c r="AM45" s="23">
        <v>0.0</v>
      </c>
      <c r="AN45" s="23">
        <v>0.0</v>
      </c>
      <c r="AO45" s="23">
        <v>0.0</v>
      </c>
      <c r="AP45" s="23">
        <v>0.0</v>
      </c>
      <c r="AQ45" s="23">
        <v>0.0</v>
      </c>
      <c r="AR45" s="23">
        <v>0.0</v>
      </c>
      <c r="AS45" s="23">
        <v>0.0</v>
      </c>
      <c r="AT45" s="23">
        <v>0.0</v>
      </c>
      <c r="AV45" s="23">
        <v>0.0</v>
      </c>
    </row>
    <row r="46" ht="14.25" customHeight="1">
      <c r="A46" s="19" t="s">
        <v>166</v>
      </c>
      <c r="B46" s="30" t="s">
        <v>167</v>
      </c>
      <c r="C46" s="27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69"/>
      <c r="AV46" s="19"/>
    </row>
    <row r="47" ht="14.25" customHeight="1">
      <c r="A47" s="31" t="s">
        <v>168</v>
      </c>
      <c r="B47" s="32" t="s">
        <v>169</v>
      </c>
      <c r="C47" s="32"/>
      <c r="D47" s="31">
        <v>0.058</v>
      </c>
      <c r="E47" s="31"/>
      <c r="F47" s="31"/>
      <c r="G47" s="31">
        <v>0.045</v>
      </c>
      <c r="H47" s="31">
        <v>0.475</v>
      </c>
      <c r="I47" s="31">
        <v>0.014</v>
      </c>
      <c r="J47" s="31"/>
      <c r="K47" s="31"/>
      <c r="L47" s="31">
        <v>0.039</v>
      </c>
      <c r="M47" s="31">
        <v>0.26</v>
      </c>
      <c r="N47" s="31"/>
      <c r="O47" s="31"/>
      <c r="P47" s="31"/>
      <c r="Q47" s="31"/>
      <c r="R47" s="31"/>
      <c r="S47" s="31">
        <v>0.253</v>
      </c>
      <c r="T47" s="31">
        <v>0.256</v>
      </c>
      <c r="U47" s="31">
        <v>0.009</v>
      </c>
      <c r="V47" s="31">
        <v>0.03</v>
      </c>
      <c r="W47" s="31">
        <v>0.025</v>
      </c>
      <c r="X47" s="31">
        <v>0.07</v>
      </c>
      <c r="Y47" s="31"/>
      <c r="Z47" s="31">
        <v>0.03</v>
      </c>
      <c r="AA47" s="31"/>
      <c r="AB47" s="31">
        <v>0.049</v>
      </c>
      <c r="AC47" s="31">
        <v>0.012</v>
      </c>
      <c r="AD47" s="31">
        <v>0.152</v>
      </c>
      <c r="AE47" s="31"/>
      <c r="AF47" s="31"/>
      <c r="AG47" s="31"/>
      <c r="AH47" s="31">
        <v>0.244</v>
      </c>
      <c r="AI47" s="31"/>
      <c r="AJ47" s="31">
        <v>0.05</v>
      </c>
      <c r="AK47" s="31">
        <v>0.306</v>
      </c>
      <c r="AL47" s="31">
        <v>0.058</v>
      </c>
      <c r="AM47" s="31"/>
      <c r="AN47" s="31"/>
      <c r="AO47" s="31"/>
      <c r="AP47" s="31">
        <v>0.203</v>
      </c>
      <c r="AQ47" s="31">
        <v>0.114</v>
      </c>
      <c r="AR47" s="31">
        <v>0.186</v>
      </c>
      <c r="AS47" s="31"/>
      <c r="AT47" s="31"/>
      <c r="AU47" s="31"/>
      <c r="AV47" s="31"/>
    </row>
    <row r="48" ht="14.25" customHeight="1">
      <c r="A48" s="31" t="s">
        <v>170</v>
      </c>
      <c r="B48" s="32" t="s">
        <v>171</v>
      </c>
      <c r="C48" s="32"/>
      <c r="D48" s="31">
        <v>0.244</v>
      </c>
      <c r="E48" s="31"/>
      <c r="F48" s="31"/>
      <c r="G48" s="31">
        <v>0.122</v>
      </c>
      <c r="H48" s="31">
        <v>1.193</v>
      </c>
      <c r="I48" s="31">
        <v>0.068</v>
      </c>
      <c r="J48" s="31"/>
      <c r="K48" s="31">
        <v>0.575</v>
      </c>
      <c r="L48" s="31">
        <v>0.104</v>
      </c>
      <c r="M48" s="31">
        <v>0.76</v>
      </c>
      <c r="N48" s="31"/>
      <c r="O48" s="31"/>
      <c r="P48" s="31"/>
      <c r="Q48" s="31"/>
      <c r="R48" s="31"/>
      <c r="S48" s="31">
        <v>0.602</v>
      </c>
      <c r="T48" s="31">
        <v>0.838</v>
      </c>
      <c r="U48" s="31">
        <v>0.173</v>
      </c>
      <c r="V48" s="31">
        <v>0.072</v>
      </c>
      <c r="W48" s="31">
        <v>0.06</v>
      </c>
      <c r="X48" s="31">
        <v>0.49</v>
      </c>
      <c r="Y48" s="31"/>
      <c r="Z48" s="31">
        <v>0.18</v>
      </c>
      <c r="AA48" s="31"/>
      <c r="AB48" s="31">
        <v>0.136</v>
      </c>
      <c r="AC48" s="31">
        <v>0.036</v>
      </c>
      <c r="AD48" s="31">
        <v>0.289</v>
      </c>
      <c r="AE48" s="31"/>
      <c r="AF48" s="31"/>
      <c r="AG48" s="31"/>
      <c r="AH48" s="31">
        <v>0.756</v>
      </c>
      <c r="AI48" s="31"/>
      <c r="AJ48" s="31">
        <v>0.135</v>
      </c>
      <c r="AK48" s="31">
        <v>0.816</v>
      </c>
      <c r="AL48" s="31">
        <v>0.154</v>
      </c>
      <c r="AM48" s="31"/>
      <c r="AN48" s="31"/>
      <c r="AO48" s="31"/>
      <c r="AP48" s="31">
        <v>0.322</v>
      </c>
      <c r="AQ48" s="31">
        <v>0.154</v>
      </c>
      <c r="AR48" s="31">
        <v>0.252</v>
      </c>
      <c r="AS48" s="31"/>
      <c r="AT48" s="31"/>
      <c r="AU48" s="31"/>
      <c r="AV48" s="31"/>
    </row>
    <row r="49" ht="14.25" customHeight="1">
      <c r="A49" s="31" t="s">
        <v>172</v>
      </c>
      <c r="B49" s="32" t="s">
        <v>173</v>
      </c>
      <c r="C49" s="32"/>
      <c r="D49" s="31">
        <v>0.366</v>
      </c>
      <c r="E49" s="31"/>
      <c r="F49" s="31"/>
      <c r="G49" s="31">
        <v>0.118</v>
      </c>
      <c r="H49" s="31">
        <v>1.546</v>
      </c>
      <c r="I49" s="31">
        <v>0.195</v>
      </c>
      <c r="J49" s="31"/>
      <c r="K49" s="31">
        <v>0.767</v>
      </c>
      <c r="L49" s="31">
        <v>0.104</v>
      </c>
      <c r="M49" s="31">
        <v>1.06</v>
      </c>
      <c r="N49" s="31"/>
      <c r="O49" s="31"/>
      <c r="P49" s="31"/>
      <c r="Q49" s="31"/>
      <c r="R49" s="31"/>
      <c r="S49" s="31">
        <v>0.695</v>
      </c>
      <c r="T49" s="31">
        <v>1.183</v>
      </c>
      <c r="U49" s="31">
        <v>0.151</v>
      </c>
      <c r="V49" s="31">
        <v>0.098</v>
      </c>
      <c r="W49" s="31">
        <v>0.082</v>
      </c>
      <c r="X49" s="31">
        <v>0.57</v>
      </c>
      <c r="Y49" s="31"/>
      <c r="Z49" s="31">
        <v>0.24</v>
      </c>
      <c r="AA49" s="31"/>
      <c r="AB49" s="31">
        <v>0.146</v>
      </c>
      <c r="AC49" s="31">
        <v>0.051</v>
      </c>
      <c r="AD49" s="31">
        <v>0.341</v>
      </c>
      <c r="AE49" s="31"/>
      <c r="AF49" s="31"/>
      <c r="AG49" s="31"/>
      <c r="AH49" s="31">
        <v>0.826</v>
      </c>
      <c r="AI49" s="31"/>
      <c r="AJ49" s="31">
        <v>0.135</v>
      </c>
      <c r="AK49" s="31">
        <v>0.816</v>
      </c>
      <c r="AL49" s="31">
        <v>0.154</v>
      </c>
      <c r="AM49" s="31"/>
      <c r="AN49" s="31"/>
      <c r="AO49" s="31"/>
      <c r="AP49" s="31">
        <v>0.441</v>
      </c>
      <c r="AQ49" s="31">
        <v>0.285</v>
      </c>
      <c r="AR49" s="31">
        <v>0.468</v>
      </c>
      <c r="AS49" s="31"/>
      <c r="AT49" s="31"/>
      <c r="AU49" s="31"/>
      <c r="AV49" s="31"/>
    </row>
    <row r="50" ht="14.25" customHeight="1">
      <c r="A50" s="31" t="s">
        <v>174</v>
      </c>
      <c r="B50" s="32" t="s">
        <v>175</v>
      </c>
      <c r="C50" s="32"/>
      <c r="D50" s="31">
        <v>1.014</v>
      </c>
      <c r="E50" s="31"/>
      <c r="F50" s="31"/>
      <c r="G50" s="31">
        <v>0.204</v>
      </c>
      <c r="H50" s="31">
        <v>2.794</v>
      </c>
      <c r="I50" s="31">
        <v>0.159</v>
      </c>
      <c r="J50" s="31"/>
      <c r="K50" s="31">
        <v>0.925</v>
      </c>
      <c r="L50" s="31">
        <v>0.191</v>
      </c>
      <c r="M50" s="31">
        <v>1.85</v>
      </c>
      <c r="N50" s="31"/>
      <c r="O50" s="31"/>
      <c r="P50" s="31"/>
      <c r="Q50" s="31"/>
      <c r="R50" s="31"/>
      <c r="S50" s="31">
        <v>0.996</v>
      </c>
      <c r="T50" s="31">
        <v>2.08</v>
      </c>
      <c r="U50" s="31">
        <v>0.302</v>
      </c>
      <c r="V50" s="31">
        <v>0.083</v>
      </c>
      <c r="W50" s="31">
        <v>0.069</v>
      </c>
      <c r="X50" s="31">
        <v>0.92</v>
      </c>
      <c r="Y50" s="31"/>
      <c r="Z50" s="31">
        <v>0.4</v>
      </c>
      <c r="AA50" s="31"/>
      <c r="AB50" s="31">
        <v>0.253</v>
      </c>
      <c r="AC50" s="31">
        <v>0.074</v>
      </c>
      <c r="AD50" s="31">
        <v>0.513</v>
      </c>
      <c r="AE50" s="31"/>
      <c r="AF50" s="31"/>
      <c r="AG50" s="31"/>
      <c r="AH50" s="31">
        <v>1.218</v>
      </c>
      <c r="AI50" s="31"/>
      <c r="AJ50" s="31">
        <v>0.247</v>
      </c>
      <c r="AK50" s="31">
        <v>1.496</v>
      </c>
      <c r="AL50" s="31">
        <v>0.281</v>
      </c>
      <c r="AM50" s="31"/>
      <c r="AN50" s="31"/>
      <c r="AO50" s="31"/>
      <c r="AP50" s="31">
        <v>0.78</v>
      </c>
      <c r="AQ50" s="31">
        <v>0.262</v>
      </c>
      <c r="AR50" s="31">
        <v>0.43</v>
      </c>
      <c r="AS50" s="31"/>
      <c r="AT50" s="31"/>
      <c r="AU50" s="31"/>
      <c r="AV50" s="31"/>
    </row>
    <row r="51" ht="14.25" customHeight="1">
      <c r="A51" s="31" t="s">
        <v>176</v>
      </c>
      <c r="B51" s="32" t="s">
        <v>177</v>
      </c>
      <c r="C51" s="32"/>
      <c r="D51" s="31">
        <v>0.244</v>
      </c>
      <c r="E51" s="31"/>
      <c r="F51" s="31"/>
      <c r="G51" s="31">
        <v>0.181</v>
      </c>
      <c r="H51" s="31">
        <v>2.098</v>
      </c>
      <c r="I51" s="31">
        <v>0.246</v>
      </c>
      <c r="J51" s="31"/>
      <c r="K51" s="31">
        <v>1.038</v>
      </c>
      <c r="L51" s="31">
        <v>0.11</v>
      </c>
      <c r="M51" s="31">
        <v>1.15</v>
      </c>
      <c r="N51" s="31"/>
      <c r="O51" s="31"/>
      <c r="P51" s="31"/>
      <c r="Q51" s="31"/>
      <c r="R51" s="31"/>
      <c r="S51" s="31">
        <v>0.758</v>
      </c>
      <c r="T51" s="31">
        <v>1.844</v>
      </c>
      <c r="U51" s="31">
        <v>0.274</v>
      </c>
      <c r="V51" s="31">
        <v>0.123</v>
      </c>
      <c r="W51" s="31">
        <v>0.103</v>
      </c>
      <c r="X51" s="31">
        <v>0.69</v>
      </c>
      <c r="Y51" s="31"/>
      <c r="Z51" s="31">
        <v>0.37</v>
      </c>
      <c r="AA51" s="31"/>
      <c r="AB51" s="31">
        <v>0.243</v>
      </c>
      <c r="AC51" s="31">
        <v>0.057</v>
      </c>
      <c r="AD51" s="31">
        <v>0.241</v>
      </c>
      <c r="AE51" s="31"/>
      <c r="AF51" s="31"/>
      <c r="AG51" s="31"/>
      <c r="AH51" s="31">
        <v>1.031</v>
      </c>
      <c r="AI51" s="31"/>
      <c r="AJ51" s="31">
        <v>0.141</v>
      </c>
      <c r="AK51" s="31">
        <v>0.858</v>
      </c>
      <c r="AL51" s="31">
        <v>0.161</v>
      </c>
      <c r="AM51" s="31"/>
      <c r="AN51" s="31"/>
      <c r="AO51" s="31"/>
      <c r="AP51" s="31">
        <v>0.5</v>
      </c>
      <c r="AQ51" s="31">
        <v>0.126</v>
      </c>
      <c r="AR51" s="31">
        <v>0.207</v>
      </c>
      <c r="AS51" s="31"/>
      <c r="AT51" s="31"/>
      <c r="AU51" s="31"/>
      <c r="AV51" s="31"/>
    </row>
    <row r="52" ht="14.25" customHeight="1">
      <c r="A52" s="31" t="s">
        <v>178</v>
      </c>
      <c r="B52" s="32" t="s">
        <v>179</v>
      </c>
      <c r="C52" s="32"/>
      <c r="D52" s="31">
        <v>0.096</v>
      </c>
      <c r="E52" s="31"/>
      <c r="F52" s="31"/>
      <c r="G52" s="31">
        <v>0.042</v>
      </c>
      <c r="H52" s="31">
        <v>0.596</v>
      </c>
      <c r="I52" s="31">
        <v>0.011</v>
      </c>
      <c r="J52" s="31"/>
      <c r="K52" s="31">
        <v>0.143</v>
      </c>
      <c r="L52" s="31">
        <v>0.036</v>
      </c>
      <c r="M52" s="31">
        <v>0.32</v>
      </c>
      <c r="N52" s="31"/>
      <c r="O52" s="31"/>
      <c r="P52" s="31"/>
      <c r="Q52" s="31"/>
      <c r="R52" s="31"/>
      <c r="S52" s="31">
        <v>0.301</v>
      </c>
      <c r="T52" s="31">
        <v>0.483</v>
      </c>
      <c r="U52" s="31">
        <v>0.078</v>
      </c>
      <c r="V52" s="31">
        <v>0.025</v>
      </c>
      <c r="W52" s="31">
        <v>0.021</v>
      </c>
      <c r="X52" s="31">
        <v>0.2</v>
      </c>
      <c r="Y52" s="31"/>
      <c r="Z52" s="31">
        <v>0.08</v>
      </c>
      <c r="AA52" s="31"/>
      <c r="AB52" s="31">
        <v>0.078</v>
      </c>
      <c r="AC52" s="31">
        <v>0.013</v>
      </c>
      <c r="AD52" s="31">
        <v>0.089</v>
      </c>
      <c r="AE52" s="31"/>
      <c r="AF52" s="31"/>
      <c r="AG52" s="31"/>
      <c r="AH52" s="31">
        <v>0.361</v>
      </c>
      <c r="AI52" s="31"/>
      <c r="AJ52" s="31">
        <v>0.046</v>
      </c>
      <c r="AK52" s="31">
        <v>0.281</v>
      </c>
      <c r="AL52" s="31">
        <v>0.053</v>
      </c>
      <c r="AM52" s="31"/>
      <c r="AN52" s="31"/>
      <c r="AO52" s="31"/>
      <c r="AP52" s="31">
        <v>0.127</v>
      </c>
      <c r="AQ52" s="31"/>
      <c r="AR52" s="31"/>
      <c r="AS52" s="31"/>
      <c r="AT52" s="31"/>
      <c r="AU52" s="31"/>
      <c r="AV52" s="31"/>
    </row>
    <row r="53" ht="14.25" customHeight="1">
      <c r="A53" s="21" t="s">
        <v>180</v>
      </c>
      <c r="B53" s="22" t="s">
        <v>181</v>
      </c>
      <c r="C53" s="22"/>
      <c r="D53" s="23">
        <v>0.138</v>
      </c>
      <c r="G53" s="23">
        <v>0.014</v>
      </c>
      <c r="H53" s="23">
        <v>0.298</v>
      </c>
      <c r="I53" s="23">
        <v>0.017</v>
      </c>
      <c r="L53" s="23">
        <v>0.028</v>
      </c>
      <c r="M53" s="23">
        <v>0.19</v>
      </c>
      <c r="S53" s="23">
        <v>0.222</v>
      </c>
      <c r="T53" s="23">
        <v>0.68</v>
      </c>
      <c r="U53" s="23">
        <v>0.075</v>
      </c>
      <c r="V53" s="23">
        <v>0.04</v>
      </c>
      <c r="W53" s="23">
        <v>0.034</v>
      </c>
      <c r="X53" s="23">
        <v>0.23</v>
      </c>
      <c r="Z53" s="23">
        <v>0.07</v>
      </c>
      <c r="AB53" s="23">
        <v>0.058</v>
      </c>
      <c r="AC53" s="23">
        <v>0.008</v>
      </c>
      <c r="AD53" s="23">
        <v>0.099</v>
      </c>
      <c r="AH53" s="23">
        <v>0.329</v>
      </c>
      <c r="AJ53" s="23">
        <v>0.036</v>
      </c>
      <c r="AK53" s="23">
        <v>0.22</v>
      </c>
      <c r="AL53" s="23">
        <v>0.041</v>
      </c>
      <c r="AP53" s="23">
        <v>0.11</v>
      </c>
    </row>
    <row r="54" ht="14.25" customHeight="1">
      <c r="A54" s="31" t="s">
        <v>182</v>
      </c>
      <c r="B54" s="33" t="s">
        <v>183</v>
      </c>
      <c r="C54" s="32"/>
      <c r="D54" s="31">
        <v>0.446</v>
      </c>
      <c r="E54" s="31"/>
      <c r="F54" s="31"/>
      <c r="G54" s="31">
        <v>0.145</v>
      </c>
      <c r="H54" s="31">
        <v>1.712</v>
      </c>
      <c r="I54" s="31">
        <v>0.065</v>
      </c>
      <c r="J54" s="31"/>
      <c r="K54" s="31">
        <v>0.67</v>
      </c>
      <c r="L54" s="31">
        <v>0.13</v>
      </c>
      <c r="M54" s="31">
        <v>1.25</v>
      </c>
      <c r="N54" s="31"/>
      <c r="O54" s="31"/>
      <c r="P54" s="31"/>
      <c r="Q54" s="31"/>
      <c r="R54" s="31"/>
      <c r="S54" s="31">
        <v>0.647</v>
      </c>
      <c r="T54" s="31">
        <v>1.173</v>
      </c>
      <c r="U54" s="31">
        <v>0.167</v>
      </c>
      <c r="V54" s="31">
        <v>0.072</v>
      </c>
      <c r="W54" s="31">
        <v>0.06</v>
      </c>
      <c r="X54" s="31">
        <v>0.61</v>
      </c>
      <c r="Y54" s="31"/>
      <c r="Z54" s="31">
        <v>0.23</v>
      </c>
      <c r="AA54" s="31"/>
      <c r="AB54" s="31">
        <v>0.146</v>
      </c>
      <c r="AC54" s="31">
        <v>0.045</v>
      </c>
      <c r="AD54" s="31">
        <v>0.311</v>
      </c>
      <c r="AE54" s="31"/>
      <c r="AF54" s="31"/>
      <c r="AG54" s="31"/>
      <c r="AH54" s="31">
        <v>0.867</v>
      </c>
      <c r="AI54" s="31"/>
      <c r="AJ54" s="31">
        <v>0.168</v>
      </c>
      <c r="AK54" s="31">
        <v>1.017</v>
      </c>
      <c r="AL54" s="31">
        <v>0.191</v>
      </c>
      <c r="AM54" s="31"/>
      <c r="AN54" s="31"/>
      <c r="AO54" s="31"/>
      <c r="AP54" s="31">
        <v>0.449</v>
      </c>
      <c r="AQ54" s="31"/>
      <c r="AR54" s="31"/>
      <c r="AS54" s="31"/>
      <c r="AT54" s="31"/>
      <c r="AU54" s="31"/>
      <c r="AV54" s="31"/>
    </row>
    <row r="55" ht="14.25" customHeight="1">
      <c r="A55" s="21" t="s">
        <v>184</v>
      </c>
      <c r="C55" s="22"/>
      <c r="D55" s="23">
        <v>0.483</v>
      </c>
      <c r="G55" s="23">
        <v>0.082</v>
      </c>
      <c r="H55" s="23">
        <v>1.159</v>
      </c>
      <c r="I55" s="23">
        <v>0.096</v>
      </c>
      <c r="L55" s="23">
        <v>0.077</v>
      </c>
      <c r="M55" s="23">
        <v>0.75</v>
      </c>
      <c r="S55" s="23">
        <v>0.41</v>
      </c>
      <c r="T55" s="23">
        <v>0.809</v>
      </c>
      <c r="U55" s="23">
        <v>0.139</v>
      </c>
      <c r="V55" s="23">
        <v>0.143</v>
      </c>
      <c r="W55" s="23">
        <v>0.119</v>
      </c>
      <c r="X55" s="23">
        <v>0.38</v>
      </c>
      <c r="Z55" s="23">
        <v>0.19</v>
      </c>
      <c r="AB55" s="23">
        <v>0.136</v>
      </c>
      <c r="AC55" s="23">
        <v>0.02</v>
      </c>
      <c r="AD55" s="23">
        <v>0.243</v>
      </c>
      <c r="AH55" s="23">
        <v>0.642</v>
      </c>
      <c r="AJ55" s="23">
        <v>0.099</v>
      </c>
      <c r="AK55" s="23">
        <v>0.6</v>
      </c>
      <c r="AL55" s="23">
        <v>0.113</v>
      </c>
      <c r="AP55" s="23">
        <v>0.297</v>
      </c>
    </row>
    <row r="56" ht="14.25" customHeight="1">
      <c r="A56" s="31" t="s">
        <v>185</v>
      </c>
      <c r="B56" s="32" t="s">
        <v>186</v>
      </c>
      <c r="C56" s="32"/>
      <c r="D56" s="31">
        <v>0.547</v>
      </c>
      <c r="E56" s="31"/>
      <c r="F56" s="31"/>
      <c r="G56" s="31">
        <v>0.172</v>
      </c>
      <c r="H56" s="31">
        <v>2.021</v>
      </c>
      <c r="I56" s="31">
        <v>0.154</v>
      </c>
      <c r="J56" s="31"/>
      <c r="K56" s="31">
        <v>1.12</v>
      </c>
      <c r="L56" s="31">
        <v>0.127</v>
      </c>
      <c r="M56" s="31">
        <v>1.45</v>
      </c>
      <c r="N56" s="31"/>
      <c r="O56" s="31"/>
      <c r="P56" s="31"/>
      <c r="Q56" s="31"/>
      <c r="R56" s="31"/>
      <c r="S56" s="31">
        <v>0.915</v>
      </c>
      <c r="T56" s="31">
        <v>1.509</v>
      </c>
      <c r="U56" s="31">
        <v>0.195</v>
      </c>
      <c r="V56" s="31">
        <v>0.105</v>
      </c>
      <c r="W56" s="31">
        <v>0.088</v>
      </c>
      <c r="X56" s="31">
        <v>0.75</v>
      </c>
      <c r="Y56" s="31"/>
      <c r="Z56" s="31">
        <v>0.34</v>
      </c>
      <c r="AA56" s="31"/>
      <c r="AB56" s="31">
        <v>0.224</v>
      </c>
      <c r="AC56" s="31">
        <v>0.073</v>
      </c>
      <c r="AD56" s="31">
        <v>0.411</v>
      </c>
      <c r="AE56" s="31"/>
      <c r="AF56" s="31"/>
      <c r="AG56" s="31"/>
      <c r="AH56" s="31">
        <v>1.037</v>
      </c>
      <c r="AI56" s="31"/>
      <c r="AJ56" s="31">
        <v>0.164</v>
      </c>
      <c r="AK56" s="31">
        <v>0.995</v>
      </c>
      <c r="AL56" s="31">
        <v>0.187</v>
      </c>
      <c r="AM56" s="31"/>
      <c r="AN56" s="31"/>
      <c r="AO56" s="31"/>
      <c r="AP56" s="31">
        <v>0.585</v>
      </c>
      <c r="AQ56" s="31">
        <v>0.307</v>
      </c>
      <c r="AR56" s="31">
        <v>0.502</v>
      </c>
      <c r="AS56" s="31"/>
      <c r="AT56" s="31"/>
      <c r="AU56" s="31"/>
      <c r="AV56" s="31"/>
    </row>
    <row r="57" ht="14.25" customHeight="1">
      <c r="A57" s="34" t="s">
        <v>187</v>
      </c>
      <c r="B57" s="35"/>
      <c r="C57" s="35"/>
      <c r="D57" s="34">
        <v>0.308</v>
      </c>
      <c r="E57" s="34"/>
      <c r="F57" s="34"/>
      <c r="G57" s="34">
        <v>0.122</v>
      </c>
      <c r="H57" s="34">
        <v>1.756</v>
      </c>
      <c r="I57" s="34">
        <v>0.142</v>
      </c>
      <c r="J57" s="34"/>
      <c r="K57" s="34">
        <v>1.263</v>
      </c>
      <c r="L57" s="34">
        <v>0.117</v>
      </c>
      <c r="M57" s="34">
        <v>1.23</v>
      </c>
      <c r="N57" s="34"/>
      <c r="O57" s="34"/>
      <c r="P57" s="34"/>
      <c r="Q57" s="34"/>
      <c r="R57" s="34"/>
      <c r="S57" s="34">
        <v>0.68</v>
      </c>
      <c r="T57" s="34">
        <v>1.933</v>
      </c>
      <c r="U57" s="34">
        <v>0.261</v>
      </c>
      <c r="V57" s="34">
        <v>0.197</v>
      </c>
      <c r="W57" s="34">
        <v>0.165</v>
      </c>
      <c r="X57" s="34">
        <v>0.89</v>
      </c>
      <c r="Y57" s="34"/>
      <c r="Z57" s="34">
        <v>0.32</v>
      </c>
      <c r="AA57" s="34"/>
      <c r="AB57" s="34">
        <v>0.166</v>
      </c>
      <c r="AC57" s="34">
        <v>0.043</v>
      </c>
      <c r="AD57" s="34">
        <v>0.708</v>
      </c>
      <c r="AE57" s="34"/>
      <c r="AF57" s="34"/>
      <c r="AG57" s="34"/>
      <c r="AH57" s="34">
        <v>1.252</v>
      </c>
      <c r="AI57" s="34"/>
      <c r="AJ57" s="34">
        <v>0.151</v>
      </c>
      <c r="AK57" s="34">
        <v>0.918</v>
      </c>
      <c r="AL57" s="34">
        <v>0.173</v>
      </c>
      <c r="AM57" s="34"/>
      <c r="AN57" s="34"/>
      <c r="AO57" s="34"/>
      <c r="AP57" s="34">
        <v>0.449</v>
      </c>
      <c r="AQ57" s="34"/>
      <c r="AR57" s="34"/>
      <c r="AS57" s="34"/>
      <c r="AT57" s="34"/>
      <c r="AU57" s="34"/>
      <c r="AV57" s="34"/>
    </row>
    <row r="58" ht="14.25" customHeight="1">
      <c r="A58" s="34" t="s">
        <v>188</v>
      </c>
      <c r="B58" s="35" t="s">
        <v>189</v>
      </c>
      <c r="C58" s="35"/>
      <c r="D58" s="34">
        <v>0.159</v>
      </c>
      <c r="E58" s="34"/>
      <c r="F58" s="34"/>
      <c r="G58" s="34">
        <v>0.061</v>
      </c>
      <c r="H58" s="34">
        <v>0.718</v>
      </c>
      <c r="I58" s="34">
        <v>0.071</v>
      </c>
      <c r="J58" s="34"/>
      <c r="K58" s="34">
        <v>0.32</v>
      </c>
      <c r="L58" s="34">
        <v>0.051</v>
      </c>
      <c r="M58" s="34">
        <v>0.45</v>
      </c>
      <c r="N58" s="34"/>
      <c r="O58" s="34"/>
      <c r="P58" s="34"/>
      <c r="Q58" s="34"/>
      <c r="R58" s="34"/>
      <c r="S58" s="34">
        <v>0.331</v>
      </c>
      <c r="T58" s="34">
        <v>0.878</v>
      </c>
      <c r="U58" s="34">
        <v>0.123</v>
      </c>
      <c r="V58" s="34">
        <v>0.048</v>
      </c>
      <c r="W58" s="34">
        <v>0.04</v>
      </c>
      <c r="X58" s="34">
        <v>0.25</v>
      </c>
      <c r="Y58" s="34"/>
      <c r="Z58" s="34">
        <v>0.13</v>
      </c>
      <c r="AA58" s="34"/>
      <c r="AB58" s="34">
        <v>0.117</v>
      </c>
      <c r="AC58" s="34">
        <v>0.03</v>
      </c>
      <c r="AD58" s="34">
        <v>0.199</v>
      </c>
      <c r="AE58" s="34"/>
      <c r="AF58" s="34"/>
      <c r="AG58" s="34"/>
      <c r="AH58" s="34">
        <v>0.55</v>
      </c>
      <c r="AI58" s="34"/>
      <c r="AJ58" s="34">
        <v>0.066</v>
      </c>
      <c r="AK58" s="34">
        <v>0.399</v>
      </c>
      <c r="AL58" s="34">
        <v>0.075</v>
      </c>
      <c r="AM58" s="34"/>
      <c r="AN58" s="34"/>
      <c r="AO58" s="34"/>
      <c r="AP58" s="34">
        <v>0.144</v>
      </c>
      <c r="AQ58" s="34"/>
      <c r="AR58" s="34"/>
      <c r="AS58" s="34"/>
      <c r="AT58" s="34"/>
      <c r="AU58" s="34"/>
      <c r="AV58" s="34"/>
    </row>
    <row r="59" ht="14.25" customHeight="1">
      <c r="A59" s="21" t="s">
        <v>190</v>
      </c>
      <c r="B59" s="22"/>
      <c r="C59" s="22"/>
      <c r="D59" s="23">
        <v>0.616</v>
      </c>
      <c r="G59" s="23">
        <v>0.195</v>
      </c>
      <c r="H59" s="23">
        <v>1.778</v>
      </c>
      <c r="I59" s="23">
        <v>0.227</v>
      </c>
      <c r="L59" s="23">
        <v>0.132</v>
      </c>
      <c r="M59" s="23">
        <v>1.18</v>
      </c>
      <c r="S59" s="23">
        <v>0.789</v>
      </c>
      <c r="T59" s="23">
        <v>1.173</v>
      </c>
      <c r="U59" s="23">
        <v>0.17</v>
      </c>
      <c r="X59" s="23">
        <v>0.64</v>
      </c>
      <c r="Z59" s="23">
        <v>0.29</v>
      </c>
      <c r="AB59" s="23">
        <v>0.166</v>
      </c>
      <c r="AC59" s="23">
        <v>0.031</v>
      </c>
      <c r="AD59" s="23">
        <v>0.272</v>
      </c>
      <c r="AH59" s="23">
        <v>0.914</v>
      </c>
      <c r="AJ59" s="23">
        <v>0.171</v>
      </c>
      <c r="AK59" s="23">
        <v>1.036</v>
      </c>
      <c r="AL59" s="23">
        <v>0.195</v>
      </c>
      <c r="AP59" s="23">
        <v>0.5</v>
      </c>
    </row>
    <row r="60" ht="14.25" customHeight="1">
      <c r="A60" s="21" t="s">
        <v>191</v>
      </c>
      <c r="B60" s="22"/>
      <c r="C60" s="22"/>
      <c r="D60" s="23">
        <v>1.413</v>
      </c>
      <c r="G60" s="23">
        <v>0.294</v>
      </c>
      <c r="H60" s="23">
        <v>3.169</v>
      </c>
      <c r="I60" s="23">
        <v>0.343</v>
      </c>
      <c r="L60" s="23">
        <v>0.301</v>
      </c>
      <c r="M60" s="23">
        <v>3.02</v>
      </c>
      <c r="S60" s="23">
        <v>1.833</v>
      </c>
      <c r="T60" s="23">
        <v>2.435</v>
      </c>
      <c r="U60" s="23">
        <v>0.404</v>
      </c>
      <c r="X60" s="23">
        <v>2.85</v>
      </c>
      <c r="Z60" s="23">
        <v>0.6</v>
      </c>
      <c r="AB60" s="23">
        <v>0.438</v>
      </c>
      <c r="AC60" s="23">
        <v>0.208</v>
      </c>
      <c r="AD60" s="23">
        <v>1.387</v>
      </c>
      <c r="AH60" s="23">
        <v>2.084</v>
      </c>
      <c r="AJ60" s="23">
        <v>0.388</v>
      </c>
      <c r="AK60" s="23">
        <v>2.353</v>
      </c>
      <c r="AL60" s="23">
        <v>0.443</v>
      </c>
      <c r="AP60" s="23">
        <v>1.009</v>
      </c>
    </row>
    <row r="61" ht="14.25" customHeight="1">
      <c r="A61" s="21" t="s">
        <v>192</v>
      </c>
      <c r="B61" s="22"/>
      <c r="C61" s="22"/>
      <c r="D61" s="23">
        <v>1.413</v>
      </c>
      <c r="G61" s="23">
        <v>0.249</v>
      </c>
      <c r="H61" s="23">
        <v>3.688</v>
      </c>
      <c r="I61" s="23">
        <v>0.29</v>
      </c>
      <c r="L61" s="23">
        <v>0.277</v>
      </c>
      <c r="M61" s="23">
        <v>2.57</v>
      </c>
      <c r="S61" s="23">
        <v>2.956</v>
      </c>
      <c r="T61" s="23">
        <v>5.265</v>
      </c>
      <c r="U61" s="23">
        <v>0.749</v>
      </c>
      <c r="X61" s="23">
        <v>2.26</v>
      </c>
      <c r="Z61" s="23">
        <v>0.56</v>
      </c>
      <c r="AB61" s="23">
        <v>0.37</v>
      </c>
      <c r="AC61" s="23">
        <v>0.162</v>
      </c>
      <c r="AD61" s="23">
        <v>0.79</v>
      </c>
      <c r="AH61" s="23">
        <v>3.169</v>
      </c>
      <c r="AJ61" s="23">
        <v>0.358</v>
      </c>
      <c r="AK61" s="23">
        <v>2.172</v>
      </c>
      <c r="AL61" s="23">
        <v>0.409</v>
      </c>
      <c r="AP61" s="23">
        <v>0.975</v>
      </c>
    </row>
    <row r="62" ht="14.25" customHeight="1">
      <c r="A62" s="21" t="s">
        <v>193</v>
      </c>
      <c r="B62" s="22"/>
      <c r="C62" s="22"/>
      <c r="D62" s="23">
        <v>0.441</v>
      </c>
      <c r="G62" s="23">
        <v>0.145</v>
      </c>
      <c r="H62" s="23">
        <v>1.756</v>
      </c>
      <c r="I62" s="23">
        <v>0.169</v>
      </c>
      <c r="L62" s="23">
        <v>0.122</v>
      </c>
      <c r="M62" s="23">
        <v>1.25</v>
      </c>
      <c r="S62" s="23">
        <v>1.107</v>
      </c>
      <c r="T62" s="23">
        <v>1.587</v>
      </c>
      <c r="U62" s="23">
        <v>0.236</v>
      </c>
      <c r="X62" s="23">
        <v>0.78</v>
      </c>
      <c r="Z62" s="23">
        <v>0.28</v>
      </c>
      <c r="AB62" s="23">
        <v>0.195</v>
      </c>
      <c r="AC62" s="23">
        <v>0.043</v>
      </c>
      <c r="AD62" s="23">
        <v>0.497</v>
      </c>
      <c r="AH62" s="23">
        <v>1.322</v>
      </c>
      <c r="AJ62" s="23">
        <v>0.158</v>
      </c>
      <c r="AK62" s="23">
        <v>0.957</v>
      </c>
      <c r="AL62" s="23">
        <v>0.18</v>
      </c>
      <c r="AP62" s="23">
        <v>0.517</v>
      </c>
    </row>
    <row r="63" ht="14.25" customHeight="1">
      <c r="A63" s="21" t="s">
        <v>194</v>
      </c>
      <c r="B63" s="22"/>
      <c r="C63" s="22"/>
      <c r="D63" s="23">
        <v>1.413</v>
      </c>
      <c r="G63" s="23">
        <v>0.213</v>
      </c>
      <c r="H63" s="23">
        <v>2.01</v>
      </c>
      <c r="I63" s="23">
        <v>0.248</v>
      </c>
      <c r="L63" s="23">
        <v>0.104</v>
      </c>
      <c r="M63" s="23">
        <v>2.7</v>
      </c>
      <c r="S63" s="23">
        <v>0.9</v>
      </c>
      <c r="T63" s="23">
        <v>2.81</v>
      </c>
      <c r="U63" s="23">
        <v>0.368</v>
      </c>
      <c r="X63" s="23">
        <v>2.31</v>
      </c>
      <c r="Z63" s="23">
        <v>0.39</v>
      </c>
      <c r="AB63" s="23">
        <v>0.419</v>
      </c>
      <c r="AC63" s="23">
        <v>0.041</v>
      </c>
      <c r="AD63" s="23">
        <v>0.334</v>
      </c>
      <c r="AH63" s="23">
        <v>0.917</v>
      </c>
      <c r="AJ63" s="23">
        <v>0.135</v>
      </c>
      <c r="AK63" s="23">
        <v>0.816</v>
      </c>
      <c r="AL63" s="23">
        <v>0.154</v>
      </c>
      <c r="AP63" s="23">
        <v>1.712</v>
      </c>
    </row>
    <row r="64" ht="14.25" customHeight="1">
      <c r="A64" s="21" t="s">
        <v>195</v>
      </c>
      <c r="B64" s="22"/>
      <c r="C64" s="22"/>
      <c r="D64" s="23">
        <v>0.409</v>
      </c>
      <c r="G64" s="23">
        <v>0.136</v>
      </c>
      <c r="H64" s="23">
        <v>1.159</v>
      </c>
      <c r="I64" s="23">
        <v>0.158</v>
      </c>
      <c r="L64" s="23">
        <v>0.099</v>
      </c>
      <c r="M64" s="23">
        <v>0.53</v>
      </c>
      <c r="S64" s="23">
        <v>0.9</v>
      </c>
      <c r="T64" s="23">
        <v>0.759</v>
      </c>
      <c r="U64" s="23">
        <v>0.211</v>
      </c>
      <c r="X64" s="23">
        <v>0.61</v>
      </c>
      <c r="Z64" s="23">
        <v>0.24</v>
      </c>
      <c r="AB64" s="23">
        <v>0.195</v>
      </c>
      <c r="AC64" s="23">
        <v>0.045</v>
      </c>
      <c r="AD64" s="23">
        <v>0.25</v>
      </c>
      <c r="AH64" s="23">
        <v>0.946</v>
      </c>
      <c r="AJ64" s="23">
        <v>0.128</v>
      </c>
      <c r="AK64" s="23">
        <v>0.778</v>
      </c>
      <c r="AL64" s="23">
        <v>0.146</v>
      </c>
      <c r="AP64" s="23">
        <v>0.314</v>
      </c>
    </row>
    <row r="65" ht="14.25" customHeight="1">
      <c r="A65" s="21"/>
      <c r="B65" s="22"/>
      <c r="C65" s="22"/>
    </row>
    <row r="66" ht="14.25" customHeight="1">
      <c r="A66" s="36" t="s">
        <v>196</v>
      </c>
      <c r="B66" s="37"/>
      <c r="C66" s="38"/>
    </row>
    <row r="67" ht="14.25" customHeight="1">
      <c r="A67" s="39"/>
      <c r="C67" s="40"/>
    </row>
    <row r="68" ht="14.25" customHeight="1">
      <c r="A68" s="39"/>
      <c r="C68" s="40"/>
    </row>
    <row r="69" ht="14.25" customHeight="1">
      <c r="A69" s="39"/>
      <c r="C69" s="40"/>
    </row>
    <row r="70" ht="14.25" customHeight="1">
      <c r="A70" s="41"/>
      <c r="B70" s="42"/>
      <c r="C70" s="43"/>
    </row>
    <row r="71" ht="14.25" customHeight="1">
      <c r="A71" s="44" t="s">
        <v>197</v>
      </c>
      <c r="B71" s="21"/>
      <c r="C71" s="21"/>
    </row>
    <row r="72" ht="14.25" customHeight="1">
      <c r="A72" s="44" t="s">
        <v>198</v>
      </c>
      <c r="B72" s="21"/>
      <c r="C72" s="21"/>
    </row>
    <row r="73" ht="14.25" customHeight="1">
      <c r="A73" s="21"/>
      <c r="B73" s="21"/>
      <c r="C73" s="21"/>
    </row>
    <row r="74" ht="15.0" customHeight="1">
      <c r="A74" s="36" t="s">
        <v>199</v>
      </c>
      <c r="B74" s="37"/>
      <c r="C74" s="38"/>
    </row>
    <row r="75" ht="15.0" customHeight="1">
      <c r="A75" s="41"/>
      <c r="B75" s="42"/>
      <c r="C75" s="43"/>
    </row>
    <row r="76" ht="15.0" customHeight="1">
      <c r="A76" s="44" t="s">
        <v>200</v>
      </c>
      <c r="B76" s="22"/>
      <c r="C76" s="22"/>
    </row>
    <row r="77" ht="14.25" customHeight="1">
      <c r="B77" s="22"/>
      <c r="C77" s="22"/>
    </row>
    <row r="78" ht="14.25" customHeight="1">
      <c r="A78" s="45" t="s">
        <v>201</v>
      </c>
      <c r="B78" s="37"/>
      <c r="C78" s="38"/>
    </row>
    <row r="79" ht="14.25" customHeight="1">
      <c r="A79" s="39"/>
      <c r="C79" s="40"/>
    </row>
    <row r="80" ht="14.25" customHeight="1">
      <c r="A80" s="41"/>
      <c r="B80" s="42"/>
      <c r="C80" s="43"/>
    </row>
    <row r="81" ht="14.25" customHeight="1">
      <c r="A81" s="44" t="s">
        <v>202</v>
      </c>
      <c r="B81" s="22"/>
      <c r="C81" s="22"/>
    </row>
    <row r="82" ht="14.25" customHeight="1">
      <c r="A82" s="21"/>
      <c r="B82" s="22"/>
      <c r="C82" s="22"/>
    </row>
    <row r="83" ht="14.25" customHeight="1">
      <c r="A83" s="21"/>
      <c r="B83" s="22"/>
      <c r="C83" s="22"/>
    </row>
    <row r="84" ht="14.25" customHeight="1">
      <c r="A84" s="21"/>
      <c r="B84" s="22"/>
      <c r="C84" s="22"/>
    </row>
    <row r="85" ht="14.25" customHeight="1">
      <c r="A85" s="21"/>
      <c r="B85" s="22"/>
      <c r="C85" s="22"/>
    </row>
    <row r="86" ht="14.25" customHeight="1">
      <c r="A86" s="21"/>
      <c r="B86" s="22"/>
      <c r="C86" s="22"/>
    </row>
    <row r="87" ht="14.25" customHeight="1">
      <c r="A87" s="21"/>
      <c r="B87" s="22"/>
      <c r="C87" s="22"/>
    </row>
    <row r="88" ht="14.25" customHeight="1">
      <c r="A88" s="21"/>
      <c r="B88" s="22"/>
      <c r="C88" s="22"/>
    </row>
    <row r="89" ht="14.25" customHeight="1">
      <c r="A89" s="21"/>
      <c r="B89" s="22"/>
      <c r="C89" s="22"/>
    </row>
    <row r="90" ht="14.25" customHeight="1">
      <c r="A90" s="21"/>
      <c r="B90" s="22"/>
      <c r="C90" s="22"/>
    </row>
    <row r="91" ht="14.25" customHeight="1">
      <c r="A91" s="21"/>
      <c r="B91" s="22"/>
      <c r="C91" s="22"/>
    </row>
    <row r="92" ht="14.25" customHeight="1">
      <c r="A92" s="21"/>
      <c r="B92" s="22"/>
      <c r="C92" s="22"/>
    </row>
    <row r="93" ht="14.25" customHeight="1">
      <c r="A93" s="21"/>
      <c r="B93" s="22"/>
      <c r="C93" s="22"/>
    </row>
    <row r="94" ht="14.25" customHeight="1">
      <c r="A94" s="21"/>
      <c r="B94" s="22"/>
      <c r="C94" s="22"/>
    </row>
    <row r="95" ht="14.25" customHeight="1">
      <c r="A95" s="21"/>
      <c r="B95" s="22"/>
      <c r="C95" s="22"/>
    </row>
    <row r="96" ht="14.25" customHeight="1">
      <c r="A96" s="21"/>
      <c r="B96" s="22"/>
      <c r="C96" s="22"/>
    </row>
    <row r="97" ht="14.25" customHeight="1">
      <c r="A97" s="21"/>
      <c r="B97" s="22"/>
      <c r="C97" s="22"/>
    </row>
    <row r="98" ht="14.25" customHeight="1">
      <c r="A98" s="21"/>
      <c r="B98" s="22"/>
      <c r="C98" s="22"/>
    </row>
    <row r="99" ht="14.25" customHeight="1">
      <c r="A99" s="21"/>
      <c r="B99" s="22"/>
      <c r="C99" s="22"/>
    </row>
    <row r="100" ht="14.25" customHeight="1">
      <c r="A100" s="21"/>
      <c r="B100" s="22"/>
      <c r="C100" s="22"/>
    </row>
    <row r="101" ht="14.25" customHeight="1">
      <c r="A101" s="21"/>
      <c r="B101" s="22"/>
      <c r="C101" s="22"/>
    </row>
    <row r="102" ht="14.25" customHeight="1">
      <c r="A102" s="21"/>
      <c r="B102" s="22"/>
      <c r="C102" s="22"/>
    </row>
    <row r="103" ht="14.25" customHeight="1">
      <c r="A103" s="21"/>
      <c r="B103" s="22"/>
      <c r="C103" s="22"/>
    </row>
    <row r="104" ht="14.25" customHeight="1">
      <c r="A104" s="21"/>
      <c r="B104" s="22"/>
      <c r="C104" s="22"/>
    </row>
    <row r="105" ht="14.25" customHeight="1">
      <c r="A105" s="21"/>
      <c r="B105" s="22"/>
      <c r="C105" s="22"/>
    </row>
    <row r="106" ht="14.25" customHeight="1">
      <c r="A106" s="21"/>
      <c r="B106" s="22"/>
      <c r="C106" s="22"/>
    </row>
    <row r="107" ht="14.25" customHeight="1">
      <c r="A107" s="21"/>
      <c r="B107" s="22"/>
      <c r="C107" s="22"/>
    </row>
    <row r="108" ht="14.25" customHeight="1">
      <c r="A108" s="21"/>
      <c r="B108" s="22"/>
      <c r="C108" s="22"/>
    </row>
    <row r="109" ht="14.25" customHeight="1">
      <c r="A109" s="21"/>
      <c r="B109" s="22"/>
      <c r="C109" s="22"/>
    </row>
    <row r="110" ht="14.25" customHeight="1">
      <c r="A110" s="21"/>
      <c r="B110" s="22"/>
      <c r="C110" s="22"/>
    </row>
    <row r="111" ht="14.25" customHeight="1">
      <c r="A111" s="21"/>
      <c r="B111" s="22"/>
      <c r="C111" s="22"/>
    </row>
    <row r="112" ht="14.25" customHeight="1">
      <c r="A112" s="21"/>
      <c r="B112" s="22"/>
      <c r="C112" s="22"/>
    </row>
    <row r="113" ht="14.25" customHeight="1">
      <c r="A113" s="21"/>
      <c r="B113" s="22"/>
      <c r="C113" s="22"/>
    </row>
    <row r="114" ht="14.25" customHeight="1">
      <c r="A114" s="21"/>
      <c r="B114" s="22"/>
      <c r="C114" s="22"/>
    </row>
    <row r="115" ht="14.25" customHeight="1">
      <c r="A115" s="21"/>
      <c r="B115" s="22"/>
      <c r="C115" s="22"/>
    </row>
    <row r="116" ht="14.25" customHeight="1">
      <c r="A116" s="21"/>
      <c r="B116" s="22"/>
      <c r="C116" s="22"/>
    </row>
    <row r="117" ht="14.25" customHeight="1">
      <c r="A117" s="21"/>
      <c r="B117" s="22"/>
      <c r="C117" s="22"/>
    </row>
    <row r="118" ht="14.25" customHeight="1">
      <c r="A118" s="21"/>
      <c r="B118" s="22"/>
      <c r="C118" s="22"/>
    </row>
    <row r="119" ht="14.25" customHeight="1">
      <c r="A119" s="21"/>
      <c r="B119" s="22"/>
      <c r="C119" s="22"/>
    </row>
    <row r="120" ht="14.25" customHeight="1">
      <c r="A120" s="21"/>
      <c r="B120" s="22"/>
      <c r="C120" s="22"/>
    </row>
    <row r="121" ht="14.25" customHeight="1">
      <c r="A121" s="21"/>
      <c r="B121" s="22"/>
      <c r="C121" s="22"/>
    </row>
    <row r="122" ht="14.25" customHeight="1">
      <c r="A122" s="21"/>
      <c r="B122" s="22"/>
      <c r="C122" s="22"/>
    </row>
    <row r="123" ht="14.25" customHeight="1">
      <c r="A123" s="21"/>
      <c r="B123" s="22"/>
      <c r="C123" s="22"/>
    </row>
    <row r="124" ht="14.25" customHeight="1">
      <c r="A124" s="21"/>
      <c r="B124" s="22"/>
      <c r="C124" s="22"/>
    </row>
    <row r="125" ht="14.25" customHeight="1">
      <c r="A125" s="21"/>
      <c r="B125" s="22"/>
      <c r="C125" s="22"/>
    </row>
    <row r="126" ht="14.25" customHeight="1">
      <c r="A126" s="21"/>
      <c r="B126" s="22"/>
      <c r="C126" s="22"/>
    </row>
    <row r="127" ht="14.25" customHeight="1">
      <c r="A127" s="21"/>
      <c r="B127" s="22"/>
      <c r="C127" s="22"/>
    </row>
    <row r="128" ht="14.25" customHeight="1">
      <c r="A128" s="21"/>
      <c r="B128" s="22"/>
      <c r="C128" s="22"/>
    </row>
    <row r="129" ht="14.25" customHeight="1">
      <c r="A129" s="21"/>
      <c r="B129" s="22"/>
      <c r="C129" s="22"/>
    </row>
    <row r="130" ht="14.25" customHeight="1">
      <c r="A130" s="21"/>
      <c r="B130" s="22"/>
      <c r="C130" s="22"/>
    </row>
    <row r="131" ht="14.25" customHeight="1">
      <c r="A131" s="21"/>
      <c r="B131" s="22"/>
      <c r="C131" s="22"/>
    </row>
    <row r="132" ht="14.25" customHeight="1">
      <c r="A132" s="21"/>
      <c r="B132" s="22"/>
      <c r="C132" s="22"/>
    </row>
    <row r="133" ht="14.25" customHeight="1">
      <c r="A133" s="21"/>
      <c r="B133" s="22"/>
      <c r="C133" s="22"/>
    </row>
    <row r="134" ht="14.25" customHeight="1">
      <c r="A134" s="21"/>
      <c r="B134" s="22"/>
      <c r="C134" s="22"/>
    </row>
    <row r="135" ht="14.25" customHeight="1">
      <c r="A135" s="21"/>
      <c r="B135" s="22"/>
      <c r="C135" s="22"/>
    </row>
    <row r="136" ht="14.25" customHeight="1">
      <c r="A136" s="21"/>
      <c r="B136" s="22"/>
      <c r="C136" s="22"/>
    </row>
    <row r="137" ht="14.25" customHeight="1">
      <c r="A137" s="21"/>
      <c r="B137" s="22"/>
      <c r="C137" s="22"/>
    </row>
    <row r="138" ht="14.25" customHeight="1">
      <c r="A138" s="21"/>
      <c r="B138" s="22"/>
      <c r="C138" s="22"/>
    </row>
    <row r="139" ht="14.25" customHeight="1">
      <c r="A139" s="21"/>
      <c r="B139" s="22"/>
      <c r="C139" s="22"/>
    </row>
    <row r="140" ht="14.25" customHeight="1">
      <c r="A140" s="21"/>
      <c r="B140" s="22"/>
      <c r="C140" s="22"/>
    </row>
    <row r="141" ht="14.25" customHeight="1">
      <c r="A141" s="21"/>
      <c r="B141" s="22"/>
      <c r="C141" s="22"/>
    </row>
    <row r="142" ht="14.25" customHeight="1">
      <c r="A142" s="21"/>
      <c r="B142" s="22"/>
      <c r="C142" s="22"/>
    </row>
    <row r="143" ht="14.25" customHeight="1">
      <c r="A143" s="21"/>
      <c r="B143" s="22"/>
      <c r="C143" s="22"/>
    </row>
    <row r="144" ht="14.25" customHeight="1">
      <c r="A144" s="21"/>
      <c r="B144" s="22"/>
      <c r="C144" s="22"/>
    </row>
    <row r="145" ht="14.25" customHeight="1">
      <c r="A145" s="21"/>
      <c r="B145" s="22"/>
      <c r="C145" s="22"/>
    </row>
    <row r="146" ht="14.25" customHeight="1">
      <c r="A146" s="21"/>
      <c r="B146" s="22"/>
      <c r="C146" s="22"/>
    </row>
    <row r="147" ht="14.25" customHeight="1">
      <c r="A147" s="21"/>
      <c r="B147" s="22"/>
      <c r="C147" s="22"/>
    </row>
    <row r="148" ht="14.25" customHeight="1">
      <c r="A148" s="21"/>
      <c r="B148" s="22"/>
      <c r="C148" s="22"/>
    </row>
    <row r="149" ht="14.25" customHeight="1">
      <c r="A149" s="21"/>
      <c r="B149" s="22"/>
      <c r="C149" s="22"/>
    </row>
    <row r="150" ht="14.25" customHeight="1">
      <c r="A150" s="21"/>
      <c r="B150" s="22"/>
      <c r="C150" s="22"/>
    </row>
    <row r="151" ht="14.25" customHeight="1">
      <c r="A151" s="21"/>
      <c r="B151" s="22"/>
      <c r="C151" s="22"/>
    </row>
    <row r="152" ht="14.25" customHeight="1">
      <c r="A152" s="21"/>
      <c r="B152" s="22"/>
      <c r="C152" s="22"/>
    </row>
    <row r="153" ht="14.25" customHeight="1">
      <c r="A153" s="21"/>
      <c r="B153" s="22"/>
      <c r="C153" s="22"/>
    </row>
    <row r="154" ht="14.25" customHeight="1">
      <c r="A154" s="21"/>
      <c r="B154" s="22"/>
      <c r="C154" s="22"/>
    </row>
    <row r="155" ht="14.25" customHeight="1">
      <c r="A155" s="21"/>
      <c r="B155" s="22"/>
      <c r="C155" s="22"/>
    </row>
    <row r="156" ht="14.25" customHeight="1">
      <c r="A156" s="21"/>
      <c r="B156" s="22"/>
      <c r="C156" s="22"/>
    </row>
    <row r="157" ht="14.25" customHeight="1">
      <c r="A157" s="21"/>
      <c r="B157" s="22"/>
      <c r="C157" s="22"/>
    </row>
    <row r="158" ht="14.25" customHeight="1">
      <c r="A158" s="21"/>
      <c r="B158" s="22"/>
      <c r="C158" s="22"/>
    </row>
    <row r="159" ht="14.25" customHeight="1">
      <c r="A159" s="21"/>
      <c r="B159" s="22"/>
      <c r="C159" s="22"/>
    </row>
    <row r="160" ht="14.25" customHeight="1">
      <c r="A160" s="21"/>
      <c r="B160" s="22"/>
      <c r="C160" s="22"/>
    </row>
    <row r="161" ht="14.25" customHeight="1">
      <c r="A161" s="21"/>
      <c r="B161" s="22"/>
      <c r="C161" s="22"/>
    </row>
    <row r="162" ht="14.25" customHeight="1">
      <c r="A162" s="21"/>
      <c r="B162" s="22"/>
      <c r="C162" s="22"/>
    </row>
    <row r="163" ht="14.25" customHeight="1">
      <c r="A163" s="21"/>
      <c r="B163" s="22"/>
      <c r="C163" s="22"/>
    </row>
    <row r="164" ht="14.25" customHeight="1">
      <c r="A164" s="21"/>
      <c r="B164" s="22"/>
      <c r="C164" s="22"/>
    </row>
    <row r="165" ht="14.25" customHeight="1">
      <c r="A165" s="21"/>
      <c r="B165" s="22"/>
      <c r="C165" s="22"/>
    </row>
    <row r="166" ht="14.25" customHeight="1">
      <c r="A166" s="21"/>
      <c r="B166" s="22"/>
      <c r="C166" s="22"/>
    </row>
    <row r="167" ht="14.25" customHeight="1">
      <c r="A167" s="21"/>
      <c r="B167" s="22"/>
      <c r="C167" s="22"/>
    </row>
    <row r="168" ht="14.25" customHeight="1">
      <c r="A168" s="21"/>
      <c r="B168" s="22"/>
      <c r="C168" s="22"/>
    </row>
    <row r="169" ht="14.25" customHeight="1">
      <c r="A169" s="21"/>
      <c r="B169" s="22"/>
      <c r="C169" s="22"/>
    </row>
    <row r="170" ht="14.25" customHeight="1">
      <c r="A170" s="21"/>
      <c r="B170" s="22"/>
      <c r="C170" s="22"/>
    </row>
    <row r="171" ht="14.25" customHeight="1">
      <c r="A171" s="21"/>
      <c r="B171" s="22"/>
      <c r="C171" s="22"/>
    </row>
    <row r="172" ht="14.25" customHeight="1">
      <c r="A172" s="21"/>
      <c r="B172" s="22"/>
      <c r="C172" s="22"/>
    </row>
    <row r="173" ht="14.25" customHeight="1">
      <c r="A173" s="21"/>
      <c r="B173" s="22"/>
      <c r="C173" s="22"/>
    </row>
    <row r="174" ht="14.25" customHeight="1">
      <c r="A174" s="21"/>
      <c r="B174" s="22"/>
      <c r="C174" s="22"/>
    </row>
    <row r="175" ht="14.25" customHeight="1">
      <c r="A175" s="21"/>
      <c r="B175" s="22"/>
      <c r="C175" s="22"/>
    </row>
    <row r="176" ht="14.25" customHeight="1">
      <c r="A176" s="21"/>
      <c r="B176" s="22"/>
      <c r="C176" s="22"/>
    </row>
    <row r="177" ht="14.25" customHeight="1">
      <c r="A177" s="21"/>
      <c r="B177" s="22"/>
      <c r="C177" s="22"/>
    </row>
    <row r="178" ht="14.25" customHeight="1">
      <c r="A178" s="21"/>
      <c r="B178" s="22"/>
      <c r="C178" s="22"/>
    </row>
    <row r="179" ht="14.25" customHeight="1">
      <c r="A179" s="21"/>
      <c r="B179" s="22"/>
      <c r="C179" s="22"/>
    </row>
    <row r="180" ht="14.25" customHeight="1">
      <c r="A180" s="21"/>
      <c r="B180" s="22"/>
      <c r="C180" s="22"/>
    </row>
    <row r="181" ht="14.25" customHeight="1">
      <c r="A181" s="21"/>
      <c r="B181" s="22"/>
      <c r="C181" s="22"/>
    </row>
    <row r="182" ht="14.25" customHeight="1">
      <c r="A182" s="21"/>
      <c r="B182" s="22"/>
      <c r="C182" s="22"/>
    </row>
    <row r="183" ht="14.25" customHeight="1">
      <c r="A183" s="21"/>
      <c r="B183" s="22"/>
      <c r="C183" s="22"/>
    </row>
    <row r="184" ht="14.25" customHeight="1">
      <c r="A184" s="21"/>
      <c r="B184" s="22"/>
      <c r="C184" s="22"/>
    </row>
    <row r="185" ht="14.25" customHeight="1">
      <c r="A185" s="21"/>
      <c r="B185" s="22"/>
      <c r="C185" s="22"/>
    </row>
    <row r="186" ht="14.25" customHeight="1">
      <c r="A186" s="21"/>
      <c r="B186" s="22"/>
      <c r="C186" s="22"/>
    </row>
    <row r="187" ht="14.25" customHeight="1">
      <c r="A187" s="21"/>
      <c r="B187" s="22"/>
      <c r="C187" s="22"/>
    </row>
    <row r="188" ht="14.25" customHeight="1">
      <c r="A188" s="21"/>
      <c r="B188" s="22"/>
      <c r="C188" s="22"/>
    </row>
    <row r="189" ht="14.25" customHeight="1">
      <c r="A189" s="21"/>
      <c r="B189" s="22"/>
      <c r="C189" s="22"/>
    </row>
    <row r="190" ht="14.25" customHeight="1">
      <c r="A190" s="21"/>
      <c r="B190" s="22"/>
      <c r="C190" s="22"/>
    </row>
    <row r="191" ht="14.25" customHeight="1">
      <c r="A191" s="21"/>
      <c r="B191" s="22"/>
      <c r="C191" s="22"/>
    </row>
    <row r="192" ht="14.25" customHeight="1">
      <c r="A192" s="21"/>
      <c r="B192" s="22"/>
      <c r="C192" s="22"/>
    </row>
    <row r="193" ht="14.25" customHeight="1">
      <c r="A193" s="21"/>
      <c r="B193" s="22"/>
      <c r="C193" s="22"/>
    </row>
    <row r="194" ht="14.25" customHeight="1">
      <c r="A194" s="21"/>
      <c r="B194" s="22"/>
      <c r="C194" s="22"/>
    </row>
    <row r="195" ht="14.25" customHeight="1">
      <c r="A195" s="21"/>
      <c r="B195" s="22"/>
      <c r="C195" s="22"/>
    </row>
    <row r="196" ht="14.25" customHeight="1">
      <c r="A196" s="21"/>
      <c r="B196" s="22"/>
      <c r="C196" s="22"/>
    </row>
    <row r="197" ht="14.25" customHeight="1">
      <c r="A197" s="21"/>
      <c r="B197" s="22"/>
      <c r="C197" s="22"/>
    </row>
    <row r="198" ht="14.25" customHeight="1">
      <c r="A198" s="21"/>
      <c r="B198" s="22"/>
      <c r="C198" s="22"/>
    </row>
    <row r="199" ht="14.25" customHeight="1">
      <c r="A199" s="21"/>
      <c r="B199" s="22"/>
      <c r="C199" s="22"/>
    </row>
    <row r="200" ht="14.25" customHeight="1">
      <c r="A200" s="21"/>
      <c r="B200" s="22"/>
      <c r="C200" s="22"/>
    </row>
    <row r="201" ht="14.25" customHeight="1">
      <c r="A201" s="21"/>
      <c r="B201" s="22"/>
      <c r="C201" s="22"/>
    </row>
    <row r="202" ht="14.25" customHeight="1">
      <c r="A202" s="21"/>
      <c r="B202" s="22"/>
      <c r="C202" s="22"/>
    </row>
    <row r="203" ht="14.25" customHeight="1">
      <c r="A203" s="21"/>
      <c r="B203" s="22"/>
      <c r="C203" s="22"/>
    </row>
    <row r="204" ht="14.25" customHeight="1">
      <c r="A204" s="21"/>
      <c r="B204" s="22"/>
      <c r="C204" s="22"/>
    </row>
    <row r="205" ht="14.25" customHeight="1">
      <c r="A205" s="21"/>
      <c r="B205" s="22"/>
      <c r="C205" s="22"/>
    </row>
    <row r="206" ht="14.25" customHeight="1">
      <c r="A206" s="21"/>
      <c r="B206" s="22"/>
      <c r="C206" s="22"/>
    </row>
    <row r="207" ht="14.25" customHeight="1">
      <c r="A207" s="21"/>
      <c r="B207" s="22"/>
      <c r="C207" s="22"/>
    </row>
    <row r="208" ht="14.25" customHeight="1">
      <c r="A208" s="21"/>
      <c r="B208" s="22"/>
      <c r="C208" s="22"/>
    </row>
    <row r="209" ht="14.25" customHeight="1">
      <c r="A209" s="21"/>
      <c r="B209" s="22"/>
      <c r="C209" s="22"/>
    </row>
    <row r="210" ht="14.25" customHeight="1">
      <c r="A210" s="21"/>
      <c r="B210" s="22"/>
      <c r="C210" s="22"/>
    </row>
    <row r="211" ht="14.25" customHeight="1">
      <c r="A211" s="21"/>
      <c r="B211" s="22"/>
      <c r="C211" s="22"/>
    </row>
    <row r="212" ht="14.25" customHeight="1">
      <c r="A212" s="21"/>
      <c r="B212" s="22"/>
      <c r="C212" s="22"/>
    </row>
    <row r="213" ht="14.25" customHeight="1">
      <c r="A213" s="21"/>
      <c r="B213" s="22"/>
      <c r="C213" s="22"/>
    </row>
    <row r="214" ht="14.25" customHeight="1">
      <c r="A214" s="21"/>
      <c r="B214" s="22"/>
      <c r="C214" s="22"/>
    </row>
    <row r="215" ht="14.25" customHeight="1">
      <c r="A215" s="21"/>
      <c r="B215" s="22"/>
      <c r="C215" s="22"/>
    </row>
    <row r="216" ht="14.25" customHeight="1">
      <c r="A216" s="21"/>
      <c r="B216" s="22"/>
      <c r="C216" s="22"/>
    </row>
    <row r="217" ht="14.25" customHeight="1">
      <c r="A217" s="21"/>
      <c r="B217" s="22"/>
      <c r="C217" s="22"/>
    </row>
    <row r="218" ht="14.25" customHeight="1">
      <c r="A218" s="21"/>
      <c r="B218" s="22"/>
      <c r="C218" s="22"/>
    </row>
    <row r="219" ht="14.25" customHeight="1">
      <c r="A219" s="21"/>
      <c r="B219" s="22"/>
      <c r="C219" s="22"/>
    </row>
    <row r="220" ht="14.25" customHeight="1">
      <c r="A220" s="21"/>
      <c r="B220" s="22"/>
      <c r="C220" s="22"/>
    </row>
    <row r="221" ht="14.25" customHeight="1">
      <c r="A221" s="21"/>
      <c r="B221" s="22"/>
      <c r="C221" s="22"/>
    </row>
    <row r="222" ht="14.25" customHeight="1">
      <c r="A222" s="21"/>
      <c r="B222" s="22"/>
      <c r="C222" s="22"/>
    </row>
    <row r="223" ht="14.25" customHeight="1">
      <c r="A223" s="21"/>
      <c r="B223" s="22"/>
      <c r="C223" s="22"/>
    </row>
    <row r="224" ht="14.25" customHeight="1">
      <c r="A224" s="21"/>
      <c r="B224" s="22"/>
      <c r="C224" s="22"/>
    </row>
    <row r="225" ht="14.25" customHeight="1">
      <c r="A225" s="21"/>
      <c r="B225" s="22"/>
      <c r="C225" s="22"/>
    </row>
    <row r="226" ht="14.25" customHeight="1">
      <c r="A226" s="21"/>
      <c r="B226" s="22"/>
      <c r="C226" s="22"/>
    </row>
    <row r="227" ht="14.25" customHeight="1">
      <c r="A227" s="21"/>
      <c r="B227" s="22"/>
      <c r="C227" s="22"/>
    </row>
    <row r="228" ht="14.25" customHeight="1">
      <c r="A228" s="21"/>
      <c r="B228" s="22"/>
      <c r="C228" s="22"/>
    </row>
    <row r="229" ht="14.25" customHeight="1">
      <c r="A229" s="21"/>
      <c r="B229" s="22"/>
      <c r="C229" s="22"/>
    </row>
    <row r="230" ht="14.25" customHeight="1">
      <c r="A230" s="21"/>
      <c r="B230" s="22"/>
      <c r="C230" s="22"/>
    </row>
    <row r="231" ht="14.25" customHeight="1">
      <c r="A231" s="21"/>
      <c r="B231" s="22"/>
      <c r="C231" s="22"/>
    </row>
    <row r="232" ht="14.25" customHeight="1">
      <c r="A232" s="21"/>
      <c r="B232" s="22"/>
      <c r="C232" s="22"/>
    </row>
    <row r="233" ht="14.25" customHeight="1">
      <c r="A233" s="21"/>
      <c r="B233" s="22"/>
      <c r="C233" s="22"/>
    </row>
    <row r="234" ht="14.25" customHeight="1">
      <c r="A234" s="21"/>
      <c r="B234" s="22"/>
      <c r="C234" s="22"/>
    </row>
    <row r="235" ht="14.25" customHeight="1">
      <c r="A235" s="21"/>
      <c r="B235" s="22"/>
      <c r="C235" s="22"/>
    </row>
    <row r="236" ht="14.25" customHeight="1">
      <c r="A236" s="21"/>
      <c r="B236" s="22"/>
      <c r="C236" s="22"/>
    </row>
    <row r="237" ht="14.25" customHeight="1">
      <c r="A237" s="21"/>
      <c r="B237" s="22"/>
      <c r="C237" s="22"/>
    </row>
    <row r="238" ht="14.25" customHeight="1">
      <c r="A238" s="21"/>
      <c r="B238" s="22"/>
      <c r="C238" s="22"/>
    </row>
    <row r="239" ht="14.25" customHeight="1">
      <c r="A239" s="21"/>
      <c r="B239" s="22"/>
      <c r="C239" s="22"/>
    </row>
    <row r="240" ht="14.25" customHeight="1">
      <c r="A240" s="21"/>
      <c r="B240" s="22"/>
      <c r="C240" s="22"/>
    </row>
    <row r="241" ht="14.25" customHeight="1">
      <c r="A241" s="21"/>
      <c r="B241" s="22"/>
      <c r="C241" s="22"/>
    </row>
    <row r="242" ht="14.25" customHeight="1">
      <c r="A242" s="21"/>
      <c r="B242" s="22"/>
      <c r="C242" s="22"/>
    </row>
    <row r="243" ht="14.25" customHeight="1">
      <c r="A243" s="21"/>
      <c r="B243" s="22"/>
      <c r="C243" s="22"/>
    </row>
    <row r="244" ht="14.25" customHeight="1">
      <c r="A244" s="21"/>
      <c r="B244" s="22"/>
      <c r="C244" s="22"/>
    </row>
    <row r="245" ht="14.25" customHeight="1">
      <c r="A245" s="21"/>
      <c r="B245" s="22"/>
      <c r="C245" s="22"/>
    </row>
    <row r="246" ht="14.25" customHeight="1">
      <c r="A246" s="21"/>
      <c r="B246" s="22"/>
      <c r="C246" s="22"/>
    </row>
    <row r="247" ht="14.25" customHeight="1">
      <c r="A247" s="21"/>
      <c r="B247" s="22"/>
      <c r="C247" s="22"/>
    </row>
    <row r="248" ht="14.25" customHeight="1">
      <c r="A248" s="21"/>
      <c r="B248" s="22"/>
      <c r="C248" s="22"/>
    </row>
    <row r="249" ht="14.25" customHeight="1">
      <c r="A249" s="21"/>
      <c r="B249" s="22"/>
      <c r="C249" s="22"/>
    </row>
    <row r="250" ht="14.25" customHeight="1">
      <c r="A250" s="21"/>
      <c r="B250" s="22"/>
      <c r="C250" s="22"/>
    </row>
    <row r="251" ht="14.25" customHeight="1">
      <c r="A251" s="21"/>
      <c r="B251" s="22"/>
      <c r="C251" s="22"/>
    </row>
    <row r="252" ht="14.25" customHeight="1">
      <c r="A252" s="21"/>
      <c r="B252" s="22"/>
      <c r="C252" s="22"/>
    </row>
    <row r="253" ht="14.25" customHeight="1">
      <c r="A253" s="21"/>
      <c r="B253" s="22"/>
      <c r="C253" s="22"/>
    </row>
    <row r="254" ht="14.25" customHeight="1">
      <c r="A254" s="21"/>
      <c r="B254" s="22"/>
      <c r="C254" s="22"/>
    </row>
    <row r="255" ht="14.25" customHeight="1">
      <c r="A255" s="21"/>
      <c r="B255" s="22"/>
      <c r="C255" s="22"/>
    </row>
    <row r="256" ht="14.25" customHeight="1">
      <c r="A256" s="21"/>
      <c r="B256" s="22"/>
      <c r="C256" s="22"/>
    </row>
    <row r="257" ht="14.25" customHeight="1">
      <c r="A257" s="21"/>
      <c r="B257" s="22"/>
      <c r="C257" s="22"/>
    </row>
    <row r="258" ht="14.25" customHeight="1">
      <c r="A258" s="21"/>
      <c r="B258" s="22"/>
      <c r="C258" s="22"/>
    </row>
    <row r="259" ht="14.25" customHeight="1">
      <c r="A259" s="21"/>
      <c r="B259" s="22"/>
      <c r="C259" s="22"/>
    </row>
    <row r="260" ht="14.25" customHeight="1">
      <c r="A260" s="21"/>
      <c r="B260" s="22"/>
      <c r="C260" s="22"/>
    </row>
    <row r="261" ht="14.25" customHeight="1">
      <c r="A261" s="21"/>
      <c r="B261" s="22"/>
      <c r="C261" s="22"/>
    </row>
    <row r="262" ht="14.25" customHeight="1">
      <c r="A262" s="21"/>
      <c r="B262" s="22"/>
      <c r="C262" s="22"/>
    </row>
    <row r="263" ht="14.25" customHeight="1">
      <c r="A263" s="21"/>
      <c r="B263" s="22"/>
      <c r="C263" s="22"/>
    </row>
    <row r="264" ht="14.25" customHeight="1">
      <c r="A264" s="21"/>
      <c r="B264" s="22"/>
      <c r="C264" s="22"/>
    </row>
    <row r="265" ht="14.25" customHeight="1">
      <c r="A265" s="21"/>
      <c r="B265" s="22"/>
      <c r="C265" s="22"/>
    </row>
    <row r="266" ht="14.25" customHeight="1">
      <c r="A266" s="21"/>
      <c r="B266" s="22"/>
      <c r="C266" s="22"/>
    </row>
    <row r="267" ht="14.25" customHeight="1">
      <c r="A267" s="21"/>
      <c r="B267" s="22"/>
      <c r="C267" s="22"/>
    </row>
    <row r="268" ht="14.25" customHeight="1">
      <c r="A268" s="21"/>
      <c r="B268" s="22"/>
      <c r="C268" s="22"/>
    </row>
    <row r="269" ht="14.25" customHeight="1">
      <c r="A269" s="21"/>
      <c r="B269" s="22"/>
      <c r="C269" s="22"/>
    </row>
    <row r="270" ht="14.25" customHeight="1">
      <c r="A270" s="21"/>
      <c r="B270" s="22"/>
      <c r="C270" s="22"/>
    </row>
    <row r="271" ht="14.25" customHeight="1">
      <c r="A271" s="21"/>
      <c r="B271" s="22"/>
      <c r="C271" s="22"/>
    </row>
    <row r="272" ht="14.25" customHeight="1">
      <c r="A272" s="21"/>
      <c r="B272" s="22"/>
      <c r="C272" s="22"/>
    </row>
    <row r="273" ht="14.25" customHeight="1">
      <c r="A273" s="21"/>
      <c r="B273" s="22"/>
      <c r="C273" s="22"/>
    </row>
    <row r="274" ht="14.25" customHeight="1">
      <c r="A274" s="21"/>
      <c r="B274" s="22"/>
      <c r="C274" s="22"/>
    </row>
    <row r="275" ht="14.25" customHeight="1">
      <c r="A275" s="21"/>
      <c r="B275" s="22"/>
      <c r="C275" s="22"/>
    </row>
    <row r="276" ht="14.25" customHeight="1">
      <c r="A276" s="21"/>
      <c r="B276" s="22"/>
      <c r="C276" s="22"/>
    </row>
    <row r="277" ht="14.25" customHeight="1">
      <c r="A277" s="21"/>
      <c r="B277" s="22"/>
      <c r="C277" s="22"/>
    </row>
    <row r="278" ht="14.25" customHeight="1">
      <c r="A278" s="21"/>
      <c r="B278" s="22"/>
      <c r="C278" s="22"/>
    </row>
    <row r="279" ht="14.25" customHeight="1">
      <c r="A279" s="21"/>
      <c r="B279" s="22"/>
      <c r="C279" s="22"/>
    </row>
    <row r="280" ht="14.25" customHeight="1">
      <c r="A280" s="21"/>
      <c r="B280" s="22"/>
      <c r="C280" s="22"/>
    </row>
    <row r="281" ht="14.25" customHeight="1">
      <c r="A281" s="21"/>
      <c r="B281" s="22"/>
      <c r="C281" s="22"/>
    </row>
    <row r="282" ht="14.25" customHeight="1">
      <c r="A282" s="21"/>
      <c r="B282" s="22"/>
      <c r="C282" s="22"/>
    </row>
    <row r="283" ht="14.25" customHeight="1">
      <c r="A283" s="21"/>
      <c r="B283" s="22"/>
      <c r="C283" s="22"/>
    </row>
    <row r="284" ht="14.25" customHeight="1">
      <c r="A284" s="21"/>
      <c r="B284" s="22"/>
      <c r="C284" s="22"/>
    </row>
    <row r="285" ht="14.25" customHeight="1">
      <c r="A285" s="21"/>
      <c r="B285" s="22"/>
      <c r="C285" s="22"/>
    </row>
    <row r="286" ht="14.25" customHeight="1">
      <c r="A286" s="21"/>
      <c r="B286" s="22"/>
      <c r="C286" s="22"/>
    </row>
    <row r="287" ht="14.25" customHeight="1">
      <c r="A287" s="21"/>
      <c r="B287" s="22"/>
      <c r="C287" s="22"/>
    </row>
    <row r="288" ht="14.25" customHeight="1">
      <c r="A288" s="21"/>
      <c r="B288" s="22"/>
      <c r="C288" s="22"/>
    </row>
    <row r="289" ht="14.25" customHeight="1">
      <c r="A289" s="21"/>
      <c r="B289" s="22"/>
      <c r="C289" s="22"/>
    </row>
    <row r="290" ht="14.25" customHeight="1">
      <c r="A290" s="21"/>
      <c r="B290" s="22"/>
      <c r="C290" s="22"/>
    </row>
    <row r="291" ht="14.25" customHeight="1">
      <c r="A291" s="21"/>
      <c r="B291" s="22"/>
      <c r="C291" s="22"/>
    </row>
    <row r="292" ht="14.25" customHeight="1">
      <c r="A292" s="21"/>
      <c r="B292" s="22"/>
      <c r="C292" s="22"/>
    </row>
    <row r="293" ht="14.25" customHeight="1">
      <c r="A293" s="21"/>
      <c r="B293" s="22"/>
      <c r="C293" s="22"/>
    </row>
    <row r="294" ht="14.25" customHeight="1">
      <c r="A294" s="21"/>
      <c r="B294" s="22"/>
      <c r="C294" s="22"/>
    </row>
    <row r="295" ht="14.25" customHeight="1">
      <c r="A295" s="21"/>
      <c r="B295" s="22"/>
      <c r="C295" s="22"/>
    </row>
    <row r="296" ht="14.25" customHeight="1">
      <c r="A296" s="21"/>
      <c r="B296" s="22"/>
      <c r="C296" s="22"/>
    </row>
    <row r="297" ht="14.25" customHeight="1">
      <c r="A297" s="21"/>
      <c r="B297" s="22"/>
      <c r="C297" s="22"/>
    </row>
    <row r="298" ht="14.25" customHeight="1">
      <c r="A298" s="21"/>
      <c r="B298" s="22"/>
      <c r="C298" s="22"/>
    </row>
    <row r="299" ht="14.25" customHeight="1">
      <c r="A299" s="21"/>
      <c r="B299" s="22"/>
      <c r="C299" s="22"/>
    </row>
    <row r="300" ht="14.25" customHeight="1">
      <c r="A300" s="21"/>
      <c r="B300" s="22"/>
      <c r="C300" s="22"/>
    </row>
    <row r="301" ht="14.25" customHeight="1">
      <c r="A301" s="21"/>
      <c r="B301" s="22"/>
      <c r="C301" s="22"/>
    </row>
    <row r="302" ht="14.25" customHeight="1">
      <c r="A302" s="21"/>
      <c r="B302" s="22"/>
      <c r="C302" s="22"/>
    </row>
    <row r="303" ht="14.25" customHeight="1">
      <c r="A303" s="21"/>
      <c r="B303" s="22"/>
      <c r="C303" s="22"/>
    </row>
    <row r="304" ht="14.25" customHeight="1">
      <c r="A304" s="21"/>
      <c r="B304" s="22"/>
      <c r="C304" s="22"/>
    </row>
    <row r="305" ht="14.25" customHeight="1">
      <c r="A305" s="21"/>
      <c r="B305" s="22"/>
      <c r="C305" s="22"/>
    </row>
    <row r="306" ht="14.25" customHeight="1">
      <c r="A306" s="21"/>
      <c r="B306" s="22"/>
      <c r="C306" s="22"/>
    </row>
    <row r="307" ht="14.25" customHeight="1">
      <c r="A307" s="21"/>
      <c r="B307" s="22"/>
      <c r="C307" s="22"/>
    </row>
    <row r="308" ht="14.25" customHeight="1">
      <c r="A308" s="21"/>
      <c r="B308" s="22"/>
      <c r="C308" s="22"/>
    </row>
    <row r="309" ht="14.25" customHeight="1">
      <c r="A309" s="21"/>
      <c r="B309" s="22"/>
      <c r="C309" s="22"/>
    </row>
    <row r="310" ht="14.25" customHeight="1">
      <c r="A310" s="21"/>
      <c r="B310" s="22"/>
      <c r="C310" s="22"/>
    </row>
    <row r="311" ht="14.25" customHeight="1">
      <c r="A311" s="21"/>
      <c r="B311" s="22"/>
      <c r="C311" s="22"/>
    </row>
    <row r="312" ht="14.25" customHeight="1">
      <c r="A312" s="21"/>
      <c r="B312" s="22"/>
      <c r="C312" s="22"/>
    </row>
    <row r="313" ht="14.25" customHeight="1">
      <c r="A313" s="21"/>
      <c r="B313" s="22"/>
      <c r="C313" s="22"/>
    </row>
    <row r="314" ht="14.25" customHeight="1">
      <c r="A314" s="21"/>
      <c r="B314" s="22"/>
      <c r="C314" s="22"/>
    </row>
    <row r="315" ht="14.25" customHeight="1">
      <c r="A315" s="21"/>
      <c r="B315" s="22"/>
      <c r="C315" s="22"/>
    </row>
    <row r="316" ht="14.25" customHeight="1">
      <c r="A316" s="21"/>
      <c r="B316" s="22"/>
      <c r="C316" s="22"/>
    </row>
    <row r="317" ht="14.25" customHeight="1">
      <c r="A317" s="21"/>
      <c r="B317" s="22"/>
      <c r="C317" s="22"/>
    </row>
    <row r="318" ht="14.25" customHeight="1">
      <c r="A318" s="21"/>
      <c r="B318" s="22"/>
      <c r="C318" s="22"/>
    </row>
    <row r="319" ht="14.25" customHeight="1">
      <c r="A319" s="21"/>
      <c r="B319" s="22"/>
      <c r="C319" s="22"/>
    </row>
    <row r="320" ht="14.25" customHeight="1">
      <c r="A320" s="21"/>
      <c r="B320" s="22"/>
      <c r="C320" s="22"/>
    </row>
    <row r="321" ht="14.25" customHeight="1">
      <c r="A321" s="21"/>
      <c r="B321" s="22"/>
      <c r="C321" s="22"/>
    </row>
    <row r="322" ht="14.25" customHeight="1">
      <c r="A322" s="21"/>
      <c r="B322" s="22"/>
      <c r="C322" s="22"/>
    </row>
    <row r="323" ht="14.25" customHeight="1">
      <c r="A323" s="21"/>
      <c r="B323" s="22"/>
      <c r="C323" s="22"/>
    </row>
    <row r="324" ht="14.25" customHeight="1">
      <c r="A324" s="21"/>
      <c r="B324" s="22"/>
      <c r="C324" s="22"/>
    </row>
    <row r="325" ht="14.25" customHeight="1">
      <c r="A325" s="21"/>
      <c r="B325" s="22"/>
      <c r="C325" s="22"/>
    </row>
    <row r="326" ht="14.25" customHeight="1">
      <c r="A326" s="21"/>
      <c r="B326" s="22"/>
      <c r="C326" s="22"/>
    </row>
    <row r="327" ht="14.25" customHeight="1">
      <c r="A327" s="21"/>
      <c r="B327" s="22"/>
      <c r="C327" s="22"/>
    </row>
    <row r="328" ht="14.25" customHeight="1">
      <c r="A328" s="21"/>
      <c r="B328" s="22"/>
      <c r="C328" s="22"/>
    </row>
    <row r="329" ht="14.25" customHeight="1">
      <c r="A329" s="21"/>
      <c r="B329" s="22"/>
      <c r="C329" s="22"/>
    </row>
    <row r="330" ht="14.25" customHeight="1">
      <c r="A330" s="21"/>
      <c r="B330" s="22"/>
      <c r="C330" s="22"/>
    </row>
    <row r="331" ht="14.25" customHeight="1">
      <c r="A331" s="21"/>
      <c r="B331" s="22"/>
      <c r="C331" s="22"/>
    </row>
    <row r="332" ht="14.25" customHeight="1">
      <c r="A332" s="21"/>
      <c r="B332" s="22"/>
      <c r="C332" s="22"/>
    </row>
    <row r="333" ht="14.25" customHeight="1">
      <c r="A333" s="21"/>
      <c r="B333" s="22"/>
      <c r="C333" s="22"/>
    </row>
    <row r="334" ht="14.25" customHeight="1">
      <c r="A334" s="21"/>
      <c r="B334" s="22"/>
      <c r="C334" s="22"/>
    </row>
    <row r="335" ht="14.25" customHeight="1">
      <c r="A335" s="21"/>
      <c r="B335" s="22"/>
      <c r="C335" s="22"/>
    </row>
    <row r="336" ht="14.25" customHeight="1">
      <c r="A336" s="21"/>
      <c r="B336" s="22"/>
      <c r="C336" s="22"/>
    </row>
    <row r="337" ht="14.25" customHeight="1">
      <c r="A337" s="21"/>
      <c r="B337" s="22"/>
      <c r="C337" s="22"/>
    </row>
    <row r="338" ht="14.25" customHeight="1">
      <c r="A338" s="21"/>
      <c r="B338" s="22"/>
      <c r="C338" s="22"/>
    </row>
    <row r="339" ht="14.25" customHeight="1">
      <c r="A339" s="21"/>
      <c r="B339" s="22"/>
      <c r="C339" s="22"/>
    </row>
    <row r="340" ht="14.25" customHeight="1">
      <c r="A340" s="21"/>
      <c r="B340" s="22"/>
      <c r="C340" s="22"/>
    </row>
    <row r="341" ht="14.25" customHeight="1">
      <c r="A341" s="21"/>
      <c r="B341" s="22"/>
      <c r="C341" s="22"/>
    </row>
    <row r="342" ht="14.25" customHeight="1">
      <c r="A342" s="21"/>
      <c r="B342" s="22"/>
      <c r="C342" s="22"/>
    </row>
    <row r="343" ht="14.25" customHeight="1">
      <c r="A343" s="21"/>
      <c r="B343" s="22"/>
      <c r="C343" s="22"/>
    </row>
    <row r="344" ht="14.25" customHeight="1">
      <c r="A344" s="21"/>
      <c r="B344" s="22"/>
      <c r="C344" s="22"/>
    </row>
    <row r="345" ht="14.25" customHeight="1">
      <c r="A345" s="21"/>
      <c r="B345" s="22"/>
      <c r="C345" s="22"/>
    </row>
    <row r="346" ht="14.25" customHeight="1">
      <c r="A346" s="21"/>
      <c r="B346" s="22"/>
      <c r="C346" s="22"/>
    </row>
    <row r="347" ht="14.25" customHeight="1">
      <c r="A347" s="21"/>
      <c r="B347" s="22"/>
      <c r="C347" s="22"/>
    </row>
    <row r="348" ht="14.25" customHeight="1">
      <c r="A348" s="21"/>
      <c r="B348" s="22"/>
      <c r="C348" s="22"/>
    </row>
    <row r="349" ht="14.25" customHeight="1">
      <c r="A349" s="21"/>
      <c r="B349" s="22"/>
      <c r="C349" s="22"/>
    </row>
    <row r="350" ht="14.25" customHeight="1">
      <c r="A350" s="21"/>
      <c r="B350" s="22"/>
      <c r="C350" s="22"/>
    </row>
    <row r="351" ht="14.25" customHeight="1">
      <c r="A351" s="21"/>
      <c r="B351" s="22"/>
      <c r="C351" s="22"/>
    </row>
    <row r="352" ht="14.25" customHeight="1">
      <c r="A352" s="21"/>
      <c r="B352" s="22"/>
      <c r="C352" s="22"/>
    </row>
    <row r="353" ht="14.25" customHeight="1">
      <c r="A353" s="21"/>
      <c r="B353" s="22"/>
      <c r="C353" s="22"/>
    </row>
    <row r="354" ht="14.25" customHeight="1">
      <c r="A354" s="21"/>
      <c r="B354" s="22"/>
      <c r="C354" s="22"/>
    </row>
    <row r="355" ht="14.25" customHeight="1">
      <c r="A355" s="21"/>
      <c r="B355" s="22"/>
      <c r="C355" s="22"/>
    </row>
    <row r="356" ht="14.25" customHeight="1">
      <c r="A356" s="21"/>
      <c r="B356" s="22"/>
      <c r="C356" s="22"/>
    </row>
    <row r="357" ht="14.25" customHeight="1">
      <c r="A357" s="21"/>
      <c r="B357" s="22"/>
      <c r="C357" s="22"/>
    </row>
    <row r="358" ht="14.25" customHeight="1">
      <c r="A358" s="21"/>
      <c r="B358" s="22"/>
      <c r="C358" s="22"/>
    </row>
    <row r="359" ht="14.25" customHeight="1">
      <c r="A359" s="21"/>
      <c r="B359" s="22"/>
      <c r="C359" s="22"/>
    </row>
    <row r="360" ht="14.25" customHeight="1">
      <c r="A360" s="21"/>
      <c r="B360" s="22"/>
      <c r="C360" s="22"/>
    </row>
    <row r="361" ht="14.25" customHeight="1">
      <c r="A361" s="21"/>
      <c r="B361" s="22"/>
      <c r="C361" s="22"/>
    </row>
    <row r="362" ht="14.25" customHeight="1">
      <c r="A362" s="21"/>
      <c r="B362" s="22"/>
      <c r="C362" s="22"/>
    </row>
    <row r="363" ht="14.25" customHeight="1">
      <c r="A363" s="21"/>
      <c r="B363" s="22"/>
      <c r="C363" s="22"/>
    </row>
    <row r="364" ht="14.25" customHeight="1">
      <c r="A364" s="21"/>
      <c r="B364" s="22"/>
      <c r="C364" s="22"/>
    </row>
    <row r="365" ht="14.25" customHeight="1">
      <c r="A365" s="21"/>
      <c r="B365" s="22"/>
      <c r="C365" s="22"/>
    </row>
    <row r="366" ht="14.25" customHeight="1">
      <c r="A366" s="21"/>
      <c r="B366" s="22"/>
      <c r="C366" s="22"/>
    </row>
    <row r="367" ht="14.25" customHeight="1">
      <c r="A367" s="21"/>
      <c r="B367" s="22"/>
      <c r="C367" s="22"/>
    </row>
    <row r="368" ht="14.25" customHeight="1">
      <c r="A368" s="21"/>
      <c r="B368" s="22"/>
      <c r="C368" s="22"/>
    </row>
    <row r="369" ht="14.25" customHeight="1">
      <c r="A369" s="21"/>
      <c r="B369" s="22"/>
      <c r="C369" s="22"/>
    </row>
    <row r="370" ht="14.25" customHeight="1">
      <c r="A370" s="21"/>
      <c r="B370" s="22"/>
      <c r="C370" s="22"/>
    </row>
    <row r="371" ht="14.25" customHeight="1">
      <c r="A371" s="21"/>
      <c r="B371" s="22"/>
      <c r="C371" s="22"/>
    </row>
    <row r="372" ht="14.25" customHeight="1">
      <c r="A372" s="21"/>
      <c r="B372" s="22"/>
      <c r="C372" s="22"/>
    </row>
    <row r="373" ht="14.25" customHeight="1">
      <c r="A373" s="21"/>
      <c r="B373" s="22"/>
      <c r="C373" s="22"/>
    </row>
    <row r="374" ht="14.25" customHeight="1">
      <c r="A374" s="21"/>
      <c r="B374" s="22"/>
      <c r="C374" s="22"/>
    </row>
    <row r="375" ht="14.25" customHeight="1">
      <c r="A375" s="21"/>
      <c r="B375" s="22"/>
      <c r="C375" s="22"/>
    </row>
    <row r="376" ht="14.25" customHeight="1">
      <c r="A376" s="21"/>
      <c r="B376" s="22"/>
      <c r="C376" s="22"/>
    </row>
    <row r="377" ht="14.25" customHeight="1">
      <c r="A377" s="21"/>
      <c r="B377" s="22"/>
      <c r="C377" s="22"/>
    </row>
    <row r="378" ht="14.25" customHeight="1">
      <c r="A378" s="21"/>
      <c r="B378" s="22"/>
      <c r="C378" s="22"/>
    </row>
    <row r="379" ht="14.25" customHeight="1">
      <c r="A379" s="21"/>
      <c r="B379" s="22"/>
      <c r="C379" s="22"/>
    </row>
    <row r="380" ht="14.25" customHeight="1">
      <c r="A380" s="21"/>
      <c r="B380" s="22"/>
      <c r="C380" s="22"/>
    </row>
    <row r="381" ht="14.25" customHeight="1">
      <c r="A381" s="21"/>
      <c r="B381" s="22"/>
      <c r="C381" s="22"/>
    </row>
    <row r="382" ht="14.25" customHeight="1">
      <c r="A382" s="21"/>
      <c r="B382" s="22"/>
      <c r="C382" s="22"/>
    </row>
    <row r="383" ht="14.25" customHeight="1">
      <c r="A383" s="21"/>
      <c r="B383" s="22"/>
      <c r="C383" s="22"/>
    </row>
    <row r="384" ht="14.25" customHeight="1">
      <c r="A384" s="21"/>
      <c r="B384" s="22"/>
      <c r="C384" s="22"/>
    </row>
    <row r="385" ht="14.25" customHeight="1">
      <c r="A385" s="21"/>
      <c r="B385" s="22"/>
      <c r="C385" s="22"/>
    </row>
    <row r="386" ht="14.25" customHeight="1">
      <c r="A386" s="21"/>
      <c r="B386" s="22"/>
      <c r="C386" s="22"/>
    </row>
    <row r="387" ht="14.25" customHeight="1">
      <c r="A387" s="21"/>
      <c r="B387" s="22"/>
      <c r="C387" s="22"/>
    </row>
    <row r="388" ht="14.25" customHeight="1">
      <c r="A388" s="21"/>
      <c r="B388" s="22"/>
      <c r="C388" s="22"/>
    </row>
    <row r="389" ht="14.25" customHeight="1">
      <c r="A389" s="21"/>
      <c r="B389" s="22"/>
      <c r="C389" s="22"/>
    </row>
    <row r="390" ht="14.25" customHeight="1">
      <c r="A390" s="21"/>
      <c r="B390" s="22"/>
      <c r="C390" s="22"/>
    </row>
    <row r="391" ht="14.25" customHeight="1">
      <c r="A391" s="21"/>
      <c r="B391" s="22"/>
      <c r="C391" s="22"/>
    </row>
    <row r="392" ht="14.25" customHeight="1">
      <c r="A392" s="21"/>
      <c r="B392" s="22"/>
      <c r="C392" s="22"/>
    </row>
    <row r="393" ht="14.25" customHeight="1">
      <c r="A393" s="21"/>
      <c r="B393" s="22"/>
      <c r="C393" s="22"/>
    </row>
    <row r="394" ht="14.25" customHeight="1">
      <c r="A394" s="21"/>
      <c r="B394" s="22"/>
      <c r="C394" s="22"/>
    </row>
    <row r="395" ht="14.25" customHeight="1">
      <c r="A395" s="21"/>
      <c r="B395" s="22"/>
      <c r="C395" s="22"/>
    </row>
    <row r="396" ht="14.25" customHeight="1">
      <c r="A396" s="21"/>
      <c r="B396" s="22"/>
      <c r="C396" s="22"/>
    </row>
    <row r="397" ht="14.25" customHeight="1">
      <c r="A397" s="21"/>
      <c r="B397" s="22"/>
      <c r="C397" s="22"/>
    </row>
    <row r="398" ht="14.25" customHeight="1">
      <c r="A398" s="21"/>
      <c r="B398" s="22"/>
      <c r="C398" s="22"/>
    </row>
    <row r="399" ht="14.25" customHeight="1">
      <c r="A399" s="21"/>
      <c r="B399" s="22"/>
      <c r="C399" s="22"/>
    </row>
    <row r="400" ht="14.25" customHeight="1">
      <c r="A400" s="21"/>
      <c r="B400" s="22"/>
      <c r="C400" s="22"/>
    </row>
    <row r="401" ht="14.25" customHeight="1">
      <c r="A401" s="21"/>
      <c r="B401" s="22"/>
      <c r="C401" s="22"/>
    </row>
    <row r="402" ht="14.25" customHeight="1">
      <c r="A402" s="21"/>
      <c r="B402" s="22"/>
      <c r="C402" s="22"/>
    </row>
    <row r="403" ht="14.25" customHeight="1">
      <c r="A403" s="21"/>
      <c r="B403" s="22"/>
      <c r="C403" s="22"/>
    </row>
    <row r="404" ht="14.25" customHeight="1">
      <c r="A404" s="21"/>
      <c r="B404" s="22"/>
      <c r="C404" s="22"/>
    </row>
    <row r="405" ht="14.25" customHeight="1">
      <c r="A405" s="21"/>
      <c r="B405" s="22"/>
      <c r="C405" s="22"/>
    </row>
    <row r="406" ht="14.25" customHeight="1">
      <c r="A406" s="21"/>
      <c r="B406" s="22"/>
      <c r="C406" s="22"/>
    </row>
    <row r="407" ht="14.25" customHeight="1">
      <c r="A407" s="21"/>
      <c r="B407" s="22"/>
      <c r="C407" s="22"/>
    </row>
    <row r="408" ht="14.25" customHeight="1">
      <c r="A408" s="21"/>
      <c r="B408" s="22"/>
      <c r="C408" s="22"/>
    </row>
    <row r="409" ht="14.25" customHeight="1">
      <c r="A409" s="21"/>
      <c r="B409" s="22"/>
      <c r="C409" s="22"/>
    </row>
    <row r="410" ht="14.25" customHeight="1">
      <c r="A410" s="21"/>
      <c r="B410" s="22"/>
      <c r="C410" s="22"/>
    </row>
    <row r="411" ht="14.25" customHeight="1">
      <c r="A411" s="21"/>
      <c r="B411" s="22"/>
      <c r="C411" s="22"/>
    </row>
    <row r="412" ht="14.25" customHeight="1">
      <c r="A412" s="21"/>
      <c r="B412" s="22"/>
      <c r="C412" s="22"/>
    </row>
    <row r="413" ht="14.25" customHeight="1">
      <c r="A413" s="21"/>
      <c r="B413" s="22"/>
      <c r="C413" s="22"/>
    </row>
    <row r="414" ht="14.25" customHeight="1">
      <c r="A414" s="21"/>
      <c r="B414" s="22"/>
      <c r="C414" s="22"/>
    </row>
    <row r="415" ht="14.25" customHeight="1">
      <c r="A415" s="21"/>
      <c r="B415" s="22"/>
      <c r="C415" s="22"/>
    </row>
    <row r="416" ht="14.25" customHeight="1">
      <c r="A416" s="21"/>
      <c r="B416" s="22"/>
      <c r="C416" s="22"/>
    </row>
    <row r="417" ht="14.25" customHeight="1">
      <c r="A417" s="21"/>
      <c r="B417" s="22"/>
      <c r="C417" s="22"/>
    </row>
    <row r="418" ht="14.25" customHeight="1">
      <c r="A418" s="21"/>
      <c r="B418" s="22"/>
      <c r="C418" s="22"/>
    </row>
    <row r="419" ht="14.25" customHeight="1">
      <c r="A419" s="21"/>
      <c r="B419" s="22"/>
      <c r="C419" s="22"/>
    </row>
    <row r="420" ht="14.25" customHeight="1">
      <c r="A420" s="21"/>
      <c r="B420" s="22"/>
      <c r="C420" s="22"/>
    </row>
    <row r="421" ht="14.25" customHeight="1">
      <c r="A421" s="21"/>
      <c r="B421" s="22"/>
      <c r="C421" s="22"/>
    </row>
    <row r="422" ht="14.25" customHeight="1">
      <c r="A422" s="21"/>
      <c r="B422" s="22"/>
      <c r="C422" s="22"/>
    </row>
    <row r="423" ht="14.25" customHeight="1">
      <c r="A423" s="21"/>
      <c r="B423" s="22"/>
      <c r="C423" s="22"/>
    </row>
    <row r="424" ht="14.25" customHeight="1">
      <c r="A424" s="21"/>
      <c r="B424" s="22"/>
      <c r="C424" s="22"/>
    </row>
    <row r="425" ht="14.25" customHeight="1">
      <c r="A425" s="21"/>
      <c r="B425" s="22"/>
      <c r="C425" s="22"/>
    </row>
    <row r="426" ht="14.25" customHeight="1">
      <c r="A426" s="21"/>
      <c r="B426" s="22"/>
      <c r="C426" s="22"/>
    </row>
    <row r="427" ht="14.25" customHeight="1">
      <c r="A427" s="21"/>
      <c r="B427" s="22"/>
      <c r="C427" s="22"/>
    </row>
    <row r="428" ht="14.25" customHeight="1">
      <c r="A428" s="21"/>
      <c r="B428" s="22"/>
      <c r="C428" s="22"/>
    </row>
    <row r="429" ht="14.25" customHeight="1">
      <c r="A429" s="21"/>
      <c r="B429" s="22"/>
      <c r="C429" s="22"/>
    </row>
    <row r="430" ht="14.25" customHeight="1">
      <c r="A430" s="21"/>
      <c r="B430" s="22"/>
      <c r="C430" s="22"/>
    </row>
    <row r="431" ht="14.25" customHeight="1">
      <c r="A431" s="21"/>
      <c r="B431" s="22"/>
      <c r="C431" s="22"/>
    </row>
    <row r="432" ht="14.25" customHeight="1">
      <c r="A432" s="21"/>
      <c r="B432" s="22"/>
      <c r="C432" s="22"/>
    </row>
    <row r="433" ht="14.25" customHeight="1">
      <c r="A433" s="21"/>
      <c r="B433" s="22"/>
      <c r="C433" s="22"/>
    </row>
    <row r="434" ht="14.25" customHeight="1">
      <c r="A434" s="21"/>
      <c r="B434" s="22"/>
      <c r="C434" s="22"/>
    </row>
    <row r="435" ht="14.25" customHeight="1">
      <c r="A435" s="21"/>
      <c r="B435" s="22"/>
      <c r="C435" s="22"/>
    </row>
    <row r="436" ht="14.25" customHeight="1">
      <c r="A436" s="21"/>
      <c r="B436" s="22"/>
      <c r="C436" s="22"/>
    </row>
    <row r="437" ht="14.25" customHeight="1">
      <c r="A437" s="21"/>
      <c r="B437" s="22"/>
      <c r="C437" s="22"/>
    </row>
    <row r="438" ht="14.25" customHeight="1">
      <c r="A438" s="21"/>
      <c r="B438" s="22"/>
      <c r="C438" s="22"/>
    </row>
    <row r="439" ht="14.25" customHeight="1">
      <c r="A439" s="21"/>
      <c r="B439" s="22"/>
      <c r="C439" s="22"/>
    </row>
    <row r="440" ht="14.25" customHeight="1">
      <c r="A440" s="21"/>
      <c r="B440" s="22"/>
      <c r="C440" s="22"/>
    </row>
    <row r="441" ht="14.25" customHeight="1">
      <c r="A441" s="21"/>
      <c r="B441" s="22"/>
      <c r="C441" s="22"/>
    </row>
    <row r="442" ht="14.25" customHeight="1">
      <c r="A442" s="21"/>
      <c r="B442" s="22"/>
      <c r="C442" s="22"/>
    </row>
    <row r="443" ht="14.25" customHeight="1">
      <c r="A443" s="21"/>
      <c r="B443" s="22"/>
      <c r="C443" s="22"/>
    </row>
    <row r="444" ht="14.25" customHeight="1">
      <c r="A444" s="21"/>
      <c r="B444" s="22"/>
      <c r="C444" s="22"/>
    </row>
    <row r="445" ht="14.25" customHeight="1">
      <c r="A445" s="21"/>
      <c r="B445" s="22"/>
      <c r="C445" s="22"/>
    </row>
    <row r="446" ht="14.25" customHeight="1">
      <c r="A446" s="21"/>
      <c r="B446" s="22"/>
      <c r="C446" s="22"/>
    </row>
    <row r="447" ht="14.25" customHeight="1">
      <c r="A447" s="21"/>
      <c r="B447" s="22"/>
      <c r="C447" s="22"/>
    </row>
    <row r="448" ht="14.25" customHeight="1">
      <c r="A448" s="21"/>
      <c r="B448" s="22"/>
      <c r="C448" s="22"/>
    </row>
    <row r="449" ht="14.25" customHeight="1">
      <c r="A449" s="21"/>
      <c r="B449" s="22"/>
      <c r="C449" s="22"/>
    </row>
    <row r="450" ht="14.25" customHeight="1">
      <c r="A450" s="21"/>
      <c r="B450" s="22"/>
      <c r="C450" s="22"/>
    </row>
    <row r="451" ht="14.25" customHeight="1">
      <c r="A451" s="21"/>
      <c r="B451" s="22"/>
      <c r="C451" s="22"/>
    </row>
    <row r="452" ht="14.25" customHeight="1">
      <c r="A452" s="21"/>
      <c r="B452" s="22"/>
      <c r="C452" s="22"/>
    </row>
    <row r="453" ht="14.25" customHeight="1">
      <c r="A453" s="21"/>
      <c r="B453" s="22"/>
      <c r="C453" s="22"/>
    </row>
    <row r="454" ht="14.25" customHeight="1">
      <c r="A454" s="21"/>
      <c r="B454" s="22"/>
      <c r="C454" s="22"/>
    </row>
    <row r="455" ht="14.25" customHeight="1">
      <c r="A455" s="21"/>
      <c r="B455" s="22"/>
      <c r="C455" s="22"/>
    </row>
    <row r="456" ht="14.25" customHeight="1">
      <c r="A456" s="21"/>
      <c r="B456" s="22"/>
      <c r="C456" s="22"/>
    </row>
    <row r="457" ht="14.25" customHeight="1">
      <c r="A457" s="21"/>
      <c r="B457" s="22"/>
      <c r="C457" s="22"/>
    </row>
    <row r="458" ht="14.25" customHeight="1">
      <c r="A458" s="21"/>
      <c r="B458" s="22"/>
      <c r="C458" s="22"/>
    </row>
    <row r="459" ht="14.25" customHeight="1">
      <c r="A459" s="21"/>
      <c r="B459" s="22"/>
      <c r="C459" s="22"/>
    </row>
    <row r="460" ht="14.25" customHeight="1">
      <c r="A460" s="21"/>
      <c r="B460" s="22"/>
      <c r="C460" s="22"/>
    </row>
    <row r="461" ht="14.25" customHeight="1">
      <c r="A461" s="21"/>
      <c r="B461" s="22"/>
      <c r="C461" s="22"/>
    </row>
    <row r="462" ht="14.25" customHeight="1">
      <c r="A462" s="21"/>
      <c r="B462" s="22"/>
      <c r="C462" s="22"/>
    </row>
    <row r="463" ht="14.25" customHeight="1">
      <c r="A463" s="21"/>
      <c r="B463" s="22"/>
      <c r="C463" s="22"/>
    </row>
    <row r="464" ht="14.25" customHeight="1">
      <c r="A464" s="21"/>
      <c r="B464" s="22"/>
      <c r="C464" s="22"/>
    </row>
    <row r="465" ht="14.25" customHeight="1">
      <c r="A465" s="21"/>
      <c r="B465" s="22"/>
      <c r="C465" s="22"/>
    </row>
    <row r="466" ht="14.25" customHeight="1">
      <c r="A466" s="21"/>
      <c r="B466" s="22"/>
      <c r="C466" s="22"/>
    </row>
    <row r="467" ht="14.25" customHeight="1">
      <c r="A467" s="21"/>
      <c r="B467" s="22"/>
      <c r="C467" s="22"/>
    </row>
    <row r="468" ht="14.25" customHeight="1">
      <c r="A468" s="21"/>
      <c r="B468" s="22"/>
      <c r="C468" s="22"/>
    </row>
    <row r="469" ht="14.25" customHeight="1">
      <c r="A469" s="21"/>
      <c r="B469" s="22"/>
      <c r="C469" s="22"/>
    </row>
    <row r="470" ht="14.25" customHeight="1">
      <c r="A470" s="21"/>
      <c r="B470" s="22"/>
      <c r="C470" s="22"/>
    </row>
    <row r="471" ht="14.25" customHeight="1">
      <c r="A471" s="21"/>
      <c r="B471" s="22"/>
      <c r="C471" s="22"/>
    </row>
    <row r="472" ht="14.25" customHeight="1">
      <c r="A472" s="21"/>
      <c r="B472" s="22"/>
      <c r="C472" s="22"/>
    </row>
    <row r="473" ht="14.25" customHeight="1">
      <c r="A473" s="21"/>
      <c r="B473" s="22"/>
      <c r="C473" s="22"/>
    </row>
    <row r="474" ht="14.25" customHeight="1">
      <c r="A474" s="21"/>
      <c r="B474" s="22"/>
      <c r="C474" s="22"/>
    </row>
    <row r="475" ht="14.25" customHeight="1">
      <c r="A475" s="21"/>
      <c r="B475" s="22"/>
      <c r="C475" s="22"/>
    </row>
    <row r="476" ht="14.25" customHeight="1">
      <c r="A476" s="21"/>
      <c r="B476" s="22"/>
      <c r="C476" s="22"/>
    </row>
    <row r="477" ht="14.25" customHeight="1">
      <c r="A477" s="21"/>
      <c r="B477" s="22"/>
      <c r="C477" s="22"/>
    </row>
    <row r="478" ht="14.25" customHeight="1">
      <c r="A478" s="21"/>
      <c r="B478" s="22"/>
      <c r="C478" s="22"/>
    </row>
    <row r="479" ht="14.25" customHeight="1">
      <c r="A479" s="21"/>
      <c r="B479" s="22"/>
      <c r="C479" s="22"/>
    </row>
    <row r="480" ht="14.25" customHeight="1">
      <c r="A480" s="21"/>
      <c r="B480" s="22"/>
      <c r="C480" s="22"/>
    </row>
    <row r="481" ht="14.25" customHeight="1">
      <c r="A481" s="21"/>
      <c r="B481" s="22"/>
      <c r="C481" s="22"/>
    </row>
    <row r="482" ht="14.25" customHeight="1">
      <c r="A482" s="21"/>
      <c r="B482" s="22"/>
      <c r="C482" s="22"/>
    </row>
    <row r="483" ht="14.25" customHeight="1">
      <c r="A483" s="21"/>
      <c r="B483" s="22"/>
      <c r="C483" s="22"/>
    </row>
    <row r="484" ht="14.25" customHeight="1">
      <c r="A484" s="21"/>
      <c r="B484" s="22"/>
      <c r="C484" s="22"/>
    </row>
    <row r="485" ht="14.25" customHeight="1">
      <c r="A485" s="21"/>
      <c r="B485" s="22"/>
      <c r="C485" s="22"/>
    </row>
    <row r="486" ht="14.25" customHeight="1">
      <c r="A486" s="21"/>
      <c r="B486" s="22"/>
      <c r="C486" s="22"/>
    </row>
    <row r="487" ht="14.25" customHeight="1">
      <c r="A487" s="21"/>
      <c r="B487" s="22"/>
      <c r="C487" s="22"/>
    </row>
    <row r="488" ht="14.25" customHeight="1">
      <c r="A488" s="21"/>
      <c r="B488" s="22"/>
      <c r="C488" s="22"/>
    </row>
    <row r="489" ht="14.25" customHeight="1">
      <c r="A489" s="21"/>
      <c r="B489" s="22"/>
      <c r="C489" s="22"/>
    </row>
    <row r="490" ht="14.25" customHeight="1">
      <c r="A490" s="21"/>
      <c r="B490" s="22"/>
      <c r="C490" s="22"/>
    </row>
    <row r="491" ht="14.25" customHeight="1">
      <c r="A491" s="21"/>
      <c r="B491" s="22"/>
      <c r="C491" s="22"/>
    </row>
    <row r="492" ht="14.25" customHeight="1">
      <c r="A492" s="21"/>
      <c r="B492" s="22"/>
      <c r="C492" s="22"/>
    </row>
    <row r="493" ht="14.25" customHeight="1">
      <c r="A493" s="21"/>
      <c r="B493" s="22"/>
      <c r="C493" s="22"/>
    </row>
    <row r="494" ht="14.25" customHeight="1">
      <c r="A494" s="21"/>
      <c r="B494" s="22"/>
      <c r="C494" s="22"/>
    </row>
    <row r="495" ht="14.25" customHeight="1">
      <c r="A495" s="21"/>
      <c r="B495" s="22"/>
      <c r="C495" s="22"/>
    </row>
    <row r="496" ht="14.25" customHeight="1">
      <c r="A496" s="21"/>
      <c r="B496" s="22"/>
      <c r="C496" s="22"/>
    </row>
    <row r="497" ht="14.25" customHeight="1">
      <c r="A497" s="21"/>
      <c r="B497" s="22"/>
      <c r="C497" s="22"/>
    </row>
    <row r="498" ht="14.25" customHeight="1">
      <c r="A498" s="21"/>
      <c r="B498" s="22"/>
      <c r="C498" s="22"/>
    </row>
    <row r="499" ht="14.25" customHeight="1">
      <c r="A499" s="21"/>
      <c r="B499" s="22"/>
      <c r="C499" s="22"/>
    </row>
    <row r="500" ht="14.25" customHeight="1">
      <c r="A500" s="21"/>
      <c r="B500" s="22"/>
      <c r="C500" s="22"/>
    </row>
    <row r="501" ht="14.25" customHeight="1">
      <c r="A501" s="21"/>
      <c r="B501" s="22"/>
      <c r="C501" s="22"/>
    </row>
    <row r="502" ht="14.25" customHeight="1">
      <c r="A502" s="21"/>
      <c r="B502" s="22"/>
      <c r="C502" s="22"/>
    </row>
    <row r="503" ht="14.25" customHeight="1">
      <c r="A503" s="21"/>
      <c r="B503" s="22"/>
      <c r="C503" s="22"/>
    </row>
    <row r="504" ht="14.25" customHeight="1">
      <c r="A504" s="21"/>
      <c r="B504" s="22"/>
      <c r="C504" s="22"/>
    </row>
    <row r="505" ht="14.25" customHeight="1">
      <c r="A505" s="21"/>
      <c r="B505" s="22"/>
      <c r="C505" s="22"/>
    </row>
    <row r="506" ht="14.25" customHeight="1">
      <c r="A506" s="21"/>
      <c r="B506" s="22"/>
      <c r="C506" s="22"/>
    </row>
    <row r="507" ht="14.25" customHeight="1">
      <c r="A507" s="21"/>
      <c r="B507" s="22"/>
      <c r="C507" s="22"/>
    </row>
    <row r="508" ht="14.25" customHeight="1">
      <c r="A508" s="21"/>
      <c r="B508" s="22"/>
      <c r="C508" s="22"/>
    </row>
    <row r="509" ht="14.25" customHeight="1">
      <c r="A509" s="21"/>
      <c r="B509" s="22"/>
      <c r="C509" s="22"/>
    </row>
    <row r="510" ht="14.25" customHeight="1">
      <c r="A510" s="21"/>
      <c r="B510" s="22"/>
      <c r="C510" s="22"/>
    </row>
    <row r="511" ht="14.25" customHeight="1">
      <c r="A511" s="21"/>
      <c r="B511" s="22"/>
      <c r="C511" s="22"/>
    </row>
    <row r="512" ht="14.25" customHeight="1">
      <c r="A512" s="21"/>
      <c r="B512" s="22"/>
      <c r="C512" s="22"/>
    </row>
    <row r="513" ht="14.25" customHeight="1">
      <c r="A513" s="21"/>
      <c r="B513" s="22"/>
      <c r="C513" s="22"/>
    </row>
    <row r="514" ht="14.25" customHeight="1">
      <c r="A514" s="21"/>
      <c r="B514" s="22"/>
      <c r="C514" s="22"/>
    </row>
    <row r="515" ht="14.25" customHeight="1">
      <c r="A515" s="21"/>
      <c r="B515" s="22"/>
      <c r="C515" s="22"/>
    </row>
    <row r="516" ht="14.25" customHeight="1">
      <c r="A516" s="21"/>
      <c r="B516" s="22"/>
      <c r="C516" s="22"/>
    </row>
    <row r="517" ht="14.25" customHeight="1">
      <c r="A517" s="21"/>
      <c r="B517" s="22"/>
      <c r="C517" s="22"/>
    </row>
    <row r="518" ht="14.25" customHeight="1">
      <c r="A518" s="21"/>
      <c r="B518" s="22"/>
      <c r="C518" s="22"/>
    </row>
    <row r="519" ht="14.25" customHeight="1">
      <c r="A519" s="21"/>
      <c r="B519" s="22"/>
      <c r="C519" s="22"/>
    </row>
    <row r="520" ht="14.25" customHeight="1">
      <c r="A520" s="21"/>
      <c r="B520" s="22"/>
      <c r="C520" s="22"/>
    </row>
    <row r="521" ht="14.25" customHeight="1">
      <c r="A521" s="21"/>
      <c r="B521" s="22"/>
      <c r="C521" s="22"/>
    </row>
    <row r="522" ht="14.25" customHeight="1">
      <c r="A522" s="21"/>
      <c r="B522" s="22"/>
      <c r="C522" s="22"/>
    </row>
    <row r="523" ht="14.25" customHeight="1">
      <c r="A523" s="21"/>
      <c r="B523" s="22"/>
      <c r="C523" s="22"/>
    </row>
    <row r="524" ht="14.25" customHeight="1">
      <c r="A524" s="21"/>
      <c r="B524" s="22"/>
      <c r="C524" s="22"/>
    </row>
    <row r="525" ht="14.25" customHeight="1">
      <c r="A525" s="21"/>
      <c r="B525" s="22"/>
      <c r="C525" s="22"/>
    </row>
    <row r="526" ht="14.25" customHeight="1">
      <c r="A526" s="21"/>
      <c r="B526" s="22"/>
      <c r="C526" s="22"/>
    </row>
    <row r="527" ht="14.25" customHeight="1">
      <c r="A527" s="21"/>
      <c r="B527" s="22"/>
      <c r="C527" s="22"/>
    </row>
    <row r="528" ht="14.25" customHeight="1">
      <c r="A528" s="21"/>
      <c r="B528" s="22"/>
      <c r="C528" s="22"/>
    </row>
    <row r="529" ht="14.25" customHeight="1">
      <c r="A529" s="21"/>
      <c r="B529" s="22"/>
      <c r="C529" s="22"/>
    </row>
    <row r="530" ht="14.25" customHeight="1">
      <c r="A530" s="21"/>
      <c r="B530" s="22"/>
      <c r="C530" s="22"/>
    </row>
    <row r="531" ht="14.25" customHeight="1">
      <c r="A531" s="21"/>
      <c r="B531" s="22"/>
      <c r="C531" s="22"/>
    </row>
    <row r="532" ht="14.25" customHeight="1">
      <c r="A532" s="21"/>
      <c r="B532" s="22"/>
      <c r="C532" s="22"/>
    </row>
    <row r="533" ht="14.25" customHeight="1">
      <c r="A533" s="21"/>
      <c r="B533" s="22"/>
      <c r="C533" s="22"/>
    </row>
    <row r="534" ht="14.25" customHeight="1">
      <c r="A534" s="21"/>
      <c r="B534" s="22"/>
      <c r="C534" s="22"/>
    </row>
    <row r="535" ht="14.25" customHeight="1">
      <c r="A535" s="21"/>
      <c r="B535" s="22"/>
      <c r="C535" s="22"/>
    </row>
    <row r="536" ht="14.25" customHeight="1">
      <c r="A536" s="21"/>
      <c r="B536" s="22"/>
      <c r="C536" s="22"/>
    </row>
    <row r="537" ht="14.25" customHeight="1">
      <c r="A537" s="21"/>
      <c r="B537" s="22"/>
      <c r="C537" s="22"/>
    </row>
    <row r="538" ht="14.25" customHeight="1">
      <c r="A538" s="21"/>
      <c r="B538" s="22"/>
      <c r="C538" s="22"/>
    </row>
    <row r="539" ht="14.25" customHeight="1">
      <c r="A539" s="21"/>
      <c r="B539" s="22"/>
      <c r="C539" s="22"/>
    </row>
    <row r="540" ht="14.25" customHeight="1">
      <c r="A540" s="21"/>
      <c r="B540" s="22"/>
      <c r="C540" s="22"/>
    </row>
    <row r="541" ht="14.25" customHeight="1">
      <c r="A541" s="21"/>
      <c r="B541" s="22"/>
      <c r="C541" s="22"/>
    </row>
    <row r="542" ht="14.25" customHeight="1">
      <c r="A542" s="21"/>
      <c r="B542" s="22"/>
      <c r="C542" s="22"/>
    </row>
    <row r="543" ht="14.25" customHeight="1">
      <c r="A543" s="21"/>
      <c r="B543" s="22"/>
      <c r="C543" s="22"/>
    </row>
    <row r="544" ht="14.25" customHeight="1">
      <c r="A544" s="21"/>
      <c r="B544" s="22"/>
      <c r="C544" s="22"/>
    </row>
    <row r="545" ht="14.25" customHeight="1">
      <c r="A545" s="21"/>
      <c r="B545" s="22"/>
      <c r="C545" s="22"/>
    </row>
    <row r="546" ht="14.25" customHeight="1">
      <c r="A546" s="21"/>
      <c r="B546" s="22"/>
      <c r="C546" s="22"/>
    </row>
    <row r="547" ht="14.25" customHeight="1">
      <c r="A547" s="21"/>
      <c r="B547" s="22"/>
      <c r="C547" s="22"/>
    </row>
    <row r="548" ht="14.25" customHeight="1">
      <c r="A548" s="21"/>
      <c r="B548" s="22"/>
      <c r="C548" s="22"/>
    </row>
    <row r="549" ht="14.25" customHeight="1">
      <c r="A549" s="21"/>
      <c r="B549" s="22"/>
      <c r="C549" s="22"/>
    </row>
    <row r="550" ht="14.25" customHeight="1">
      <c r="A550" s="21"/>
      <c r="B550" s="22"/>
      <c r="C550" s="22"/>
    </row>
    <row r="551" ht="14.25" customHeight="1">
      <c r="A551" s="21"/>
      <c r="B551" s="22"/>
      <c r="C551" s="22"/>
    </row>
    <row r="552" ht="14.25" customHeight="1">
      <c r="A552" s="21"/>
      <c r="B552" s="22"/>
      <c r="C552" s="22"/>
    </row>
    <row r="553" ht="14.25" customHeight="1">
      <c r="A553" s="21"/>
      <c r="B553" s="22"/>
      <c r="C553" s="22"/>
    </row>
    <row r="554" ht="14.25" customHeight="1">
      <c r="A554" s="21"/>
      <c r="B554" s="22"/>
      <c r="C554" s="22"/>
    </row>
    <row r="555" ht="14.25" customHeight="1">
      <c r="A555" s="21"/>
      <c r="B555" s="22"/>
      <c r="C555" s="22"/>
    </row>
    <row r="556" ht="14.25" customHeight="1">
      <c r="A556" s="21"/>
      <c r="B556" s="22"/>
      <c r="C556" s="22"/>
    </row>
    <row r="557" ht="14.25" customHeight="1">
      <c r="A557" s="21"/>
      <c r="B557" s="22"/>
      <c r="C557" s="22"/>
    </row>
    <row r="558" ht="14.25" customHeight="1">
      <c r="A558" s="21"/>
      <c r="B558" s="22"/>
      <c r="C558" s="22"/>
    </row>
    <row r="559" ht="14.25" customHeight="1">
      <c r="A559" s="21"/>
      <c r="B559" s="22"/>
      <c r="C559" s="22"/>
    </row>
    <row r="560" ht="14.25" customHeight="1">
      <c r="A560" s="21"/>
      <c r="B560" s="22"/>
      <c r="C560" s="22"/>
    </row>
    <row r="561" ht="14.25" customHeight="1">
      <c r="A561" s="21"/>
      <c r="B561" s="22"/>
      <c r="C561" s="22"/>
    </row>
    <row r="562" ht="14.25" customHeight="1">
      <c r="A562" s="21"/>
      <c r="B562" s="22"/>
      <c r="C562" s="22"/>
    </row>
    <row r="563" ht="14.25" customHeight="1">
      <c r="A563" s="21"/>
      <c r="B563" s="22"/>
      <c r="C563" s="22"/>
    </row>
    <row r="564" ht="14.25" customHeight="1">
      <c r="A564" s="21"/>
      <c r="B564" s="22"/>
      <c r="C564" s="22"/>
    </row>
    <row r="565" ht="14.25" customHeight="1">
      <c r="A565" s="21"/>
      <c r="B565" s="22"/>
      <c r="C565" s="22"/>
    </row>
    <row r="566" ht="14.25" customHeight="1">
      <c r="A566" s="21"/>
      <c r="B566" s="22"/>
      <c r="C566" s="22"/>
    </row>
    <row r="567" ht="14.25" customHeight="1">
      <c r="A567" s="21"/>
      <c r="B567" s="22"/>
      <c r="C567" s="22"/>
    </row>
    <row r="568" ht="14.25" customHeight="1">
      <c r="A568" s="21"/>
      <c r="B568" s="22"/>
      <c r="C568" s="22"/>
    </row>
    <row r="569" ht="14.25" customHeight="1">
      <c r="A569" s="21"/>
      <c r="B569" s="22"/>
      <c r="C569" s="22"/>
    </row>
    <row r="570" ht="14.25" customHeight="1">
      <c r="A570" s="21"/>
      <c r="B570" s="22"/>
      <c r="C570" s="22"/>
    </row>
    <row r="571" ht="14.25" customHeight="1">
      <c r="A571" s="21"/>
      <c r="B571" s="22"/>
      <c r="C571" s="22"/>
    </row>
    <row r="572" ht="14.25" customHeight="1">
      <c r="A572" s="21"/>
      <c r="B572" s="22"/>
      <c r="C572" s="22"/>
    </row>
    <row r="573" ht="14.25" customHeight="1">
      <c r="A573" s="21"/>
      <c r="B573" s="22"/>
      <c r="C573" s="22"/>
    </row>
    <row r="574" ht="14.25" customHeight="1">
      <c r="A574" s="21"/>
      <c r="B574" s="22"/>
      <c r="C574" s="22"/>
    </row>
    <row r="575" ht="14.25" customHeight="1">
      <c r="A575" s="21"/>
      <c r="B575" s="22"/>
      <c r="C575" s="22"/>
    </row>
    <row r="576" ht="14.25" customHeight="1">
      <c r="A576" s="21"/>
      <c r="B576" s="22"/>
      <c r="C576" s="22"/>
    </row>
    <row r="577" ht="14.25" customHeight="1">
      <c r="A577" s="21"/>
      <c r="B577" s="22"/>
      <c r="C577" s="22"/>
    </row>
    <row r="578" ht="14.25" customHeight="1">
      <c r="A578" s="21"/>
      <c r="B578" s="22"/>
      <c r="C578" s="22"/>
    </row>
    <row r="579" ht="14.25" customHeight="1">
      <c r="A579" s="21"/>
      <c r="B579" s="22"/>
      <c r="C579" s="22"/>
    </row>
    <row r="580" ht="14.25" customHeight="1">
      <c r="A580" s="21"/>
      <c r="B580" s="22"/>
      <c r="C580" s="22"/>
    </row>
    <row r="581" ht="14.25" customHeight="1">
      <c r="A581" s="21"/>
      <c r="B581" s="22"/>
      <c r="C581" s="22"/>
    </row>
    <row r="582" ht="14.25" customHeight="1">
      <c r="A582" s="21"/>
      <c r="B582" s="22"/>
      <c r="C582" s="22"/>
    </row>
    <row r="583" ht="14.25" customHeight="1">
      <c r="A583" s="21"/>
      <c r="B583" s="22"/>
      <c r="C583" s="22"/>
    </row>
    <row r="584" ht="14.25" customHeight="1">
      <c r="A584" s="21"/>
      <c r="B584" s="22"/>
      <c r="C584" s="22"/>
    </row>
    <row r="585" ht="14.25" customHeight="1">
      <c r="A585" s="21"/>
      <c r="B585" s="22"/>
      <c r="C585" s="22"/>
    </row>
    <row r="586" ht="14.25" customHeight="1">
      <c r="A586" s="21"/>
      <c r="B586" s="22"/>
      <c r="C586" s="22"/>
    </row>
    <row r="587" ht="14.25" customHeight="1">
      <c r="A587" s="21"/>
      <c r="B587" s="22"/>
      <c r="C587" s="22"/>
    </row>
    <row r="588" ht="14.25" customHeight="1">
      <c r="A588" s="21"/>
      <c r="B588" s="22"/>
      <c r="C588" s="22"/>
    </row>
    <row r="589" ht="14.25" customHeight="1">
      <c r="A589" s="21"/>
      <c r="B589" s="22"/>
      <c r="C589" s="22"/>
    </row>
    <row r="590" ht="14.25" customHeight="1">
      <c r="A590" s="21"/>
      <c r="B590" s="22"/>
      <c r="C590" s="22"/>
    </row>
    <row r="591" ht="14.25" customHeight="1">
      <c r="A591" s="21"/>
      <c r="B591" s="22"/>
      <c r="C591" s="22"/>
    </row>
    <row r="592" ht="14.25" customHeight="1">
      <c r="A592" s="21"/>
      <c r="B592" s="22"/>
      <c r="C592" s="22"/>
    </row>
    <row r="593" ht="14.25" customHeight="1">
      <c r="A593" s="21"/>
      <c r="B593" s="22"/>
      <c r="C593" s="22"/>
    </row>
    <row r="594" ht="14.25" customHeight="1">
      <c r="A594" s="21"/>
      <c r="B594" s="22"/>
      <c r="C594" s="22"/>
    </row>
    <row r="595" ht="14.25" customHeight="1">
      <c r="A595" s="21"/>
      <c r="B595" s="22"/>
      <c r="C595" s="22"/>
    </row>
    <row r="596" ht="14.25" customHeight="1">
      <c r="A596" s="21"/>
      <c r="B596" s="22"/>
      <c r="C596" s="22"/>
    </row>
    <row r="597" ht="14.25" customHeight="1">
      <c r="A597" s="21"/>
      <c r="B597" s="22"/>
      <c r="C597" s="22"/>
    </row>
    <row r="598" ht="14.25" customHeight="1">
      <c r="A598" s="21"/>
      <c r="B598" s="22"/>
      <c r="C598" s="22"/>
    </row>
    <row r="599" ht="14.25" customHeight="1">
      <c r="A599" s="21"/>
      <c r="B599" s="22"/>
      <c r="C599" s="22"/>
    </row>
    <row r="600" ht="14.25" customHeight="1">
      <c r="A600" s="21"/>
      <c r="B600" s="22"/>
      <c r="C600" s="22"/>
    </row>
    <row r="601" ht="14.25" customHeight="1">
      <c r="A601" s="21"/>
      <c r="B601" s="22"/>
      <c r="C601" s="22"/>
    </row>
    <row r="602" ht="14.25" customHeight="1">
      <c r="A602" s="21"/>
      <c r="B602" s="22"/>
      <c r="C602" s="22"/>
    </row>
    <row r="603" ht="14.25" customHeight="1">
      <c r="A603" s="21"/>
      <c r="B603" s="22"/>
      <c r="C603" s="22"/>
    </row>
    <row r="604" ht="14.25" customHeight="1">
      <c r="A604" s="21"/>
      <c r="B604" s="22"/>
      <c r="C604" s="22"/>
    </row>
    <row r="605" ht="14.25" customHeight="1">
      <c r="A605" s="21"/>
      <c r="B605" s="22"/>
      <c r="C605" s="22"/>
    </row>
    <row r="606" ht="14.25" customHeight="1">
      <c r="A606" s="21"/>
      <c r="B606" s="22"/>
      <c r="C606" s="22"/>
    </row>
    <row r="607" ht="14.25" customHeight="1">
      <c r="A607" s="21"/>
      <c r="B607" s="22"/>
      <c r="C607" s="22"/>
    </row>
    <row r="608" ht="14.25" customHeight="1">
      <c r="A608" s="21"/>
      <c r="B608" s="22"/>
      <c r="C608" s="22"/>
    </row>
    <row r="609" ht="14.25" customHeight="1">
      <c r="A609" s="21"/>
      <c r="B609" s="22"/>
      <c r="C609" s="22"/>
    </row>
    <row r="610" ht="14.25" customHeight="1">
      <c r="A610" s="21"/>
      <c r="B610" s="22"/>
      <c r="C610" s="22"/>
    </row>
    <row r="611" ht="14.25" customHeight="1">
      <c r="A611" s="21"/>
      <c r="B611" s="22"/>
      <c r="C611" s="22"/>
    </row>
    <row r="612" ht="14.25" customHeight="1">
      <c r="A612" s="21"/>
      <c r="B612" s="22"/>
      <c r="C612" s="22"/>
    </row>
    <row r="613" ht="14.25" customHeight="1">
      <c r="A613" s="21"/>
      <c r="B613" s="22"/>
      <c r="C613" s="22"/>
    </row>
    <row r="614" ht="14.25" customHeight="1">
      <c r="A614" s="21"/>
      <c r="B614" s="22"/>
      <c r="C614" s="22"/>
    </row>
    <row r="615" ht="14.25" customHeight="1">
      <c r="A615" s="21"/>
      <c r="B615" s="22"/>
      <c r="C615" s="22"/>
    </row>
    <row r="616" ht="14.25" customHeight="1">
      <c r="A616" s="21"/>
      <c r="B616" s="22"/>
      <c r="C616" s="22"/>
    </row>
    <row r="617" ht="14.25" customHeight="1">
      <c r="A617" s="21"/>
      <c r="B617" s="22"/>
      <c r="C617" s="22"/>
    </row>
    <row r="618" ht="14.25" customHeight="1">
      <c r="A618" s="21"/>
      <c r="B618" s="22"/>
      <c r="C618" s="22"/>
    </row>
    <row r="619" ht="14.25" customHeight="1">
      <c r="A619" s="21"/>
      <c r="B619" s="22"/>
      <c r="C619" s="22"/>
    </row>
    <row r="620" ht="14.25" customHeight="1">
      <c r="A620" s="21"/>
      <c r="B620" s="22"/>
      <c r="C620" s="22"/>
    </row>
    <row r="621" ht="14.25" customHeight="1">
      <c r="A621" s="21"/>
      <c r="B621" s="22"/>
      <c r="C621" s="22"/>
    </row>
    <row r="622" ht="14.25" customHeight="1">
      <c r="A622" s="21"/>
      <c r="B622" s="22"/>
      <c r="C622" s="22"/>
    </row>
    <row r="623" ht="14.25" customHeight="1">
      <c r="A623" s="21"/>
      <c r="B623" s="22"/>
      <c r="C623" s="22"/>
    </row>
    <row r="624" ht="14.25" customHeight="1">
      <c r="A624" s="21"/>
      <c r="B624" s="22"/>
      <c r="C624" s="22"/>
    </row>
    <row r="625" ht="14.25" customHeight="1">
      <c r="A625" s="21"/>
      <c r="B625" s="22"/>
      <c r="C625" s="22"/>
    </row>
    <row r="626" ht="14.25" customHeight="1">
      <c r="A626" s="21"/>
      <c r="B626" s="22"/>
      <c r="C626" s="22"/>
    </row>
    <row r="627" ht="14.25" customHeight="1">
      <c r="A627" s="21"/>
      <c r="B627" s="22"/>
      <c r="C627" s="22"/>
    </row>
    <row r="628" ht="14.25" customHeight="1">
      <c r="A628" s="21"/>
      <c r="B628" s="22"/>
      <c r="C628" s="22"/>
    </row>
    <row r="629" ht="14.25" customHeight="1">
      <c r="A629" s="21"/>
      <c r="B629" s="22"/>
      <c r="C629" s="22"/>
    </row>
    <row r="630" ht="14.25" customHeight="1">
      <c r="A630" s="21"/>
      <c r="B630" s="22"/>
      <c r="C630" s="22"/>
    </row>
    <row r="631" ht="14.25" customHeight="1">
      <c r="A631" s="21"/>
      <c r="B631" s="22"/>
      <c r="C631" s="22"/>
    </row>
    <row r="632" ht="14.25" customHeight="1">
      <c r="A632" s="21"/>
      <c r="B632" s="22"/>
      <c r="C632" s="22"/>
    </row>
    <row r="633" ht="14.25" customHeight="1">
      <c r="A633" s="21"/>
      <c r="B633" s="22"/>
      <c r="C633" s="22"/>
    </row>
    <row r="634" ht="14.25" customHeight="1">
      <c r="A634" s="21"/>
      <c r="B634" s="22"/>
      <c r="C634" s="22"/>
    </row>
    <row r="635" ht="14.25" customHeight="1">
      <c r="A635" s="21"/>
      <c r="B635" s="22"/>
      <c r="C635" s="22"/>
    </row>
    <row r="636" ht="14.25" customHeight="1">
      <c r="A636" s="21"/>
      <c r="B636" s="22"/>
      <c r="C636" s="22"/>
    </row>
    <row r="637" ht="14.25" customHeight="1">
      <c r="A637" s="21"/>
      <c r="B637" s="22"/>
      <c r="C637" s="22"/>
    </row>
    <row r="638" ht="14.25" customHeight="1">
      <c r="A638" s="21"/>
      <c r="B638" s="22"/>
      <c r="C638" s="22"/>
    </row>
    <row r="639" ht="14.25" customHeight="1">
      <c r="A639" s="21"/>
      <c r="B639" s="22"/>
      <c r="C639" s="22"/>
    </row>
    <row r="640" ht="14.25" customHeight="1">
      <c r="A640" s="21"/>
      <c r="B640" s="22"/>
      <c r="C640" s="22"/>
    </row>
    <row r="641" ht="14.25" customHeight="1">
      <c r="A641" s="21"/>
      <c r="B641" s="22"/>
      <c r="C641" s="22"/>
    </row>
    <row r="642" ht="14.25" customHeight="1">
      <c r="A642" s="21"/>
      <c r="B642" s="22"/>
      <c r="C642" s="22"/>
    </row>
    <row r="643" ht="14.25" customHeight="1">
      <c r="A643" s="21"/>
      <c r="B643" s="22"/>
      <c r="C643" s="22"/>
    </row>
    <row r="644" ht="14.25" customHeight="1">
      <c r="A644" s="21"/>
      <c r="B644" s="22"/>
      <c r="C644" s="22"/>
    </row>
    <row r="645" ht="14.25" customHeight="1">
      <c r="A645" s="21"/>
      <c r="B645" s="22"/>
      <c r="C645" s="22"/>
    </row>
    <row r="646" ht="14.25" customHeight="1">
      <c r="A646" s="21"/>
      <c r="B646" s="22"/>
      <c r="C646" s="22"/>
    </row>
    <row r="647" ht="14.25" customHeight="1">
      <c r="A647" s="21"/>
      <c r="B647" s="22"/>
      <c r="C647" s="22"/>
    </row>
    <row r="648" ht="14.25" customHeight="1">
      <c r="A648" s="21"/>
      <c r="B648" s="22"/>
      <c r="C648" s="22"/>
    </row>
    <row r="649" ht="14.25" customHeight="1">
      <c r="A649" s="21"/>
      <c r="B649" s="22"/>
      <c r="C649" s="22"/>
    </row>
    <row r="650" ht="14.25" customHeight="1">
      <c r="A650" s="21"/>
      <c r="B650" s="22"/>
      <c r="C650" s="22"/>
    </row>
    <row r="651" ht="14.25" customHeight="1">
      <c r="A651" s="21"/>
      <c r="B651" s="22"/>
      <c r="C651" s="22"/>
    </row>
    <row r="652" ht="14.25" customHeight="1">
      <c r="A652" s="21"/>
      <c r="B652" s="22"/>
      <c r="C652" s="22"/>
    </row>
    <row r="653" ht="14.25" customHeight="1">
      <c r="A653" s="21"/>
      <c r="B653" s="22"/>
      <c r="C653" s="22"/>
    </row>
    <row r="654" ht="14.25" customHeight="1">
      <c r="A654" s="21"/>
      <c r="B654" s="22"/>
      <c r="C654" s="22"/>
    </row>
    <row r="655" ht="14.25" customHeight="1">
      <c r="A655" s="21"/>
      <c r="B655" s="22"/>
      <c r="C655" s="22"/>
    </row>
    <row r="656" ht="14.25" customHeight="1">
      <c r="A656" s="21"/>
      <c r="B656" s="22"/>
      <c r="C656" s="22"/>
    </row>
    <row r="657" ht="14.25" customHeight="1">
      <c r="A657" s="21"/>
      <c r="B657" s="22"/>
      <c r="C657" s="22"/>
    </row>
    <row r="658" ht="14.25" customHeight="1">
      <c r="A658" s="21"/>
      <c r="B658" s="22"/>
      <c r="C658" s="22"/>
    </row>
    <row r="659" ht="14.25" customHeight="1">
      <c r="A659" s="21"/>
      <c r="B659" s="22"/>
      <c r="C659" s="22"/>
    </row>
    <row r="660" ht="14.25" customHeight="1">
      <c r="A660" s="21"/>
      <c r="B660" s="22"/>
      <c r="C660" s="22"/>
    </row>
    <row r="661" ht="14.25" customHeight="1">
      <c r="A661" s="21"/>
      <c r="B661" s="22"/>
      <c r="C661" s="22"/>
    </row>
    <row r="662" ht="14.25" customHeight="1">
      <c r="A662" s="21"/>
      <c r="B662" s="22"/>
      <c r="C662" s="22"/>
    </row>
    <row r="663" ht="14.25" customHeight="1">
      <c r="A663" s="21"/>
      <c r="B663" s="22"/>
      <c r="C663" s="22"/>
    </row>
    <row r="664" ht="14.25" customHeight="1">
      <c r="A664" s="21"/>
      <c r="B664" s="22"/>
      <c r="C664" s="22"/>
    </row>
    <row r="665" ht="14.25" customHeight="1">
      <c r="A665" s="21"/>
      <c r="B665" s="22"/>
      <c r="C665" s="22"/>
    </row>
    <row r="666" ht="14.25" customHeight="1">
      <c r="A666" s="21"/>
      <c r="B666" s="22"/>
      <c r="C666" s="22"/>
    </row>
    <row r="667" ht="14.25" customHeight="1">
      <c r="A667" s="21"/>
      <c r="B667" s="22"/>
      <c r="C667" s="22"/>
    </row>
    <row r="668" ht="14.25" customHeight="1">
      <c r="A668" s="21"/>
      <c r="B668" s="22"/>
      <c r="C668" s="22"/>
    </row>
    <row r="669" ht="14.25" customHeight="1">
      <c r="A669" s="21"/>
      <c r="B669" s="22"/>
      <c r="C669" s="22"/>
    </row>
    <row r="670" ht="14.25" customHeight="1">
      <c r="A670" s="21"/>
      <c r="B670" s="22"/>
      <c r="C670" s="22"/>
    </row>
    <row r="671" ht="14.25" customHeight="1">
      <c r="A671" s="21"/>
      <c r="B671" s="22"/>
      <c r="C671" s="22"/>
    </row>
    <row r="672" ht="14.25" customHeight="1">
      <c r="A672" s="21"/>
      <c r="B672" s="22"/>
      <c r="C672" s="22"/>
    </row>
    <row r="673" ht="14.25" customHeight="1">
      <c r="A673" s="21"/>
      <c r="B673" s="22"/>
      <c r="C673" s="22"/>
    </row>
    <row r="674" ht="14.25" customHeight="1">
      <c r="A674" s="21"/>
      <c r="B674" s="22"/>
      <c r="C674" s="22"/>
    </row>
    <row r="675" ht="14.25" customHeight="1">
      <c r="A675" s="21"/>
      <c r="B675" s="22"/>
      <c r="C675" s="22"/>
    </row>
    <row r="676" ht="14.25" customHeight="1">
      <c r="A676" s="21"/>
      <c r="B676" s="22"/>
      <c r="C676" s="22"/>
    </row>
    <row r="677" ht="14.25" customHeight="1">
      <c r="A677" s="21"/>
      <c r="B677" s="22"/>
      <c r="C677" s="22"/>
    </row>
    <row r="678" ht="14.25" customHeight="1">
      <c r="A678" s="21"/>
      <c r="B678" s="22"/>
      <c r="C678" s="22"/>
    </row>
    <row r="679" ht="14.25" customHeight="1">
      <c r="A679" s="21"/>
      <c r="B679" s="22"/>
      <c r="C679" s="22"/>
    </row>
    <row r="680" ht="14.25" customHeight="1">
      <c r="A680" s="21"/>
      <c r="B680" s="22"/>
      <c r="C680" s="22"/>
    </row>
    <row r="681" ht="14.25" customHeight="1">
      <c r="A681" s="21"/>
      <c r="B681" s="22"/>
      <c r="C681" s="22"/>
    </row>
    <row r="682" ht="14.25" customHeight="1">
      <c r="A682" s="21"/>
      <c r="B682" s="22"/>
      <c r="C682" s="22"/>
    </row>
    <row r="683" ht="14.25" customHeight="1">
      <c r="A683" s="21"/>
      <c r="B683" s="22"/>
      <c r="C683" s="22"/>
    </row>
    <row r="684" ht="14.25" customHeight="1">
      <c r="A684" s="21"/>
      <c r="B684" s="22"/>
      <c r="C684" s="22"/>
    </row>
    <row r="685" ht="14.25" customHeight="1">
      <c r="A685" s="21"/>
      <c r="B685" s="22"/>
      <c r="C685" s="22"/>
    </row>
    <row r="686" ht="14.25" customHeight="1">
      <c r="A686" s="21"/>
      <c r="B686" s="22"/>
      <c r="C686" s="22"/>
    </row>
    <row r="687" ht="14.25" customHeight="1">
      <c r="A687" s="21"/>
      <c r="B687" s="22"/>
      <c r="C687" s="22"/>
    </row>
    <row r="688" ht="14.25" customHeight="1">
      <c r="A688" s="21"/>
      <c r="B688" s="22"/>
      <c r="C688" s="22"/>
    </row>
    <row r="689" ht="14.25" customHeight="1">
      <c r="A689" s="21"/>
      <c r="B689" s="22"/>
      <c r="C689" s="22"/>
    </row>
    <row r="690" ht="14.25" customHeight="1">
      <c r="A690" s="21"/>
      <c r="B690" s="22"/>
      <c r="C690" s="22"/>
    </row>
    <row r="691" ht="14.25" customHeight="1">
      <c r="A691" s="21"/>
      <c r="B691" s="22"/>
      <c r="C691" s="22"/>
    </row>
    <row r="692" ht="14.25" customHeight="1">
      <c r="A692" s="21"/>
      <c r="B692" s="22"/>
      <c r="C692" s="22"/>
    </row>
    <row r="693" ht="14.25" customHeight="1">
      <c r="A693" s="21"/>
      <c r="B693" s="22"/>
      <c r="C693" s="22"/>
    </row>
    <row r="694" ht="14.25" customHeight="1">
      <c r="A694" s="21"/>
      <c r="B694" s="22"/>
      <c r="C694" s="22"/>
    </row>
    <row r="695" ht="14.25" customHeight="1">
      <c r="A695" s="21"/>
      <c r="B695" s="22"/>
      <c r="C695" s="22"/>
    </row>
    <row r="696" ht="14.25" customHeight="1">
      <c r="A696" s="21"/>
      <c r="B696" s="22"/>
      <c r="C696" s="22"/>
    </row>
    <row r="697" ht="14.25" customHeight="1">
      <c r="A697" s="21"/>
      <c r="B697" s="22"/>
      <c r="C697" s="22"/>
    </row>
    <row r="698" ht="14.25" customHeight="1">
      <c r="A698" s="21"/>
      <c r="B698" s="22"/>
      <c r="C698" s="22"/>
    </row>
    <row r="699" ht="14.25" customHeight="1">
      <c r="A699" s="21"/>
      <c r="B699" s="22"/>
      <c r="C699" s="22"/>
    </row>
    <row r="700" ht="14.25" customHeight="1">
      <c r="A700" s="21"/>
      <c r="B700" s="22"/>
      <c r="C700" s="22"/>
    </row>
    <row r="701" ht="14.25" customHeight="1">
      <c r="A701" s="21"/>
      <c r="B701" s="22"/>
      <c r="C701" s="22"/>
    </row>
    <row r="702" ht="14.25" customHeight="1">
      <c r="A702" s="21"/>
      <c r="B702" s="22"/>
      <c r="C702" s="22"/>
    </row>
    <row r="703" ht="14.25" customHeight="1">
      <c r="A703" s="21"/>
      <c r="B703" s="22"/>
      <c r="C703" s="22"/>
    </row>
    <row r="704" ht="14.25" customHeight="1">
      <c r="A704" s="21"/>
      <c r="B704" s="22"/>
      <c r="C704" s="22"/>
    </row>
    <row r="705" ht="14.25" customHeight="1">
      <c r="A705" s="21"/>
      <c r="B705" s="22"/>
      <c r="C705" s="22"/>
    </row>
    <row r="706" ht="14.25" customHeight="1">
      <c r="A706" s="21"/>
      <c r="B706" s="22"/>
      <c r="C706" s="22"/>
    </row>
    <row r="707" ht="14.25" customHeight="1">
      <c r="A707" s="21"/>
      <c r="B707" s="22"/>
      <c r="C707" s="22"/>
    </row>
    <row r="708" ht="14.25" customHeight="1">
      <c r="A708" s="21"/>
      <c r="B708" s="22"/>
      <c r="C708" s="22"/>
    </row>
    <row r="709" ht="14.25" customHeight="1">
      <c r="A709" s="21"/>
      <c r="B709" s="22"/>
      <c r="C709" s="22"/>
    </row>
    <row r="710" ht="14.25" customHeight="1">
      <c r="A710" s="21"/>
      <c r="B710" s="22"/>
      <c r="C710" s="22"/>
    </row>
    <row r="711" ht="14.25" customHeight="1">
      <c r="A711" s="21"/>
      <c r="B711" s="22"/>
      <c r="C711" s="22"/>
    </row>
    <row r="712" ht="14.25" customHeight="1">
      <c r="A712" s="21"/>
      <c r="B712" s="22"/>
      <c r="C712" s="22"/>
    </row>
    <row r="713" ht="14.25" customHeight="1">
      <c r="A713" s="21"/>
      <c r="B713" s="22"/>
      <c r="C713" s="22"/>
    </row>
    <row r="714" ht="14.25" customHeight="1">
      <c r="A714" s="21"/>
      <c r="B714" s="22"/>
      <c r="C714" s="22"/>
    </row>
    <row r="715" ht="14.25" customHeight="1">
      <c r="A715" s="21"/>
      <c r="B715" s="22"/>
      <c r="C715" s="22"/>
    </row>
    <row r="716" ht="14.25" customHeight="1">
      <c r="A716" s="21"/>
      <c r="B716" s="22"/>
      <c r="C716" s="22"/>
    </row>
    <row r="717" ht="14.25" customHeight="1">
      <c r="A717" s="21"/>
      <c r="B717" s="22"/>
      <c r="C717" s="22"/>
    </row>
    <row r="718" ht="14.25" customHeight="1">
      <c r="A718" s="21"/>
      <c r="B718" s="22"/>
      <c r="C718" s="22"/>
    </row>
    <row r="719" ht="14.25" customHeight="1">
      <c r="A719" s="21"/>
      <c r="B719" s="22"/>
      <c r="C719" s="22"/>
    </row>
    <row r="720" ht="14.25" customHeight="1">
      <c r="A720" s="21"/>
      <c r="B720" s="22"/>
      <c r="C720" s="22"/>
    </row>
    <row r="721" ht="14.25" customHeight="1">
      <c r="A721" s="21"/>
      <c r="B721" s="22"/>
      <c r="C721" s="22"/>
    </row>
    <row r="722" ht="14.25" customHeight="1">
      <c r="A722" s="21"/>
      <c r="B722" s="22"/>
      <c r="C722" s="22"/>
    </row>
    <row r="723" ht="14.25" customHeight="1">
      <c r="A723" s="21"/>
      <c r="B723" s="22"/>
      <c r="C723" s="22"/>
    </row>
    <row r="724" ht="14.25" customHeight="1">
      <c r="A724" s="21"/>
      <c r="B724" s="22"/>
      <c r="C724" s="22"/>
    </row>
    <row r="725" ht="14.25" customHeight="1">
      <c r="A725" s="21"/>
      <c r="B725" s="22"/>
      <c r="C725" s="22"/>
    </row>
    <row r="726" ht="14.25" customHeight="1">
      <c r="A726" s="21"/>
      <c r="B726" s="22"/>
      <c r="C726" s="22"/>
    </row>
    <row r="727" ht="14.25" customHeight="1">
      <c r="A727" s="21"/>
      <c r="B727" s="22"/>
      <c r="C727" s="22"/>
    </row>
    <row r="728" ht="14.25" customHeight="1">
      <c r="A728" s="21"/>
      <c r="B728" s="22"/>
      <c r="C728" s="22"/>
    </row>
    <row r="729" ht="14.25" customHeight="1">
      <c r="A729" s="21"/>
      <c r="B729" s="22"/>
      <c r="C729" s="22"/>
    </row>
    <row r="730" ht="14.25" customHeight="1">
      <c r="A730" s="21"/>
      <c r="B730" s="22"/>
      <c r="C730" s="22"/>
    </row>
    <row r="731" ht="14.25" customHeight="1">
      <c r="A731" s="21"/>
      <c r="B731" s="22"/>
      <c r="C731" s="22"/>
    </row>
    <row r="732" ht="14.25" customHeight="1">
      <c r="A732" s="21"/>
      <c r="B732" s="22"/>
      <c r="C732" s="22"/>
    </row>
    <row r="733" ht="14.25" customHeight="1">
      <c r="A733" s="21"/>
      <c r="B733" s="22"/>
      <c r="C733" s="22"/>
    </row>
    <row r="734" ht="14.25" customHeight="1">
      <c r="A734" s="21"/>
      <c r="B734" s="22"/>
      <c r="C734" s="22"/>
    </row>
    <row r="735" ht="14.25" customHeight="1">
      <c r="A735" s="21"/>
      <c r="B735" s="22"/>
      <c r="C735" s="22"/>
    </row>
    <row r="736" ht="14.25" customHeight="1">
      <c r="A736" s="21"/>
      <c r="B736" s="22"/>
      <c r="C736" s="22"/>
    </row>
    <row r="737" ht="14.25" customHeight="1">
      <c r="A737" s="21"/>
      <c r="B737" s="22"/>
      <c r="C737" s="22"/>
    </row>
    <row r="738" ht="14.25" customHeight="1">
      <c r="A738" s="21"/>
      <c r="B738" s="22"/>
      <c r="C738" s="22"/>
    </row>
    <row r="739" ht="14.25" customHeight="1">
      <c r="A739" s="21"/>
      <c r="B739" s="22"/>
      <c r="C739" s="22"/>
    </row>
    <row r="740" ht="14.25" customHeight="1">
      <c r="A740" s="21"/>
      <c r="B740" s="22"/>
      <c r="C740" s="22"/>
    </row>
    <row r="741" ht="14.25" customHeight="1">
      <c r="A741" s="21"/>
      <c r="B741" s="22"/>
      <c r="C741" s="22"/>
    </row>
    <row r="742" ht="14.25" customHeight="1">
      <c r="A742" s="21"/>
      <c r="B742" s="22"/>
      <c r="C742" s="22"/>
    </row>
    <row r="743" ht="14.25" customHeight="1">
      <c r="A743" s="21"/>
      <c r="B743" s="22"/>
      <c r="C743" s="22"/>
    </row>
    <row r="744" ht="14.25" customHeight="1">
      <c r="A744" s="21"/>
      <c r="B744" s="22"/>
      <c r="C744" s="22"/>
    </row>
    <row r="745" ht="14.25" customHeight="1">
      <c r="A745" s="21"/>
      <c r="B745" s="22"/>
      <c r="C745" s="22"/>
    </row>
    <row r="746" ht="14.25" customHeight="1">
      <c r="A746" s="21"/>
      <c r="B746" s="22"/>
      <c r="C746" s="22"/>
    </row>
    <row r="747" ht="14.25" customHeight="1">
      <c r="A747" s="21"/>
      <c r="B747" s="22"/>
      <c r="C747" s="22"/>
    </row>
    <row r="748" ht="14.25" customHeight="1">
      <c r="A748" s="21"/>
      <c r="B748" s="22"/>
      <c r="C748" s="22"/>
    </row>
    <row r="749" ht="14.25" customHeight="1">
      <c r="A749" s="21"/>
      <c r="B749" s="22"/>
      <c r="C749" s="22"/>
    </row>
    <row r="750" ht="14.25" customHeight="1">
      <c r="A750" s="21"/>
      <c r="B750" s="22"/>
      <c r="C750" s="22"/>
    </row>
    <row r="751" ht="14.25" customHeight="1">
      <c r="A751" s="21"/>
      <c r="B751" s="22"/>
      <c r="C751" s="22"/>
    </row>
    <row r="752" ht="14.25" customHeight="1">
      <c r="A752" s="21"/>
      <c r="B752" s="22"/>
      <c r="C752" s="22"/>
    </row>
    <row r="753" ht="14.25" customHeight="1">
      <c r="A753" s="21"/>
      <c r="B753" s="22"/>
      <c r="C753" s="22"/>
    </row>
    <row r="754" ht="14.25" customHeight="1">
      <c r="A754" s="21"/>
      <c r="B754" s="22"/>
      <c r="C754" s="22"/>
    </row>
    <row r="755" ht="14.25" customHeight="1">
      <c r="A755" s="21"/>
      <c r="B755" s="22"/>
      <c r="C755" s="22"/>
    </row>
    <row r="756" ht="14.25" customHeight="1">
      <c r="A756" s="21"/>
      <c r="B756" s="22"/>
      <c r="C756" s="22"/>
    </row>
    <row r="757" ht="14.25" customHeight="1">
      <c r="A757" s="21"/>
      <c r="B757" s="22"/>
      <c r="C757" s="22"/>
    </row>
    <row r="758" ht="14.25" customHeight="1">
      <c r="A758" s="21"/>
      <c r="B758" s="22"/>
      <c r="C758" s="22"/>
    </row>
    <row r="759" ht="14.25" customHeight="1">
      <c r="A759" s="21"/>
      <c r="B759" s="22"/>
      <c r="C759" s="22"/>
    </row>
    <row r="760" ht="14.25" customHeight="1">
      <c r="A760" s="21"/>
      <c r="B760" s="22"/>
      <c r="C760" s="22"/>
    </row>
    <row r="761" ht="14.25" customHeight="1">
      <c r="A761" s="21"/>
      <c r="B761" s="22"/>
      <c r="C761" s="22"/>
    </row>
    <row r="762" ht="14.25" customHeight="1">
      <c r="A762" s="21"/>
      <c r="B762" s="22"/>
      <c r="C762" s="22"/>
    </row>
    <row r="763" ht="14.25" customHeight="1">
      <c r="A763" s="21"/>
      <c r="B763" s="22"/>
      <c r="C763" s="22"/>
    </row>
    <row r="764" ht="14.25" customHeight="1">
      <c r="A764" s="21"/>
      <c r="B764" s="22"/>
      <c r="C764" s="22"/>
    </row>
    <row r="765" ht="14.25" customHeight="1">
      <c r="A765" s="21"/>
      <c r="B765" s="22"/>
      <c r="C765" s="22"/>
    </row>
    <row r="766" ht="14.25" customHeight="1">
      <c r="A766" s="21"/>
      <c r="B766" s="22"/>
      <c r="C766" s="22"/>
    </row>
    <row r="767" ht="14.25" customHeight="1">
      <c r="A767" s="21"/>
      <c r="B767" s="22"/>
      <c r="C767" s="22"/>
    </row>
    <row r="768" ht="14.25" customHeight="1">
      <c r="A768" s="21"/>
      <c r="B768" s="22"/>
      <c r="C768" s="22"/>
    </row>
    <row r="769" ht="14.25" customHeight="1">
      <c r="A769" s="21"/>
      <c r="B769" s="22"/>
      <c r="C769" s="22"/>
    </row>
    <row r="770" ht="14.25" customHeight="1">
      <c r="A770" s="21"/>
      <c r="B770" s="22"/>
      <c r="C770" s="22"/>
    </row>
    <row r="771" ht="14.25" customHeight="1">
      <c r="A771" s="21"/>
      <c r="B771" s="22"/>
      <c r="C771" s="22"/>
    </row>
    <row r="772" ht="14.25" customHeight="1">
      <c r="A772" s="21"/>
      <c r="B772" s="22"/>
      <c r="C772" s="22"/>
    </row>
    <row r="773" ht="14.25" customHeight="1">
      <c r="A773" s="21"/>
      <c r="B773" s="22"/>
      <c r="C773" s="22"/>
    </row>
    <row r="774" ht="14.25" customHeight="1">
      <c r="A774" s="21"/>
      <c r="B774" s="22"/>
      <c r="C774" s="22"/>
    </row>
    <row r="775" ht="14.25" customHeight="1">
      <c r="A775" s="21"/>
      <c r="B775" s="22"/>
      <c r="C775" s="22"/>
    </row>
    <row r="776" ht="14.25" customHeight="1">
      <c r="A776" s="21"/>
      <c r="B776" s="22"/>
      <c r="C776" s="22"/>
    </row>
    <row r="777" ht="14.25" customHeight="1">
      <c r="A777" s="21"/>
      <c r="B777" s="22"/>
      <c r="C777" s="22"/>
    </row>
    <row r="778" ht="14.25" customHeight="1">
      <c r="A778" s="21"/>
      <c r="B778" s="22"/>
      <c r="C778" s="22"/>
    </row>
    <row r="779" ht="14.25" customHeight="1">
      <c r="A779" s="21"/>
      <c r="B779" s="22"/>
      <c r="C779" s="22"/>
    </row>
    <row r="780" ht="14.25" customHeight="1">
      <c r="A780" s="21"/>
      <c r="B780" s="22"/>
      <c r="C780" s="22"/>
    </row>
    <row r="781" ht="14.25" customHeight="1">
      <c r="A781" s="21"/>
      <c r="B781" s="22"/>
      <c r="C781" s="22"/>
    </row>
    <row r="782" ht="14.25" customHeight="1">
      <c r="A782" s="21"/>
      <c r="B782" s="22"/>
      <c r="C782" s="22"/>
    </row>
    <row r="783" ht="14.25" customHeight="1">
      <c r="A783" s="21"/>
      <c r="B783" s="22"/>
      <c r="C783" s="22"/>
    </row>
    <row r="784" ht="14.25" customHeight="1">
      <c r="A784" s="21"/>
      <c r="B784" s="22"/>
      <c r="C784" s="22"/>
    </row>
    <row r="785" ht="14.25" customHeight="1">
      <c r="A785" s="21"/>
      <c r="B785" s="22"/>
      <c r="C785" s="22"/>
    </row>
    <row r="786" ht="14.25" customHeight="1">
      <c r="A786" s="21"/>
      <c r="B786" s="22"/>
      <c r="C786" s="22"/>
    </row>
    <row r="787" ht="14.25" customHeight="1">
      <c r="A787" s="21"/>
      <c r="B787" s="22"/>
      <c r="C787" s="22"/>
    </row>
    <row r="788" ht="14.25" customHeight="1">
      <c r="A788" s="21"/>
      <c r="B788" s="22"/>
      <c r="C788" s="22"/>
    </row>
    <row r="789" ht="14.25" customHeight="1">
      <c r="A789" s="21"/>
      <c r="B789" s="22"/>
      <c r="C789" s="22"/>
    </row>
    <row r="790" ht="14.25" customHeight="1">
      <c r="A790" s="21"/>
      <c r="B790" s="22"/>
      <c r="C790" s="22"/>
    </row>
    <row r="791" ht="14.25" customHeight="1">
      <c r="A791" s="21"/>
      <c r="B791" s="22"/>
      <c r="C791" s="22"/>
    </row>
    <row r="792" ht="14.25" customHeight="1">
      <c r="A792" s="21"/>
      <c r="B792" s="22"/>
      <c r="C792" s="22"/>
    </row>
    <row r="793" ht="14.25" customHeight="1">
      <c r="A793" s="21"/>
      <c r="B793" s="22"/>
      <c r="C793" s="22"/>
    </row>
    <row r="794" ht="14.25" customHeight="1">
      <c r="A794" s="21"/>
      <c r="B794" s="22"/>
      <c r="C794" s="22"/>
    </row>
    <row r="795" ht="14.25" customHeight="1">
      <c r="A795" s="21"/>
      <c r="B795" s="22"/>
      <c r="C795" s="22"/>
    </row>
    <row r="796" ht="14.25" customHeight="1">
      <c r="A796" s="21"/>
      <c r="B796" s="22"/>
      <c r="C796" s="22"/>
    </row>
    <row r="797" ht="14.25" customHeight="1">
      <c r="A797" s="21"/>
      <c r="B797" s="22"/>
      <c r="C797" s="22"/>
    </row>
    <row r="798" ht="14.25" customHeight="1">
      <c r="A798" s="21"/>
      <c r="B798" s="22"/>
      <c r="C798" s="22"/>
    </row>
    <row r="799" ht="14.25" customHeight="1">
      <c r="A799" s="21"/>
      <c r="B799" s="22"/>
      <c r="C799" s="22"/>
    </row>
    <row r="800" ht="14.25" customHeight="1">
      <c r="A800" s="21"/>
      <c r="B800" s="22"/>
      <c r="C800" s="22"/>
    </row>
    <row r="801" ht="14.25" customHeight="1">
      <c r="A801" s="21"/>
      <c r="B801" s="22"/>
      <c r="C801" s="22"/>
    </row>
    <row r="802" ht="14.25" customHeight="1">
      <c r="A802" s="21"/>
      <c r="B802" s="22"/>
      <c r="C802" s="22"/>
    </row>
    <row r="803" ht="14.25" customHeight="1">
      <c r="A803" s="21"/>
      <c r="B803" s="22"/>
      <c r="C803" s="22"/>
    </row>
    <row r="804" ht="14.25" customHeight="1">
      <c r="A804" s="21"/>
      <c r="B804" s="22"/>
      <c r="C804" s="22"/>
    </row>
    <row r="805" ht="14.25" customHeight="1">
      <c r="A805" s="21"/>
      <c r="B805" s="22"/>
      <c r="C805" s="22"/>
    </row>
    <row r="806" ht="14.25" customHeight="1">
      <c r="A806" s="21"/>
      <c r="B806" s="22"/>
      <c r="C806" s="22"/>
    </row>
    <row r="807" ht="14.25" customHeight="1">
      <c r="A807" s="21"/>
      <c r="B807" s="22"/>
      <c r="C807" s="22"/>
    </row>
    <row r="808" ht="14.25" customHeight="1">
      <c r="A808" s="21"/>
      <c r="B808" s="22"/>
      <c r="C808" s="22"/>
    </row>
    <row r="809" ht="14.25" customHeight="1">
      <c r="A809" s="21"/>
      <c r="B809" s="22"/>
      <c r="C809" s="22"/>
    </row>
    <row r="810" ht="14.25" customHeight="1">
      <c r="A810" s="21"/>
      <c r="B810" s="22"/>
      <c r="C810" s="22"/>
    </row>
    <row r="811" ht="14.25" customHeight="1">
      <c r="A811" s="21"/>
      <c r="B811" s="22"/>
      <c r="C811" s="22"/>
    </row>
    <row r="812" ht="14.25" customHeight="1">
      <c r="A812" s="21"/>
      <c r="B812" s="22"/>
      <c r="C812" s="22"/>
    </row>
    <row r="813" ht="14.25" customHeight="1">
      <c r="A813" s="21"/>
      <c r="B813" s="22"/>
      <c r="C813" s="22"/>
    </row>
    <row r="814" ht="14.25" customHeight="1">
      <c r="A814" s="21"/>
      <c r="B814" s="22"/>
      <c r="C814" s="22"/>
    </row>
    <row r="815" ht="14.25" customHeight="1">
      <c r="A815" s="21"/>
      <c r="B815" s="22"/>
      <c r="C815" s="22"/>
    </row>
    <row r="816" ht="14.25" customHeight="1">
      <c r="A816" s="21"/>
      <c r="B816" s="22"/>
      <c r="C816" s="22"/>
    </row>
    <row r="817" ht="14.25" customHeight="1">
      <c r="A817" s="21"/>
      <c r="B817" s="22"/>
      <c r="C817" s="22"/>
    </row>
    <row r="818" ht="14.25" customHeight="1">
      <c r="A818" s="21"/>
      <c r="B818" s="22"/>
      <c r="C818" s="22"/>
    </row>
    <row r="819" ht="14.25" customHeight="1">
      <c r="A819" s="21"/>
      <c r="B819" s="22"/>
      <c r="C819" s="22"/>
    </row>
    <row r="820" ht="14.25" customHeight="1">
      <c r="A820" s="21"/>
      <c r="B820" s="22"/>
      <c r="C820" s="22"/>
    </row>
    <row r="821" ht="14.25" customHeight="1">
      <c r="A821" s="21"/>
      <c r="B821" s="22"/>
      <c r="C821" s="22"/>
    </row>
    <row r="822" ht="14.25" customHeight="1">
      <c r="A822" s="21"/>
      <c r="B822" s="22"/>
      <c r="C822" s="22"/>
    </row>
    <row r="823" ht="14.25" customHeight="1">
      <c r="A823" s="21"/>
      <c r="B823" s="22"/>
      <c r="C823" s="22"/>
    </row>
    <row r="824" ht="14.25" customHeight="1">
      <c r="A824" s="21"/>
      <c r="B824" s="22"/>
      <c r="C824" s="22"/>
    </row>
    <row r="825" ht="14.25" customHeight="1">
      <c r="A825" s="21"/>
      <c r="B825" s="22"/>
      <c r="C825" s="22"/>
    </row>
    <row r="826" ht="14.25" customHeight="1">
      <c r="A826" s="21"/>
      <c r="B826" s="22"/>
      <c r="C826" s="22"/>
    </row>
    <row r="827" ht="14.25" customHeight="1">
      <c r="A827" s="21"/>
      <c r="B827" s="22"/>
      <c r="C827" s="22"/>
    </row>
    <row r="828" ht="14.25" customHeight="1">
      <c r="A828" s="21"/>
      <c r="B828" s="22"/>
      <c r="C828" s="22"/>
    </row>
    <row r="829" ht="14.25" customHeight="1">
      <c r="A829" s="21"/>
      <c r="B829" s="22"/>
      <c r="C829" s="22"/>
    </row>
    <row r="830" ht="14.25" customHeight="1">
      <c r="A830" s="21"/>
      <c r="B830" s="22"/>
      <c r="C830" s="22"/>
    </row>
    <row r="831" ht="14.25" customHeight="1">
      <c r="A831" s="21"/>
      <c r="B831" s="22"/>
      <c r="C831" s="22"/>
    </row>
    <row r="832" ht="14.25" customHeight="1">
      <c r="A832" s="21"/>
      <c r="B832" s="22"/>
      <c r="C832" s="22"/>
    </row>
    <row r="833" ht="14.25" customHeight="1">
      <c r="A833" s="21"/>
      <c r="B833" s="22"/>
      <c r="C833" s="22"/>
    </row>
    <row r="834" ht="14.25" customHeight="1">
      <c r="A834" s="21"/>
      <c r="B834" s="22"/>
      <c r="C834" s="22"/>
    </row>
    <row r="835" ht="14.25" customHeight="1">
      <c r="A835" s="21"/>
      <c r="B835" s="22"/>
      <c r="C835" s="22"/>
    </row>
    <row r="836" ht="14.25" customHeight="1">
      <c r="A836" s="21"/>
      <c r="B836" s="22"/>
      <c r="C836" s="22"/>
    </row>
    <row r="837" ht="14.25" customHeight="1">
      <c r="A837" s="21"/>
      <c r="B837" s="22"/>
      <c r="C837" s="22"/>
    </row>
    <row r="838" ht="14.25" customHeight="1">
      <c r="A838" s="21"/>
      <c r="B838" s="22"/>
      <c r="C838" s="22"/>
    </row>
    <row r="839" ht="14.25" customHeight="1">
      <c r="A839" s="21"/>
      <c r="B839" s="22"/>
      <c r="C839" s="22"/>
    </row>
    <row r="840" ht="14.25" customHeight="1">
      <c r="A840" s="21"/>
      <c r="B840" s="22"/>
      <c r="C840" s="22"/>
    </row>
    <row r="841" ht="14.25" customHeight="1">
      <c r="A841" s="21"/>
      <c r="B841" s="22"/>
      <c r="C841" s="22"/>
    </row>
    <row r="842" ht="14.25" customHeight="1">
      <c r="A842" s="21"/>
      <c r="B842" s="22"/>
      <c r="C842" s="22"/>
    </row>
    <row r="843" ht="14.25" customHeight="1">
      <c r="A843" s="21"/>
      <c r="B843" s="22"/>
      <c r="C843" s="22"/>
    </row>
    <row r="844" ht="14.25" customHeight="1">
      <c r="A844" s="21"/>
      <c r="B844" s="22"/>
      <c r="C844" s="22"/>
    </row>
    <row r="845" ht="14.25" customHeight="1">
      <c r="A845" s="21"/>
      <c r="B845" s="22"/>
      <c r="C845" s="22"/>
    </row>
    <row r="846" ht="14.25" customHeight="1">
      <c r="A846" s="21"/>
      <c r="B846" s="22"/>
      <c r="C846" s="22"/>
    </row>
    <row r="847" ht="14.25" customHeight="1">
      <c r="A847" s="21"/>
      <c r="B847" s="22"/>
      <c r="C847" s="22"/>
    </row>
    <row r="848" ht="14.25" customHeight="1">
      <c r="A848" s="21"/>
      <c r="B848" s="22"/>
      <c r="C848" s="22"/>
    </row>
    <row r="849" ht="14.25" customHeight="1">
      <c r="A849" s="21"/>
      <c r="B849" s="22"/>
      <c r="C849" s="22"/>
    </row>
    <row r="850" ht="14.25" customHeight="1">
      <c r="A850" s="21"/>
      <c r="B850" s="22"/>
      <c r="C850" s="22"/>
    </row>
    <row r="851" ht="14.25" customHeight="1">
      <c r="A851" s="21"/>
      <c r="B851" s="22"/>
      <c r="C851" s="22"/>
    </row>
    <row r="852" ht="14.25" customHeight="1">
      <c r="A852" s="21"/>
      <c r="B852" s="22"/>
      <c r="C852" s="22"/>
    </row>
    <row r="853" ht="14.25" customHeight="1">
      <c r="A853" s="21"/>
      <c r="B853" s="22"/>
      <c r="C853" s="22"/>
    </row>
    <row r="854" ht="14.25" customHeight="1">
      <c r="A854" s="21"/>
      <c r="B854" s="22"/>
      <c r="C854" s="22"/>
    </row>
    <row r="855" ht="14.25" customHeight="1">
      <c r="A855" s="21"/>
      <c r="B855" s="22"/>
      <c r="C855" s="22"/>
    </row>
    <row r="856" ht="14.25" customHeight="1">
      <c r="A856" s="21"/>
      <c r="B856" s="22"/>
      <c r="C856" s="22"/>
    </row>
    <row r="857" ht="14.25" customHeight="1">
      <c r="A857" s="21"/>
      <c r="B857" s="22"/>
      <c r="C857" s="22"/>
    </row>
    <row r="858" ht="14.25" customHeight="1">
      <c r="A858" s="21"/>
      <c r="B858" s="22"/>
      <c r="C858" s="22"/>
    </row>
    <row r="859" ht="14.25" customHeight="1">
      <c r="A859" s="21"/>
      <c r="B859" s="22"/>
      <c r="C859" s="22"/>
    </row>
    <row r="860" ht="14.25" customHeight="1">
      <c r="A860" s="21"/>
      <c r="B860" s="22"/>
      <c r="C860" s="22"/>
    </row>
    <row r="861" ht="14.25" customHeight="1">
      <c r="A861" s="21"/>
      <c r="B861" s="22"/>
      <c r="C861" s="22"/>
    </row>
    <row r="862" ht="14.25" customHeight="1">
      <c r="A862" s="21"/>
      <c r="B862" s="22"/>
      <c r="C862" s="22"/>
    </row>
    <row r="863" ht="14.25" customHeight="1">
      <c r="A863" s="21"/>
      <c r="B863" s="22"/>
      <c r="C863" s="22"/>
    </row>
    <row r="864" ht="14.25" customHeight="1">
      <c r="A864" s="21"/>
      <c r="B864" s="22"/>
      <c r="C864" s="22"/>
    </row>
    <row r="865" ht="14.25" customHeight="1">
      <c r="A865" s="21"/>
      <c r="B865" s="22"/>
      <c r="C865" s="22"/>
    </row>
    <row r="866" ht="14.25" customHeight="1">
      <c r="A866" s="21"/>
      <c r="B866" s="22"/>
      <c r="C866" s="22"/>
    </row>
    <row r="867" ht="14.25" customHeight="1">
      <c r="A867" s="21"/>
      <c r="B867" s="22"/>
      <c r="C867" s="22"/>
    </row>
    <row r="868" ht="14.25" customHeight="1">
      <c r="A868" s="21"/>
      <c r="B868" s="22"/>
      <c r="C868" s="22"/>
    </row>
    <row r="869" ht="14.25" customHeight="1">
      <c r="A869" s="21"/>
      <c r="B869" s="22"/>
      <c r="C869" s="22"/>
    </row>
    <row r="870" ht="14.25" customHeight="1">
      <c r="A870" s="21"/>
      <c r="B870" s="22"/>
      <c r="C870" s="22"/>
    </row>
    <row r="871" ht="14.25" customHeight="1">
      <c r="A871" s="21"/>
      <c r="B871" s="22"/>
      <c r="C871" s="22"/>
    </row>
    <row r="872" ht="14.25" customHeight="1">
      <c r="A872" s="21"/>
      <c r="B872" s="22"/>
      <c r="C872" s="22"/>
    </row>
    <row r="873" ht="14.25" customHeight="1">
      <c r="A873" s="21"/>
      <c r="B873" s="22"/>
      <c r="C873" s="22"/>
    </row>
    <row r="874" ht="14.25" customHeight="1">
      <c r="A874" s="21"/>
      <c r="B874" s="22"/>
      <c r="C874" s="22"/>
    </row>
    <row r="875" ht="14.25" customHeight="1">
      <c r="A875" s="21"/>
      <c r="B875" s="22"/>
      <c r="C875" s="22"/>
    </row>
    <row r="876" ht="14.25" customHeight="1">
      <c r="A876" s="21"/>
      <c r="B876" s="22"/>
      <c r="C876" s="22"/>
    </row>
    <row r="877" ht="14.25" customHeight="1">
      <c r="A877" s="21"/>
      <c r="B877" s="22"/>
      <c r="C877" s="22"/>
    </row>
    <row r="878" ht="14.25" customHeight="1">
      <c r="A878" s="21"/>
      <c r="B878" s="22"/>
      <c r="C878" s="22"/>
    </row>
    <row r="879" ht="14.25" customHeight="1">
      <c r="A879" s="21"/>
      <c r="B879" s="22"/>
      <c r="C879" s="22"/>
    </row>
    <row r="880" ht="14.25" customHeight="1">
      <c r="A880" s="21"/>
      <c r="B880" s="22"/>
      <c r="C880" s="22"/>
    </row>
    <row r="881" ht="14.25" customHeight="1">
      <c r="A881" s="21"/>
      <c r="B881" s="22"/>
      <c r="C881" s="22"/>
    </row>
    <row r="882" ht="14.25" customHeight="1">
      <c r="A882" s="21"/>
      <c r="B882" s="22"/>
      <c r="C882" s="22"/>
    </row>
    <row r="883" ht="14.25" customHeight="1">
      <c r="A883" s="21"/>
      <c r="B883" s="22"/>
      <c r="C883" s="22"/>
    </row>
    <row r="884" ht="14.25" customHeight="1">
      <c r="A884" s="21"/>
      <c r="B884" s="22"/>
      <c r="C884" s="22"/>
    </row>
    <row r="885" ht="14.25" customHeight="1">
      <c r="A885" s="21"/>
      <c r="B885" s="22"/>
      <c r="C885" s="22"/>
    </row>
    <row r="886" ht="14.25" customHeight="1">
      <c r="A886" s="21"/>
      <c r="B886" s="22"/>
      <c r="C886" s="22"/>
    </row>
    <row r="887" ht="14.25" customHeight="1">
      <c r="A887" s="21"/>
      <c r="B887" s="22"/>
      <c r="C887" s="22"/>
    </row>
    <row r="888" ht="14.25" customHeight="1">
      <c r="A888" s="21"/>
      <c r="B888" s="22"/>
      <c r="C888" s="22"/>
    </row>
    <row r="889" ht="14.25" customHeight="1">
      <c r="A889" s="21"/>
      <c r="B889" s="22"/>
      <c r="C889" s="22"/>
    </row>
    <row r="890" ht="14.25" customHeight="1">
      <c r="A890" s="21"/>
      <c r="B890" s="22"/>
      <c r="C890" s="22"/>
    </row>
    <row r="891" ht="14.25" customHeight="1">
      <c r="A891" s="21"/>
      <c r="B891" s="22"/>
      <c r="C891" s="22"/>
    </row>
    <row r="892" ht="14.25" customHeight="1">
      <c r="A892" s="21"/>
      <c r="B892" s="22"/>
      <c r="C892" s="22"/>
    </row>
    <row r="893" ht="14.25" customHeight="1">
      <c r="A893" s="21"/>
      <c r="B893" s="22"/>
      <c r="C893" s="22"/>
    </row>
    <row r="894" ht="14.25" customHeight="1">
      <c r="A894" s="21"/>
      <c r="B894" s="22"/>
      <c r="C894" s="22"/>
    </row>
    <row r="895" ht="14.25" customHeight="1">
      <c r="A895" s="21"/>
      <c r="B895" s="22"/>
      <c r="C895" s="22"/>
    </row>
    <row r="896" ht="14.25" customHeight="1">
      <c r="A896" s="21"/>
      <c r="B896" s="22"/>
      <c r="C896" s="22"/>
    </row>
    <row r="897" ht="14.25" customHeight="1">
      <c r="A897" s="21"/>
      <c r="B897" s="22"/>
      <c r="C897" s="22"/>
    </row>
    <row r="898" ht="14.25" customHeight="1">
      <c r="A898" s="21"/>
      <c r="B898" s="22"/>
      <c r="C898" s="22"/>
    </row>
    <row r="899" ht="14.25" customHeight="1">
      <c r="A899" s="21"/>
      <c r="B899" s="22"/>
      <c r="C899" s="22"/>
    </row>
    <row r="900" ht="14.25" customHeight="1">
      <c r="A900" s="21"/>
      <c r="B900" s="22"/>
      <c r="C900" s="22"/>
    </row>
    <row r="901" ht="14.25" customHeight="1">
      <c r="A901" s="21"/>
      <c r="B901" s="22"/>
      <c r="C901" s="22"/>
    </row>
    <row r="902" ht="14.25" customHeight="1">
      <c r="A902" s="21"/>
      <c r="B902" s="22"/>
      <c r="C902" s="22"/>
    </row>
    <row r="903" ht="14.25" customHeight="1">
      <c r="A903" s="21"/>
      <c r="B903" s="22"/>
      <c r="C903" s="22"/>
    </row>
    <row r="904" ht="14.25" customHeight="1">
      <c r="A904" s="21"/>
      <c r="B904" s="22"/>
      <c r="C904" s="22"/>
    </row>
    <row r="905" ht="14.25" customHeight="1">
      <c r="A905" s="21"/>
      <c r="B905" s="22"/>
      <c r="C905" s="22"/>
    </row>
    <row r="906" ht="14.25" customHeight="1">
      <c r="A906" s="21"/>
      <c r="B906" s="22"/>
      <c r="C906" s="22"/>
    </row>
    <row r="907" ht="14.25" customHeight="1">
      <c r="A907" s="21"/>
      <c r="B907" s="22"/>
      <c r="C907" s="22"/>
    </row>
    <row r="908" ht="14.25" customHeight="1">
      <c r="A908" s="21"/>
      <c r="B908" s="22"/>
      <c r="C908" s="22"/>
    </row>
    <row r="909" ht="14.25" customHeight="1">
      <c r="A909" s="21"/>
      <c r="B909" s="22"/>
      <c r="C909" s="22"/>
    </row>
    <row r="910" ht="14.25" customHeight="1">
      <c r="A910" s="21"/>
      <c r="B910" s="22"/>
      <c r="C910" s="22"/>
    </row>
    <row r="911" ht="14.25" customHeight="1">
      <c r="A911" s="21"/>
      <c r="B911" s="22"/>
      <c r="C911" s="22"/>
    </row>
    <row r="912" ht="14.25" customHeight="1">
      <c r="A912" s="21"/>
      <c r="B912" s="22"/>
      <c r="C912" s="22"/>
    </row>
    <row r="913" ht="14.25" customHeight="1">
      <c r="A913" s="21"/>
      <c r="B913" s="22"/>
      <c r="C913" s="22"/>
    </row>
    <row r="914" ht="14.25" customHeight="1">
      <c r="A914" s="21"/>
      <c r="B914" s="22"/>
      <c r="C914" s="22"/>
    </row>
    <row r="915" ht="14.25" customHeight="1">
      <c r="A915" s="21"/>
      <c r="B915" s="22"/>
      <c r="C915" s="22"/>
    </row>
    <row r="916" ht="14.25" customHeight="1">
      <c r="A916" s="21"/>
      <c r="B916" s="22"/>
      <c r="C916" s="22"/>
    </row>
    <row r="917" ht="14.25" customHeight="1">
      <c r="A917" s="21"/>
      <c r="B917" s="22"/>
      <c r="C917" s="22"/>
    </row>
    <row r="918" ht="14.25" customHeight="1">
      <c r="A918" s="21"/>
      <c r="B918" s="22"/>
      <c r="C918" s="22"/>
    </row>
    <row r="919" ht="14.25" customHeight="1">
      <c r="A919" s="21"/>
      <c r="B919" s="22"/>
      <c r="C919" s="22"/>
    </row>
    <row r="920" ht="14.25" customHeight="1">
      <c r="A920" s="21"/>
      <c r="B920" s="22"/>
      <c r="C920" s="22"/>
    </row>
    <row r="921" ht="14.25" customHeight="1">
      <c r="A921" s="21"/>
      <c r="B921" s="22"/>
      <c r="C921" s="22"/>
    </row>
    <row r="922" ht="14.25" customHeight="1">
      <c r="A922" s="21"/>
      <c r="B922" s="22"/>
      <c r="C922" s="22"/>
    </row>
    <row r="923" ht="14.25" customHeight="1">
      <c r="A923" s="21"/>
      <c r="B923" s="22"/>
      <c r="C923" s="22"/>
    </row>
    <row r="924" ht="14.25" customHeight="1">
      <c r="A924" s="21"/>
      <c r="B924" s="22"/>
      <c r="C924" s="22"/>
    </row>
    <row r="925" ht="14.25" customHeight="1">
      <c r="A925" s="21"/>
      <c r="B925" s="22"/>
      <c r="C925" s="22"/>
    </row>
    <row r="926" ht="14.25" customHeight="1">
      <c r="A926" s="21"/>
      <c r="B926" s="22"/>
      <c r="C926" s="22"/>
    </row>
    <row r="927" ht="14.25" customHeight="1">
      <c r="A927" s="21"/>
      <c r="B927" s="22"/>
      <c r="C927" s="22"/>
    </row>
    <row r="928" ht="14.25" customHeight="1">
      <c r="A928" s="21"/>
      <c r="B928" s="22"/>
      <c r="C928" s="22"/>
    </row>
    <row r="929" ht="14.25" customHeight="1">
      <c r="A929" s="21"/>
      <c r="B929" s="22"/>
      <c r="C929" s="22"/>
    </row>
    <row r="930" ht="14.25" customHeight="1">
      <c r="A930" s="21"/>
      <c r="B930" s="22"/>
      <c r="C930" s="22"/>
    </row>
    <row r="931" ht="14.25" customHeight="1">
      <c r="A931" s="21"/>
      <c r="B931" s="22"/>
      <c r="C931" s="22"/>
    </row>
    <row r="932" ht="14.25" customHeight="1">
      <c r="A932" s="21"/>
      <c r="B932" s="22"/>
      <c r="C932" s="22"/>
    </row>
    <row r="933" ht="14.25" customHeight="1">
      <c r="A933" s="21"/>
      <c r="B933" s="22"/>
      <c r="C933" s="22"/>
    </row>
    <row r="934" ht="14.25" customHeight="1">
      <c r="A934" s="21"/>
      <c r="B934" s="22"/>
      <c r="C934" s="22"/>
    </row>
    <row r="935" ht="14.25" customHeight="1">
      <c r="A935" s="21"/>
      <c r="B935" s="22"/>
      <c r="C935" s="22"/>
    </row>
    <row r="936" ht="14.25" customHeight="1">
      <c r="A936" s="21"/>
      <c r="B936" s="22"/>
      <c r="C936" s="22"/>
    </row>
    <row r="937" ht="14.25" customHeight="1">
      <c r="A937" s="21"/>
      <c r="B937" s="22"/>
      <c r="C937" s="22"/>
    </row>
    <row r="938" ht="14.25" customHeight="1">
      <c r="A938" s="21"/>
      <c r="B938" s="22"/>
      <c r="C938" s="22"/>
    </row>
    <row r="939" ht="14.25" customHeight="1">
      <c r="A939" s="21"/>
      <c r="B939" s="22"/>
      <c r="C939" s="22"/>
    </row>
    <row r="940" ht="14.25" customHeight="1">
      <c r="A940" s="21"/>
      <c r="B940" s="22"/>
      <c r="C940" s="22"/>
    </row>
    <row r="941" ht="14.25" customHeight="1">
      <c r="A941" s="21"/>
      <c r="B941" s="22"/>
      <c r="C941" s="22"/>
    </row>
    <row r="942" ht="14.25" customHeight="1">
      <c r="A942" s="21"/>
      <c r="B942" s="22"/>
      <c r="C942" s="22"/>
    </row>
    <row r="943" ht="14.25" customHeight="1">
      <c r="A943" s="21"/>
      <c r="B943" s="22"/>
      <c r="C943" s="22"/>
    </row>
    <row r="944" ht="14.25" customHeight="1">
      <c r="A944" s="21"/>
      <c r="B944" s="22"/>
      <c r="C944" s="22"/>
    </row>
    <row r="945" ht="14.25" customHeight="1">
      <c r="A945" s="21"/>
      <c r="B945" s="22"/>
      <c r="C945" s="22"/>
    </row>
    <row r="946" ht="14.25" customHeight="1">
      <c r="A946" s="21"/>
      <c r="B946" s="22"/>
      <c r="C946" s="22"/>
    </row>
    <row r="947" ht="14.25" customHeight="1">
      <c r="A947" s="21"/>
      <c r="B947" s="22"/>
      <c r="C947" s="22"/>
    </row>
    <row r="948" ht="14.25" customHeight="1">
      <c r="A948" s="21"/>
      <c r="B948" s="22"/>
      <c r="C948" s="22"/>
    </row>
    <row r="949" ht="14.25" customHeight="1">
      <c r="A949" s="21"/>
      <c r="B949" s="22"/>
      <c r="C949" s="22"/>
    </row>
    <row r="950" ht="14.25" customHeight="1">
      <c r="A950" s="21"/>
      <c r="B950" s="22"/>
      <c r="C950" s="22"/>
    </row>
    <row r="951" ht="14.25" customHeight="1">
      <c r="A951" s="21"/>
      <c r="B951" s="22"/>
      <c r="C951" s="22"/>
    </row>
    <row r="952" ht="14.25" customHeight="1">
      <c r="A952" s="21"/>
      <c r="B952" s="22"/>
      <c r="C952" s="22"/>
    </row>
    <row r="953" ht="14.25" customHeight="1">
      <c r="A953" s="21"/>
      <c r="B953" s="22"/>
      <c r="C953" s="22"/>
    </row>
    <row r="954" ht="14.25" customHeight="1">
      <c r="A954" s="21"/>
      <c r="B954" s="22"/>
      <c r="C954" s="22"/>
    </row>
    <row r="955" ht="14.25" customHeight="1">
      <c r="A955" s="21"/>
      <c r="B955" s="22"/>
      <c r="C955" s="22"/>
    </row>
    <row r="956" ht="14.25" customHeight="1">
      <c r="A956" s="21"/>
      <c r="B956" s="22"/>
      <c r="C956" s="22"/>
    </row>
    <row r="957" ht="14.25" customHeight="1">
      <c r="A957" s="21"/>
      <c r="B957" s="22"/>
      <c r="C957" s="22"/>
    </row>
    <row r="958" ht="14.25" customHeight="1">
      <c r="A958" s="21"/>
      <c r="B958" s="22"/>
      <c r="C958" s="22"/>
    </row>
    <row r="959" ht="14.25" customHeight="1">
      <c r="A959" s="21"/>
      <c r="B959" s="22"/>
      <c r="C959" s="22"/>
    </row>
    <row r="960" ht="14.25" customHeight="1">
      <c r="A960" s="21"/>
      <c r="B960" s="22"/>
      <c r="C960" s="22"/>
    </row>
    <row r="961" ht="14.25" customHeight="1">
      <c r="A961" s="21"/>
      <c r="B961" s="22"/>
      <c r="C961" s="22"/>
    </row>
    <row r="962" ht="14.25" customHeight="1">
      <c r="A962" s="21"/>
      <c r="B962" s="22"/>
      <c r="C962" s="22"/>
    </row>
    <row r="963" ht="14.25" customHeight="1">
      <c r="A963" s="21"/>
      <c r="B963" s="22"/>
      <c r="C963" s="22"/>
    </row>
    <row r="964" ht="14.25" customHeight="1">
      <c r="A964" s="21"/>
      <c r="B964" s="22"/>
      <c r="C964" s="22"/>
    </row>
    <row r="965" ht="14.25" customHeight="1">
      <c r="A965" s="21"/>
      <c r="B965" s="22"/>
      <c r="C965" s="22"/>
    </row>
    <row r="966" ht="14.25" customHeight="1">
      <c r="A966" s="21"/>
      <c r="B966" s="22"/>
      <c r="C966" s="22"/>
    </row>
    <row r="967" ht="14.25" customHeight="1">
      <c r="A967" s="21"/>
      <c r="B967" s="22"/>
      <c r="C967" s="22"/>
    </row>
    <row r="968" ht="14.25" customHeight="1">
      <c r="A968" s="21"/>
      <c r="B968" s="22"/>
      <c r="C968" s="22"/>
    </row>
    <row r="969" ht="14.25" customHeight="1">
      <c r="A969" s="21"/>
      <c r="B969" s="22"/>
      <c r="C969" s="22"/>
    </row>
    <row r="970" ht="14.25" customHeight="1">
      <c r="A970" s="21"/>
      <c r="B970" s="22"/>
      <c r="C970" s="22"/>
    </row>
    <row r="971" ht="14.25" customHeight="1">
      <c r="A971" s="21"/>
      <c r="B971" s="22"/>
      <c r="C971" s="22"/>
    </row>
    <row r="972" ht="14.25" customHeight="1">
      <c r="A972" s="21"/>
      <c r="B972" s="22"/>
      <c r="C972" s="22"/>
    </row>
    <row r="973" ht="14.25" customHeight="1">
      <c r="A973" s="21"/>
      <c r="B973" s="22"/>
      <c r="C973" s="22"/>
    </row>
    <row r="974" ht="14.25" customHeight="1">
      <c r="A974" s="21"/>
      <c r="B974" s="22"/>
      <c r="C974" s="22"/>
    </row>
    <row r="975" ht="14.25" customHeight="1">
      <c r="A975" s="21"/>
      <c r="B975" s="22"/>
      <c r="C975" s="22"/>
    </row>
    <row r="976" ht="14.25" customHeight="1">
      <c r="A976" s="21"/>
      <c r="B976" s="22"/>
      <c r="C976" s="22"/>
    </row>
    <row r="977" ht="14.25" customHeight="1">
      <c r="A977" s="21"/>
      <c r="B977" s="22"/>
      <c r="C977" s="22"/>
    </row>
    <row r="978" ht="14.25" customHeight="1">
      <c r="A978" s="21"/>
      <c r="B978" s="22"/>
      <c r="C978" s="22"/>
    </row>
    <row r="979" ht="14.25" customHeight="1">
      <c r="A979" s="21"/>
      <c r="B979" s="22"/>
      <c r="C979" s="22"/>
    </row>
    <row r="980" ht="14.25" customHeight="1">
      <c r="A980" s="21"/>
      <c r="B980" s="22"/>
      <c r="C980" s="22"/>
    </row>
    <row r="981" ht="14.25" customHeight="1">
      <c r="A981" s="21"/>
      <c r="B981" s="22"/>
      <c r="C981" s="22"/>
    </row>
    <row r="982" ht="14.25" customHeight="1">
      <c r="A982" s="21"/>
      <c r="B982" s="22"/>
      <c r="C982" s="22"/>
    </row>
    <row r="983" ht="14.25" customHeight="1">
      <c r="A983" s="21"/>
      <c r="B983" s="22"/>
      <c r="C983" s="22"/>
    </row>
    <row r="984" ht="14.25" customHeight="1">
      <c r="A984" s="21"/>
      <c r="B984" s="22"/>
      <c r="C984" s="22"/>
    </row>
    <row r="985" ht="14.25" customHeight="1">
      <c r="A985" s="21"/>
      <c r="B985" s="22"/>
      <c r="C985" s="22"/>
    </row>
    <row r="986" ht="14.25" customHeight="1">
      <c r="A986" s="21"/>
      <c r="B986" s="22"/>
      <c r="C986" s="22"/>
    </row>
    <row r="987" ht="14.25" customHeight="1">
      <c r="A987" s="21"/>
      <c r="B987" s="22"/>
      <c r="C987" s="22"/>
    </row>
    <row r="988" ht="14.25" customHeight="1">
      <c r="A988" s="21"/>
      <c r="B988" s="22"/>
      <c r="C988" s="22"/>
    </row>
    <row r="989" ht="14.25" customHeight="1">
      <c r="A989" s="21"/>
      <c r="B989" s="22"/>
      <c r="C989" s="22"/>
    </row>
    <row r="990" ht="14.25" customHeight="1">
      <c r="A990" s="21"/>
      <c r="B990" s="22"/>
      <c r="C990" s="22"/>
    </row>
    <row r="991" ht="14.25" customHeight="1">
      <c r="A991" s="21"/>
      <c r="B991" s="22"/>
      <c r="C991" s="22"/>
    </row>
    <row r="992" ht="14.25" customHeight="1">
      <c r="A992" s="21"/>
      <c r="B992" s="22"/>
      <c r="C992" s="22"/>
    </row>
    <row r="993" ht="14.25" customHeight="1">
      <c r="A993" s="21"/>
      <c r="B993" s="22"/>
      <c r="C993" s="22"/>
    </row>
    <row r="994" ht="14.25" customHeight="1">
      <c r="A994" s="21"/>
      <c r="B994" s="22"/>
      <c r="C994" s="22"/>
    </row>
    <row r="995" ht="14.25" customHeight="1">
      <c r="A995" s="21"/>
      <c r="B995" s="22"/>
      <c r="C995" s="22"/>
    </row>
    <row r="996" ht="14.25" customHeight="1">
      <c r="A996" s="21"/>
      <c r="B996" s="22"/>
      <c r="C996" s="22"/>
    </row>
    <row r="997" ht="14.25" customHeight="1">
      <c r="A997" s="21"/>
      <c r="B997" s="22"/>
      <c r="C997" s="22"/>
    </row>
    <row r="998" ht="14.25" customHeight="1">
      <c r="A998" s="21"/>
      <c r="B998" s="22"/>
      <c r="C998" s="22"/>
    </row>
    <row r="999" ht="14.25" customHeight="1">
      <c r="A999" s="21"/>
      <c r="B999" s="22"/>
      <c r="C999" s="22"/>
    </row>
    <row r="1000" ht="14.25" customHeight="1">
      <c r="A1000" s="21"/>
      <c r="B1000" s="22"/>
      <c r="C1000" s="22"/>
    </row>
  </sheetData>
  <mergeCells count="18">
    <mergeCell ref="T1:W1"/>
    <mergeCell ref="AC1:AD1"/>
    <mergeCell ref="AF1:AG1"/>
    <mergeCell ref="AJ1:AK1"/>
    <mergeCell ref="AQ1:AR1"/>
    <mergeCell ref="B2:C2"/>
    <mergeCell ref="A3:C3"/>
    <mergeCell ref="B54:B55"/>
    <mergeCell ref="A66:C70"/>
    <mergeCell ref="A74:C75"/>
    <mergeCell ref="A78:C80"/>
    <mergeCell ref="A1:A2"/>
    <mergeCell ref="B1:C1"/>
    <mergeCell ref="D1:F1"/>
    <mergeCell ref="G1:H1"/>
    <mergeCell ref="I1:K1"/>
    <mergeCell ref="L1:M1"/>
    <mergeCell ref="N1:P1"/>
  </mergeCells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5.86"/>
    <col customWidth="1" min="2" max="2" width="11.0"/>
    <col customWidth="1" min="3" max="3" width="9.14"/>
    <col customWidth="1" min="4" max="26" width="8.71"/>
  </cols>
  <sheetData>
    <row r="1" ht="14.25" customHeight="1">
      <c r="A1" s="1"/>
      <c r="B1" s="2" t="s">
        <v>0</v>
      </c>
      <c r="D1" s="3" t="s">
        <v>525</v>
      </c>
      <c r="E1" s="3" t="s">
        <v>526</v>
      </c>
      <c r="H1" s="3" t="s">
        <v>527</v>
      </c>
      <c r="L1" s="3" t="s">
        <v>528</v>
      </c>
      <c r="M1" s="3" t="s">
        <v>529</v>
      </c>
    </row>
    <row r="2" ht="14.25" customHeight="1">
      <c r="A2" s="4"/>
      <c r="B2" s="5" t="s">
        <v>44</v>
      </c>
      <c r="C2" s="4"/>
      <c r="D2" s="23" t="s">
        <v>530</v>
      </c>
      <c r="E2" s="23" t="s">
        <v>509</v>
      </c>
      <c r="F2" s="23" t="s">
        <v>531</v>
      </c>
      <c r="G2" s="23" t="s">
        <v>532</v>
      </c>
      <c r="H2" s="23" t="s">
        <v>533</v>
      </c>
      <c r="I2" s="23" t="s">
        <v>534</v>
      </c>
      <c r="J2" s="23" t="s">
        <v>535</v>
      </c>
      <c r="K2" s="70" t="s">
        <v>536</v>
      </c>
      <c r="L2" s="23" t="s">
        <v>537</v>
      </c>
    </row>
    <row r="3" ht="14.25" customHeight="1">
      <c r="A3" s="15" t="s">
        <v>88</v>
      </c>
      <c r="B3" s="16"/>
      <c r="C3" s="17"/>
      <c r="D3" s="18"/>
      <c r="E3" s="18"/>
      <c r="F3" s="18"/>
      <c r="G3" s="18"/>
      <c r="H3" s="18"/>
      <c r="I3" s="18"/>
      <c r="J3" s="18"/>
      <c r="K3" s="18"/>
      <c r="L3" s="18"/>
      <c r="M3" s="18"/>
    </row>
    <row r="4" ht="14.25" customHeight="1">
      <c r="A4" s="19" t="s">
        <v>89</v>
      </c>
      <c r="B4" s="20" t="s">
        <v>90</v>
      </c>
      <c r="C4" s="20" t="s">
        <v>91</v>
      </c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</row>
    <row r="5" ht="14.25" customHeight="1">
      <c r="A5" s="21" t="s">
        <v>92</v>
      </c>
      <c r="B5" s="22" t="s">
        <v>93</v>
      </c>
      <c r="C5" s="22"/>
      <c r="D5" s="23">
        <v>0.2</v>
      </c>
      <c r="E5" s="23">
        <v>0.02</v>
      </c>
      <c r="F5" s="23">
        <v>1.34</v>
      </c>
      <c r="G5" s="23">
        <v>8.0</v>
      </c>
      <c r="H5" s="23">
        <v>94.78</v>
      </c>
      <c r="I5" s="23">
        <v>93.81</v>
      </c>
      <c r="J5" s="23">
        <v>94.47</v>
      </c>
      <c r="K5" s="23">
        <v>76.45</v>
      </c>
      <c r="L5" s="23">
        <v>69.0</v>
      </c>
      <c r="M5" s="23">
        <v>40.9</v>
      </c>
    </row>
    <row r="6" ht="14.25" customHeight="1">
      <c r="A6" s="21" t="s">
        <v>94</v>
      </c>
      <c r="B6" s="22" t="s">
        <v>95</v>
      </c>
      <c r="C6" s="22"/>
      <c r="D6" s="23">
        <v>0.0</v>
      </c>
      <c r="E6" s="23">
        <v>387.0</v>
      </c>
      <c r="F6" s="23">
        <v>380.0</v>
      </c>
      <c r="G6" s="23">
        <v>354.0</v>
      </c>
      <c r="H6" s="23">
        <v>18.0</v>
      </c>
      <c r="I6" s="23">
        <v>21.0</v>
      </c>
      <c r="J6" s="23">
        <v>19.0</v>
      </c>
      <c r="K6" s="23">
        <v>88.0</v>
      </c>
      <c r="L6" s="23">
        <v>105.0</v>
      </c>
      <c r="M6" s="23">
        <v>185.0</v>
      </c>
    </row>
    <row r="7" ht="14.25" customHeight="1">
      <c r="A7" s="21" t="s">
        <v>96</v>
      </c>
      <c r="B7" s="22" t="s">
        <v>97</v>
      </c>
      <c r="C7" s="22" t="s">
        <v>98</v>
      </c>
      <c r="D7" s="23">
        <v>0.0</v>
      </c>
      <c r="E7" s="23">
        <v>0.0</v>
      </c>
      <c r="F7" s="23">
        <v>0.12</v>
      </c>
      <c r="G7" s="23">
        <v>0.1</v>
      </c>
      <c r="H7" s="23">
        <v>0.0</v>
      </c>
      <c r="I7" s="23">
        <v>0.0</v>
      </c>
      <c r="J7" s="23">
        <v>0.04</v>
      </c>
      <c r="K7" s="23">
        <v>0.49</v>
      </c>
      <c r="L7" s="23">
        <v>8.4</v>
      </c>
      <c r="M7" s="47">
        <v>23.88</v>
      </c>
    </row>
    <row r="8" ht="14.25" customHeight="1">
      <c r="A8" s="21" t="s">
        <v>99</v>
      </c>
      <c r="B8" s="22" t="s">
        <v>100</v>
      </c>
      <c r="C8" s="22"/>
      <c r="D8" s="23">
        <v>0.0</v>
      </c>
      <c r="E8" s="23">
        <v>0.0</v>
      </c>
      <c r="F8" s="23">
        <v>0.0</v>
      </c>
      <c r="G8" s="23">
        <v>0.2</v>
      </c>
      <c r="H8" s="23">
        <v>0.0</v>
      </c>
      <c r="I8" s="23">
        <v>0.0</v>
      </c>
      <c r="J8" s="23">
        <v>0.0</v>
      </c>
      <c r="K8" s="23">
        <v>0.0</v>
      </c>
      <c r="L8" s="23">
        <v>1.9</v>
      </c>
      <c r="M8" s="23">
        <v>0.9</v>
      </c>
    </row>
    <row r="9" ht="14.25" customHeight="1">
      <c r="A9" s="21" t="s">
        <v>101</v>
      </c>
      <c r="B9" s="22" t="s">
        <v>102</v>
      </c>
      <c r="C9" s="22"/>
      <c r="D9" s="23">
        <v>0.0</v>
      </c>
      <c r="E9" s="23">
        <v>99.98</v>
      </c>
      <c r="F9" s="23">
        <v>98.09</v>
      </c>
      <c r="G9" s="23">
        <v>90.9</v>
      </c>
      <c r="H9" s="23">
        <v>0.04</v>
      </c>
      <c r="I9" s="23">
        <v>0.93</v>
      </c>
      <c r="J9" s="23">
        <v>0.27</v>
      </c>
      <c r="K9" s="23">
        <v>17.03</v>
      </c>
      <c r="L9" s="23">
        <v>18.1</v>
      </c>
      <c r="M9" s="23">
        <v>20.42</v>
      </c>
    </row>
    <row r="10" ht="14.25" customHeight="1">
      <c r="A10" s="21" t="s">
        <v>103</v>
      </c>
      <c r="B10" s="22" t="s">
        <v>104</v>
      </c>
      <c r="C10" s="22"/>
      <c r="D10" s="23">
        <v>0.0</v>
      </c>
      <c r="E10" s="23">
        <v>0.0</v>
      </c>
      <c r="F10" s="23">
        <v>0.0</v>
      </c>
      <c r="G10" s="23">
        <v>0.0</v>
      </c>
      <c r="H10" s="23">
        <v>0.0</v>
      </c>
      <c r="I10" s="23">
        <v>0.0</v>
      </c>
      <c r="J10" s="23">
        <v>0.0</v>
      </c>
      <c r="K10" s="23">
        <v>0.0</v>
      </c>
      <c r="L10" s="23">
        <v>8.1</v>
      </c>
      <c r="M10" s="23">
        <v>6.5</v>
      </c>
    </row>
    <row r="11" ht="14.25" customHeight="1">
      <c r="A11" s="21" t="s">
        <v>105</v>
      </c>
      <c r="B11" s="22"/>
      <c r="C11" s="22"/>
      <c r="D11" s="23">
        <v>0.0</v>
      </c>
      <c r="E11" s="23">
        <v>99.8</v>
      </c>
      <c r="F11" s="23">
        <v>97.02</v>
      </c>
      <c r="G11" s="23">
        <v>84.87</v>
      </c>
      <c r="H11" s="23">
        <v>0.04</v>
      </c>
      <c r="I11" s="23">
        <v>0.4</v>
      </c>
      <c r="J11" s="23">
        <v>0.0</v>
      </c>
      <c r="K11" s="23">
        <v>14.95</v>
      </c>
      <c r="L11" s="23">
        <v>0.0</v>
      </c>
      <c r="M11" s="23">
        <v>1.6</v>
      </c>
    </row>
    <row r="12" ht="14.25" customHeight="1">
      <c r="A12" s="19" t="s">
        <v>106</v>
      </c>
      <c r="B12" s="27"/>
      <c r="C12" s="27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</row>
    <row r="13" ht="14.25" customHeight="1">
      <c r="A13" s="21" t="s">
        <v>107</v>
      </c>
      <c r="B13" s="22">
        <v>1000.0</v>
      </c>
      <c r="C13" s="22">
        <v>2500.0</v>
      </c>
      <c r="D13" s="23">
        <v>24.0</v>
      </c>
      <c r="E13" s="23">
        <v>1.0</v>
      </c>
      <c r="F13" s="24">
        <v>83.0</v>
      </c>
      <c r="G13" s="24">
        <v>90.0</v>
      </c>
      <c r="H13" s="23">
        <v>6.0</v>
      </c>
      <c r="I13" s="23">
        <v>7.0</v>
      </c>
      <c r="J13" s="23">
        <v>6.0</v>
      </c>
      <c r="K13" s="23">
        <v>27.0</v>
      </c>
      <c r="L13" s="23">
        <v>19.0</v>
      </c>
      <c r="M13" s="23">
        <v>67.0</v>
      </c>
    </row>
    <row r="14" ht="14.25" customHeight="1">
      <c r="A14" s="21" t="s">
        <v>108</v>
      </c>
      <c r="B14" s="22" t="s">
        <v>109</v>
      </c>
      <c r="C14" s="22" t="s">
        <v>110</v>
      </c>
      <c r="D14" s="23">
        <v>0.33</v>
      </c>
      <c r="E14" s="23">
        <v>0.05</v>
      </c>
      <c r="F14" s="23">
        <v>0.71</v>
      </c>
      <c r="G14" s="24">
        <v>1.61</v>
      </c>
      <c r="H14" s="23">
        <v>0.03</v>
      </c>
      <c r="I14" s="23">
        <v>0.2</v>
      </c>
      <c r="J14" s="23">
        <v>0.45</v>
      </c>
      <c r="K14" s="23">
        <v>0.72</v>
      </c>
      <c r="L14" s="23">
        <v>3.25</v>
      </c>
      <c r="M14" s="23">
        <v>4.04</v>
      </c>
    </row>
    <row r="15" ht="14.25" customHeight="1">
      <c r="A15" s="21" t="s">
        <v>111</v>
      </c>
      <c r="B15" s="22" t="s">
        <v>112</v>
      </c>
      <c r="C15" s="22">
        <v>350.0</v>
      </c>
      <c r="D15" s="23">
        <v>1.0</v>
      </c>
      <c r="E15" s="23">
        <v>0.0</v>
      </c>
      <c r="F15" s="23">
        <v>9.0</v>
      </c>
      <c r="G15" s="23">
        <v>19.0</v>
      </c>
      <c r="H15" s="23">
        <v>1.0</v>
      </c>
      <c r="I15" s="23">
        <v>5.0</v>
      </c>
      <c r="J15" s="23">
        <v>4.0</v>
      </c>
      <c r="K15" s="23">
        <v>12.0</v>
      </c>
      <c r="L15" s="23">
        <v>40.0</v>
      </c>
      <c r="M15" s="47">
        <v>180.0</v>
      </c>
    </row>
    <row r="16" ht="14.25" customHeight="1">
      <c r="A16" s="21" t="s">
        <v>113</v>
      </c>
      <c r="B16" s="22" t="s">
        <v>114</v>
      </c>
      <c r="C16" s="22">
        <v>4000.0</v>
      </c>
      <c r="D16" s="23">
        <v>0.0</v>
      </c>
      <c r="E16" s="23">
        <v>0.0</v>
      </c>
      <c r="F16" s="23">
        <v>4.0</v>
      </c>
      <c r="G16" s="23">
        <v>3.0</v>
      </c>
      <c r="H16" s="23">
        <v>4.0</v>
      </c>
      <c r="I16" s="23">
        <v>8.0</v>
      </c>
      <c r="J16" s="23">
        <v>8.0</v>
      </c>
      <c r="K16" s="23">
        <v>19.0</v>
      </c>
      <c r="L16" s="47">
        <v>336.0</v>
      </c>
      <c r="M16" s="23">
        <v>104.0</v>
      </c>
    </row>
    <row r="17" ht="14.25" customHeight="1">
      <c r="A17" s="21" t="s">
        <v>115</v>
      </c>
      <c r="B17" s="22" t="s">
        <v>116</v>
      </c>
      <c r="C17" s="22" t="s">
        <v>100</v>
      </c>
      <c r="D17" s="23">
        <v>8.0</v>
      </c>
      <c r="E17" s="23">
        <v>2.0</v>
      </c>
      <c r="F17" s="23">
        <v>133.0</v>
      </c>
      <c r="G17" s="23">
        <v>274.0</v>
      </c>
      <c r="H17" s="23">
        <v>2.0</v>
      </c>
      <c r="I17" s="23">
        <v>73.0</v>
      </c>
      <c r="J17" s="23">
        <v>39.0</v>
      </c>
      <c r="K17" s="23">
        <v>112.0</v>
      </c>
      <c r="L17" s="23">
        <v>601.0</v>
      </c>
      <c r="M17" s="47">
        <v>2100.0</v>
      </c>
    </row>
    <row r="18" ht="14.25" customHeight="1">
      <c r="A18" s="21" t="s">
        <v>117</v>
      </c>
      <c r="B18" s="22" t="s">
        <v>118</v>
      </c>
      <c r="C18" s="22">
        <v>2300.0</v>
      </c>
      <c r="D18" s="71">
        <v>38758.0</v>
      </c>
      <c r="E18" s="23">
        <v>1.0</v>
      </c>
      <c r="F18" s="23">
        <v>28.0</v>
      </c>
      <c r="G18" s="23">
        <v>11.0</v>
      </c>
      <c r="H18" s="23">
        <v>2.0</v>
      </c>
      <c r="I18" s="23">
        <v>5.0</v>
      </c>
      <c r="J18" s="23">
        <v>8.0</v>
      </c>
      <c r="K18" s="23">
        <v>23.0</v>
      </c>
      <c r="L18" s="23">
        <v>30.0</v>
      </c>
      <c r="M18" s="51">
        <v>2962.0</v>
      </c>
    </row>
    <row r="19" ht="14.25" customHeight="1">
      <c r="A19" s="21" t="s">
        <v>119</v>
      </c>
      <c r="B19" s="22" t="s">
        <v>120</v>
      </c>
      <c r="C19" s="22">
        <v>40.0</v>
      </c>
      <c r="D19" s="23">
        <v>0.1</v>
      </c>
      <c r="E19" s="23">
        <v>0.01</v>
      </c>
      <c r="F19" s="23">
        <v>0.03</v>
      </c>
      <c r="G19" s="25">
        <v>6.06</v>
      </c>
      <c r="H19" s="23">
        <v>0.01</v>
      </c>
      <c r="I19" s="23">
        <v>0.04</v>
      </c>
      <c r="J19" s="23">
        <v>0.03</v>
      </c>
      <c r="K19" s="23">
        <v>0.08</v>
      </c>
      <c r="L19" s="26">
        <v>9.97</v>
      </c>
      <c r="M19" s="47">
        <v>4.19</v>
      </c>
    </row>
    <row r="20" ht="14.25" customHeight="1">
      <c r="A20" s="21" t="s">
        <v>121</v>
      </c>
      <c r="B20" s="22" t="s">
        <v>122</v>
      </c>
      <c r="C20" s="22">
        <v>10.0</v>
      </c>
      <c r="D20" s="23">
        <v>0.03</v>
      </c>
      <c r="E20" s="23">
        <v>0.007</v>
      </c>
      <c r="F20" s="23">
        <v>0.047</v>
      </c>
      <c r="G20" s="23">
        <v>0.099</v>
      </c>
      <c r="H20" s="23">
        <v>0.006</v>
      </c>
      <c r="I20" s="23">
        <v>0.008</v>
      </c>
      <c r="J20" s="23">
        <v>0.01</v>
      </c>
      <c r="K20" s="23">
        <v>0.026</v>
      </c>
      <c r="L20" s="23">
        <v>0.148</v>
      </c>
      <c r="M20" s="23">
        <v>0.245</v>
      </c>
    </row>
    <row r="21" ht="14.25" customHeight="1">
      <c r="A21" s="21" t="s">
        <v>123</v>
      </c>
      <c r="B21" s="22" t="s">
        <v>124</v>
      </c>
      <c r="C21" s="22">
        <v>11.0</v>
      </c>
      <c r="D21" s="23">
        <v>0.1</v>
      </c>
      <c r="E21" s="23">
        <v>0.004</v>
      </c>
      <c r="F21" s="23">
        <v>0.064</v>
      </c>
      <c r="G21" s="26">
        <v>4.422</v>
      </c>
      <c r="H21" s="23">
        <v>0.055</v>
      </c>
      <c r="I21" s="24">
        <v>0.249</v>
      </c>
      <c r="J21" s="23">
        <v>0.046</v>
      </c>
      <c r="K21" s="23">
        <v>0.131</v>
      </c>
      <c r="L21" s="23">
        <v>0.2</v>
      </c>
      <c r="M21" s="23">
        <v>0.261</v>
      </c>
    </row>
    <row r="22" ht="14.25" customHeight="1">
      <c r="A22" s="21" t="s">
        <v>125</v>
      </c>
      <c r="B22" s="22" t="s">
        <v>126</v>
      </c>
      <c r="C22" s="22">
        <v>400.0</v>
      </c>
      <c r="D22" s="23">
        <v>0.1</v>
      </c>
      <c r="E22" s="23">
        <v>0.6</v>
      </c>
      <c r="F22" s="23">
        <v>1.2</v>
      </c>
      <c r="G22" s="23">
        <v>0.8</v>
      </c>
      <c r="H22" s="23">
        <v>0.5</v>
      </c>
      <c r="I22" s="23">
        <v>0.1</v>
      </c>
      <c r="L22" s="23">
        <v>8.1</v>
      </c>
      <c r="M22" s="47">
        <v>27.6</v>
      </c>
    </row>
    <row r="23" ht="14.25" customHeight="1">
      <c r="A23" s="21" t="s">
        <v>127</v>
      </c>
      <c r="B23" s="22" t="s">
        <v>128</v>
      </c>
      <c r="C23" s="22" t="s">
        <v>129</v>
      </c>
      <c r="D23" s="23">
        <v>2.0</v>
      </c>
      <c r="E23" s="23">
        <v>0.0</v>
      </c>
    </row>
    <row r="24" ht="14.25" customHeight="1">
      <c r="A24" s="19" t="s">
        <v>130</v>
      </c>
      <c r="B24" s="27"/>
      <c r="C24" s="27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 ht="14.25" customHeight="1">
      <c r="A25" s="21" t="s">
        <v>131</v>
      </c>
      <c r="B25" s="22">
        <v>90.0</v>
      </c>
      <c r="C25" s="22">
        <v>2000.0</v>
      </c>
      <c r="D25" s="23">
        <v>0.0</v>
      </c>
      <c r="E25" s="23">
        <v>0.0</v>
      </c>
      <c r="F25" s="23">
        <v>0.0</v>
      </c>
      <c r="G25" s="23">
        <v>0.0</v>
      </c>
      <c r="H25" s="23">
        <v>0.0</v>
      </c>
      <c r="I25" s="23">
        <v>0.0</v>
      </c>
      <c r="J25" s="23">
        <v>0.5</v>
      </c>
      <c r="K25" s="23">
        <v>0.0</v>
      </c>
      <c r="L25" s="23">
        <v>0.1</v>
      </c>
      <c r="M25" s="23">
        <v>0.0</v>
      </c>
    </row>
    <row r="26" ht="14.25" customHeight="1">
      <c r="A26" s="21" t="s">
        <v>132</v>
      </c>
      <c r="B26" s="22" t="s">
        <v>133</v>
      </c>
      <c r="C26" s="22" t="s">
        <v>100</v>
      </c>
      <c r="D26" s="23">
        <v>0.0</v>
      </c>
      <c r="E26" s="23">
        <v>0.0</v>
      </c>
      <c r="F26" s="23">
        <v>0.0</v>
      </c>
      <c r="G26" s="23">
        <v>0.009</v>
      </c>
      <c r="H26" s="23">
        <v>0.0</v>
      </c>
      <c r="I26" s="23">
        <v>0.0</v>
      </c>
      <c r="J26" s="23">
        <v>0.0</v>
      </c>
      <c r="K26" s="23">
        <v>0.0</v>
      </c>
      <c r="L26" s="26">
        <v>1.88</v>
      </c>
      <c r="M26" s="26">
        <v>23.375</v>
      </c>
    </row>
    <row r="27" ht="14.25" customHeight="1">
      <c r="A27" s="21" t="s">
        <v>134</v>
      </c>
      <c r="B27" s="22" t="s">
        <v>135</v>
      </c>
      <c r="C27" s="22" t="s">
        <v>100</v>
      </c>
      <c r="D27" s="23">
        <v>0.0</v>
      </c>
      <c r="E27" s="23">
        <v>0.019</v>
      </c>
      <c r="F27" s="23">
        <v>0.0</v>
      </c>
      <c r="G27" s="23">
        <v>0.013</v>
      </c>
      <c r="H27" s="23">
        <v>0.0</v>
      </c>
      <c r="I27" s="23">
        <v>0.0</v>
      </c>
      <c r="J27" s="23">
        <v>0.0</v>
      </c>
      <c r="K27" s="23">
        <v>0.0</v>
      </c>
      <c r="L27" s="72">
        <v>1.13</v>
      </c>
      <c r="M27" s="26">
        <v>17.5</v>
      </c>
    </row>
    <row r="28" ht="14.25" customHeight="1">
      <c r="A28" s="21" t="s">
        <v>136</v>
      </c>
      <c r="B28" s="22" t="s">
        <v>137</v>
      </c>
      <c r="C28" s="22" t="s">
        <v>138</v>
      </c>
      <c r="D28" s="23">
        <v>0.0</v>
      </c>
      <c r="E28" s="23">
        <v>0.0</v>
      </c>
      <c r="F28" s="23">
        <v>0.11</v>
      </c>
      <c r="G28" s="23">
        <v>0.04</v>
      </c>
      <c r="H28" s="23">
        <v>0.0</v>
      </c>
      <c r="I28" s="23">
        <v>0.0</v>
      </c>
      <c r="J28" s="23">
        <v>0.0</v>
      </c>
      <c r="K28" s="23">
        <v>0.0</v>
      </c>
      <c r="L28" s="72">
        <v>12.3</v>
      </c>
      <c r="M28" s="51">
        <v>127.5</v>
      </c>
    </row>
    <row r="29" ht="14.25" customHeight="1">
      <c r="A29" s="21" t="s">
        <v>139</v>
      </c>
      <c r="B29" s="22">
        <v>1.3</v>
      </c>
      <c r="C29" s="22" t="s">
        <v>140</v>
      </c>
      <c r="D29" s="23">
        <v>0.0</v>
      </c>
      <c r="E29" s="23">
        <v>0.0</v>
      </c>
      <c r="F29" s="23">
        <v>0.041</v>
      </c>
      <c r="G29" s="23">
        <v>0.003</v>
      </c>
      <c r="H29" s="23">
        <v>0.0</v>
      </c>
      <c r="I29" s="23">
        <v>0.0</v>
      </c>
      <c r="J29" s="23">
        <v>0.0</v>
      </c>
      <c r="K29" s="23">
        <v>0.0</v>
      </c>
      <c r="L29" s="23">
        <v>0.43</v>
      </c>
      <c r="M29" s="23">
        <v>0.0</v>
      </c>
    </row>
    <row r="30" ht="14.25" customHeight="1">
      <c r="A30" s="23" t="s">
        <v>141</v>
      </c>
      <c r="B30" s="22" t="s">
        <v>142</v>
      </c>
      <c r="C30" s="22">
        <v>1000.0</v>
      </c>
      <c r="D30" s="23">
        <v>0.0</v>
      </c>
      <c r="E30" s="23">
        <v>0.0</v>
      </c>
      <c r="F30" s="23">
        <v>1.0</v>
      </c>
      <c r="G30" s="23">
        <v>0.0</v>
      </c>
      <c r="H30" s="23">
        <v>0.0</v>
      </c>
      <c r="I30" s="23">
        <v>0.0</v>
      </c>
      <c r="J30" s="23">
        <v>0.0</v>
      </c>
      <c r="K30" s="23">
        <v>0.0</v>
      </c>
      <c r="L30" s="26">
        <v>785.0</v>
      </c>
      <c r="M30" s="51">
        <v>5881.0</v>
      </c>
    </row>
    <row r="31" ht="14.25" customHeight="1">
      <c r="A31" s="21" t="s">
        <v>143</v>
      </c>
      <c r="B31" s="22" t="s">
        <v>144</v>
      </c>
      <c r="C31" s="22" t="s">
        <v>100</v>
      </c>
      <c r="D31" s="23">
        <v>0.0</v>
      </c>
      <c r="E31" s="23">
        <v>0.0</v>
      </c>
      <c r="F31" s="23">
        <v>0.0</v>
      </c>
      <c r="G31" s="23">
        <v>0.0</v>
      </c>
      <c r="H31" s="23">
        <v>0.0</v>
      </c>
      <c r="I31" s="23">
        <v>0.0</v>
      </c>
      <c r="J31" s="23">
        <v>0.0</v>
      </c>
      <c r="K31" s="23">
        <v>0.0</v>
      </c>
      <c r="L31" s="23">
        <v>0.01</v>
      </c>
      <c r="M31" s="24">
        <v>0.5</v>
      </c>
    </row>
    <row r="32" ht="14.25" customHeight="1">
      <c r="A32" s="21" t="s">
        <v>145</v>
      </c>
      <c r="B32" s="22">
        <v>900.0</v>
      </c>
      <c r="C32" s="22">
        <v>3000.0</v>
      </c>
      <c r="D32" s="23">
        <v>0.0</v>
      </c>
      <c r="E32" s="23">
        <v>0.0</v>
      </c>
      <c r="F32" s="23">
        <v>0.0</v>
      </c>
      <c r="G32" s="23">
        <v>0.0</v>
      </c>
      <c r="H32" s="23">
        <v>0.0</v>
      </c>
      <c r="I32" s="23">
        <v>0.0</v>
      </c>
      <c r="J32" s="23">
        <v>0.0</v>
      </c>
      <c r="K32" s="23">
        <v>0.0</v>
      </c>
      <c r="L32" s="23">
        <v>0.0</v>
      </c>
      <c r="M32" s="23">
        <v>0.0</v>
      </c>
    </row>
    <row r="33" ht="14.25" customHeight="1">
      <c r="A33" s="28" t="s">
        <v>146</v>
      </c>
      <c r="B33" s="29"/>
      <c r="C33" s="29"/>
      <c r="D33" s="28">
        <v>0.0</v>
      </c>
      <c r="E33" s="28">
        <v>0.0</v>
      </c>
      <c r="F33" s="28">
        <v>0.0</v>
      </c>
      <c r="G33" s="28">
        <v>0.0</v>
      </c>
      <c r="H33" s="23">
        <v>0.0</v>
      </c>
      <c r="I33" s="23">
        <v>0.0</v>
      </c>
      <c r="J33" s="23">
        <v>0.0</v>
      </c>
      <c r="K33" s="23">
        <v>0.0</v>
      </c>
      <c r="L33" s="23">
        <v>0.0</v>
      </c>
      <c r="M33" s="23">
        <v>0.0</v>
      </c>
    </row>
    <row r="34" ht="14.25" customHeight="1">
      <c r="A34" s="21" t="s">
        <v>147</v>
      </c>
      <c r="B34" s="22" t="s">
        <v>148</v>
      </c>
      <c r="C34" s="22">
        <v>1000.0</v>
      </c>
      <c r="D34" s="23">
        <v>0.0</v>
      </c>
      <c r="E34" s="23">
        <v>0.0</v>
      </c>
      <c r="F34" s="23">
        <v>0.0</v>
      </c>
      <c r="G34" s="23">
        <v>0.0</v>
      </c>
      <c r="H34" s="23">
        <v>0.0</v>
      </c>
      <c r="I34" s="23">
        <v>0.0</v>
      </c>
      <c r="J34" s="23">
        <v>0.0</v>
      </c>
      <c r="K34" s="23">
        <v>0.0</v>
      </c>
      <c r="L34" s="23">
        <v>0.0</v>
      </c>
      <c r="M34" s="23">
        <v>0.0</v>
      </c>
    </row>
    <row r="35" ht="14.25" customHeight="1">
      <c r="A35" s="21" t="s">
        <v>149</v>
      </c>
      <c r="B35" s="22" t="s">
        <v>150</v>
      </c>
      <c r="C35" s="22">
        <v>100.0</v>
      </c>
      <c r="D35" s="23">
        <v>0.0</v>
      </c>
      <c r="E35" s="23">
        <v>0.0</v>
      </c>
      <c r="F35" s="23">
        <v>0.0</v>
      </c>
      <c r="G35" s="23">
        <v>0.0</v>
      </c>
      <c r="H35" s="23">
        <v>0.0</v>
      </c>
      <c r="I35" s="23">
        <v>0.0</v>
      </c>
      <c r="J35" s="23">
        <v>0.0</v>
      </c>
      <c r="K35" s="23">
        <v>0.0</v>
      </c>
      <c r="L35" s="23">
        <v>0.0</v>
      </c>
      <c r="M35" s="23">
        <v>0.0</v>
      </c>
    </row>
    <row r="36" ht="14.25" customHeight="1">
      <c r="A36" s="28" t="s">
        <v>151</v>
      </c>
      <c r="B36" s="29"/>
      <c r="C36" s="29"/>
      <c r="D36" s="28">
        <v>0.0</v>
      </c>
      <c r="E36" s="28">
        <v>0.0</v>
      </c>
      <c r="F36" s="28">
        <v>0.0</v>
      </c>
      <c r="G36" s="28">
        <v>0.0</v>
      </c>
      <c r="H36" s="23">
        <v>0.0</v>
      </c>
      <c r="I36" s="23">
        <v>0.0</v>
      </c>
      <c r="J36" s="23">
        <v>0.0</v>
      </c>
      <c r="K36" s="23">
        <v>0.0</v>
      </c>
      <c r="L36" s="23">
        <v>0.0</v>
      </c>
      <c r="M36" s="23">
        <v>0.0</v>
      </c>
    </row>
    <row r="37" ht="14.25" customHeight="1">
      <c r="A37" s="21" t="s">
        <v>152</v>
      </c>
      <c r="B37" s="22">
        <v>120.0</v>
      </c>
      <c r="C37" s="22" t="s">
        <v>100</v>
      </c>
      <c r="D37" s="23">
        <v>0.0</v>
      </c>
      <c r="E37" s="23">
        <v>0.0</v>
      </c>
      <c r="F37" s="23">
        <v>0.0</v>
      </c>
      <c r="G37" s="23">
        <v>0.0</v>
      </c>
      <c r="H37" s="23">
        <v>0.0</v>
      </c>
      <c r="I37" s="23">
        <v>0.0</v>
      </c>
      <c r="J37" s="23">
        <v>0.0</v>
      </c>
      <c r="K37" s="23">
        <v>0.0</v>
      </c>
      <c r="L37" s="23">
        <v>0.0</v>
      </c>
      <c r="M37" s="23">
        <v>0.0</v>
      </c>
    </row>
    <row r="38" ht="14.25" customHeight="1">
      <c r="A38" s="21" t="s">
        <v>153</v>
      </c>
      <c r="B38" s="22" t="s">
        <v>154</v>
      </c>
      <c r="C38" s="22" t="s">
        <v>100</v>
      </c>
      <c r="D38" s="23">
        <v>0.0</v>
      </c>
      <c r="E38" s="23">
        <v>0.0</v>
      </c>
      <c r="F38" s="23">
        <v>0.132</v>
      </c>
      <c r="G38" s="23">
        <v>0.048</v>
      </c>
      <c r="H38" s="23">
        <v>0.0</v>
      </c>
      <c r="I38" s="23">
        <v>0.0</v>
      </c>
      <c r="J38" s="23">
        <v>0.0</v>
      </c>
      <c r="K38" s="23">
        <v>0.0</v>
      </c>
      <c r="L38" s="26">
        <v>4.9</v>
      </c>
      <c r="M38" s="50">
        <v>4.6</v>
      </c>
    </row>
    <row r="39" ht="14.25" customHeight="1">
      <c r="A39" s="21" t="s">
        <v>155</v>
      </c>
      <c r="B39" s="22" t="s">
        <v>156</v>
      </c>
      <c r="C39" s="22">
        <v>3500.0</v>
      </c>
      <c r="D39" s="23">
        <v>0.0</v>
      </c>
      <c r="E39" s="23">
        <v>0.0</v>
      </c>
      <c r="F39" s="23">
        <v>2.3</v>
      </c>
      <c r="G39" s="23">
        <v>2.1</v>
      </c>
      <c r="H39" s="23">
        <v>0.0</v>
      </c>
      <c r="I39" s="23">
        <v>0.0</v>
      </c>
      <c r="J39" s="23">
        <v>0.0</v>
      </c>
      <c r="K39" s="23">
        <v>0.0</v>
      </c>
      <c r="L39" s="23">
        <v>32.0</v>
      </c>
      <c r="M39" s="23">
        <v>65.1</v>
      </c>
    </row>
    <row r="40" ht="14.25" customHeight="1">
      <c r="A40" s="21" t="s">
        <v>157</v>
      </c>
      <c r="B40" s="22"/>
      <c r="C40" s="22"/>
      <c r="D40" s="23">
        <v>0.0</v>
      </c>
      <c r="E40" s="23">
        <v>0.0</v>
      </c>
      <c r="F40" s="23">
        <v>0.1</v>
      </c>
    </row>
    <row r="41" ht="14.25" customHeight="1">
      <c r="A41" s="19" t="s">
        <v>158</v>
      </c>
      <c r="B41" s="27"/>
      <c r="C41" s="27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</row>
    <row r="42" ht="14.25" customHeight="1">
      <c r="A42" s="21" t="s">
        <v>159</v>
      </c>
      <c r="B42" s="22" t="s">
        <v>160</v>
      </c>
      <c r="C42" s="22" t="s">
        <v>161</v>
      </c>
      <c r="D42" s="23">
        <v>0.0</v>
      </c>
      <c r="E42" s="23">
        <v>0.0</v>
      </c>
      <c r="F42" s="23">
        <v>0.0</v>
      </c>
      <c r="G42" s="23">
        <v>0.036</v>
      </c>
      <c r="H42" s="23">
        <v>0.0</v>
      </c>
      <c r="I42" s="23">
        <v>0.0</v>
      </c>
      <c r="J42" s="23">
        <v>0.0</v>
      </c>
      <c r="K42" s="23">
        <v>0.0</v>
      </c>
      <c r="L42" s="23">
        <v>0.243</v>
      </c>
      <c r="M42" s="23">
        <v>0.0</v>
      </c>
    </row>
    <row r="43" ht="14.25" customHeight="1">
      <c r="A43" s="21" t="s">
        <v>162</v>
      </c>
      <c r="B43" s="22"/>
      <c r="C43" s="22"/>
      <c r="D43" s="23">
        <v>0.0</v>
      </c>
      <c r="E43" s="23">
        <v>0.0</v>
      </c>
      <c r="F43" s="23">
        <v>0.0</v>
      </c>
      <c r="G43" s="23">
        <v>0.064</v>
      </c>
      <c r="H43" s="23">
        <v>0.0</v>
      </c>
      <c r="I43" s="23">
        <v>0.0</v>
      </c>
      <c r="J43" s="23">
        <v>0.0</v>
      </c>
      <c r="K43" s="23">
        <v>0.0</v>
      </c>
      <c r="L43" s="23">
        <v>1.047</v>
      </c>
      <c r="M43" s="23">
        <v>0.0</v>
      </c>
    </row>
    <row r="44" ht="14.25" customHeight="1">
      <c r="A44" s="21" t="s">
        <v>163</v>
      </c>
      <c r="B44" s="22"/>
      <c r="C44" s="22"/>
      <c r="D44" s="23">
        <v>0.0</v>
      </c>
      <c r="E44" s="23">
        <v>0.0</v>
      </c>
      <c r="F44" s="23">
        <v>0.0</v>
      </c>
      <c r="G44" s="23">
        <v>0.1</v>
      </c>
      <c r="H44" s="23">
        <v>0.0</v>
      </c>
      <c r="I44" s="23">
        <v>0.0</v>
      </c>
      <c r="J44" s="23">
        <v>0.0</v>
      </c>
      <c r="K44" s="23">
        <v>0.0</v>
      </c>
      <c r="L44" s="23">
        <v>0.004</v>
      </c>
      <c r="M44" s="23">
        <v>0.0</v>
      </c>
    </row>
    <row r="45" ht="14.25" customHeight="1">
      <c r="A45" s="21" t="s">
        <v>164</v>
      </c>
      <c r="B45" s="22" t="s">
        <v>160</v>
      </c>
      <c r="C45" s="22" t="s">
        <v>165</v>
      </c>
      <c r="D45" s="23">
        <v>0.0</v>
      </c>
      <c r="E45" s="23">
        <v>0.0</v>
      </c>
      <c r="F45" s="23">
        <v>0.0</v>
      </c>
      <c r="G45" s="23">
        <v>0.0</v>
      </c>
      <c r="H45" s="23">
        <v>0.0</v>
      </c>
      <c r="I45" s="23">
        <v>0.0</v>
      </c>
      <c r="J45" s="23">
        <v>0.0</v>
      </c>
      <c r="K45" s="23">
        <v>0.0</v>
      </c>
      <c r="L45" s="23">
        <v>0.0</v>
      </c>
      <c r="M45" s="23">
        <v>0.0</v>
      </c>
    </row>
    <row r="46" ht="14.25" customHeight="1">
      <c r="A46" s="19" t="s">
        <v>166</v>
      </c>
      <c r="B46" s="30" t="s">
        <v>167</v>
      </c>
      <c r="C46" s="27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</row>
    <row r="47" ht="14.25" customHeight="1">
      <c r="A47" s="31" t="s">
        <v>168</v>
      </c>
      <c r="B47" s="32" t="s">
        <v>169</v>
      </c>
      <c r="C47" s="32"/>
      <c r="D47" s="31">
        <v>0.0</v>
      </c>
      <c r="E47" s="31">
        <v>0.0</v>
      </c>
      <c r="F47" s="31"/>
      <c r="G47" s="31"/>
      <c r="H47" s="31"/>
      <c r="I47" s="31"/>
      <c r="J47" s="31"/>
      <c r="K47" s="31"/>
      <c r="L47" s="31">
        <v>0.106</v>
      </c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ht="14.25" customHeight="1">
      <c r="A48" s="31" t="s">
        <v>170</v>
      </c>
      <c r="B48" s="32" t="s">
        <v>171</v>
      </c>
      <c r="C48" s="32"/>
      <c r="D48" s="31">
        <v>0.0</v>
      </c>
      <c r="E48" s="31">
        <v>0.0</v>
      </c>
      <c r="F48" s="31"/>
      <c r="G48" s="31"/>
      <c r="H48" s="31"/>
      <c r="I48" s="31"/>
      <c r="J48" s="31"/>
      <c r="K48" s="31"/>
      <c r="L48" s="31">
        <v>0.435</v>
      </c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ht="14.25" customHeight="1">
      <c r="A49" s="31" t="s">
        <v>172</v>
      </c>
      <c r="B49" s="32" t="s">
        <v>173</v>
      </c>
      <c r="C49" s="32"/>
      <c r="D49" s="31">
        <v>0.0</v>
      </c>
      <c r="E49" s="31">
        <v>0.0</v>
      </c>
      <c r="F49" s="31"/>
      <c r="G49" s="31"/>
      <c r="H49" s="31"/>
      <c r="I49" s="31"/>
      <c r="J49" s="31"/>
      <c r="K49" s="31"/>
      <c r="L49" s="31">
        <v>0.476</v>
      </c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ht="14.25" customHeight="1">
      <c r="A50" s="31" t="s">
        <v>174</v>
      </c>
      <c r="B50" s="32" t="s">
        <v>175</v>
      </c>
      <c r="C50" s="32"/>
      <c r="D50" s="31">
        <v>0.0</v>
      </c>
      <c r="E50" s="31">
        <v>0.0</v>
      </c>
      <c r="F50" s="31"/>
      <c r="G50" s="31"/>
      <c r="H50" s="31"/>
      <c r="I50" s="31"/>
      <c r="J50" s="31"/>
      <c r="K50" s="31"/>
      <c r="L50" s="31">
        <v>0.668</v>
      </c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ht="14.25" customHeight="1">
      <c r="A51" s="31" t="s">
        <v>176</v>
      </c>
      <c r="B51" s="32" t="s">
        <v>177</v>
      </c>
      <c r="C51" s="32"/>
      <c r="D51" s="31">
        <v>0.0</v>
      </c>
      <c r="E51" s="31">
        <v>0.0</v>
      </c>
      <c r="F51" s="31"/>
      <c r="G51" s="31"/>
      <c r="H51" s="31"/>
      <c r="I51" s="31"/>
      <c r="J51" s="31"/>
      <c r="K51" s="31"/>
      <c r="L51" s="31">
        <v>0.69</v>
      </c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ht="14.25" customHeight="1">
      <c r="A52" s="31" t="s">
        <v>178</v>
      </c>
      <c r="B52" s="32" t="s">
        <v>179</v>
      </c>
      <c r="C52" s="32"/>
      <c r="D52" s="31">
        <v>0.0</v>
      </c>
      <c r="E52" s="31">
        <v>0.0</v>
      </c>
      <c r="F52" s="31"/>
      <c r="G52" s="31"/>
      <c r="H52" s="31"/>
      <c r="I52" s="31"/>
      <c r="J52" s="31"/>
      <c r="K52" s="31"/>
      <c r="L52" s="31">
        <v>0.166</v>
      </c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ht="14.25" customHeight="1">
      <c r="A53" s="21" t="s">
        <v>180</v>
      </c>
      <c r="B53" s="22" t="s">
        <v>181</v>
      </c>
      <c r="C53" s="22"/>
      <c r="D53" s="23">
        <v>0.0</v>
      </c>
      <c r="E53" s="23">
        <v>0.0</v>
      </c>
      <c r="L53" s="23">
        <v>0.112</v>
      </c>
    </row>
    <row r="54" ht="14.25" customHeight="1">
      <c r="A54" s="31" t="s">
        <v>182</v>
      </c>
      <c r="B54" s="33" t="s">
        <v>183</v>
      </c>
      <c r="C54" s="32"/>
      <c r="D54" s="31">
        <v>0.0</v>
      </c>
      <c r="E54" s="31">
        <v>0.0</v>
      </c>
      <c r="F54" s="31"/>
      <c r="G54" s="31"/>
      <c r="H54" s="31"/>
      <c r="I54" s="31"/>
      <c r="J54" s="31"/>
      <c r="K54" s="31"/>
      <c r="L54" s="31">
        <v>0.407</v>
      </c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ht="14.25" customHeight="1">
      <c r="A55" s="21" t="s">
        <v>184</v>
      </c>
      <c r="C55" s="22"/>
      <c r="D55" s="23">
        <v>0.0</v>
      </c>
      <c r="E55" s="23">
        <v>0.0</v>
      </c>
      <c r="L55" s="23">
        <v>0.345</v>
      </c>
    </row>
    <row r="56" ht="14.25" customHeight="1">
      <c r="A56" s="31" t="s">
        <v>185</v>
      </c>
      <c r="B56" s="32" t="s">
        <v>186</v>
      </c>
      <c r="C56" s="32"/>
      <c r="D56" s="31">
        <v>0.0</v>
      </c>
      <c r="E56" s="31">
        <v>0.0</v>
      </c>
      <c r="F56" s="31"/>
      <c r="G56" s="31"/>
      <c r="H56" s="31"/>
      <c r="I56" s="31"/>
      <c r="J56" s="31"/>
      <c r="K56" s="31"/>
      <c r="L56" s="31">
        <v>0.512</v>
      </c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ht="14.25" customHeight="1">
      <c r="A57" s="48" t="s">
        <v>187</v>
      </c>
      <c r="B57" s="73"/>
      <c r="C57" s="73"/>
      <c r="D57" s="48">
        <v>0.0</v>
      </c>
      <c r="E57" s="48">
        <v>0.0</v>
      </c>
      <c r="F57" s="48"/>
      <c r="G57" s="48"/>
      <c r="H57" s="48"/>
      <c r="I57" s="48"/>
      <c r="J57" s="48"/>
      <c r="K57" s="48"/>
      <c r="L57" s="48">
        <v>0.462</v>
      </c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</row>
    <row r="58" ht="14.25" customHeight="1">
      <c r="A58" s="48" t="s">
        <v>188</v>
      </c>
      <c r="B58" s="73" t="s">
        <v>189</v>
      </c>
      <c r="C58" s="73"/>
      <c r="D58" s="48">
        <v>0.0</v>
      </c>
      <c r="E58" s="48">
        <v>0.0</v>
      </c>
      <c r="F58" s="48"/>
      <c r="G58" s="48"/>
      <c r="H58" s="48"/>
      <c r="I58" s="48"/>
      <c r="J58" s="48"/>
      <c r="K58" s="48"/>
      <c r="L58" s="48">
        <v>0.217</v>
      </c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</row>
    <row r="59" ht="14.25" customHeight="1">
      <c r="A59" s="21" t="s">
        <v>190</v>
      </c>
      <c r="B59" s="22"/>
      <c r="C59" s="22"/>
      <c r="D59" s="23">
        <v>0.0</v>
      </c>
      <c r="E59" s="23">
        <v>0.0</v>
      </c>
      <c r="L59" s="23">
        <v>0.553</v>
      </c>
    </row>
    <row r="60" ht="14.25" customHeight="1">
      <c r="A60" s="21" t="s">
        <v>191</v>
      </c>
      <c r="B60" s="22"/>
      <c r="C60" s="22"/>
      <c r="D60" s="23">
        <v>0.0</v>
      </c>
      <c r="E60" s="23">
        <v>0.0</v>
      </c>
      <c r="L60" s="23">
        <v>0.853</v>
      </c>
    </row>
    <row r="61" ht="14.25" customHeight="1">
      <c r="A61" s="21" t="s">
        <v>192</v>
      </c>
      <c r="B61" s="22"/>
      <c r="C61" s="22"/>
      <c r="D61" s="23">
        <v>0.0</v>
      </c>
      <c r="E61" s="23">
        <v>0.0</v>
      </c>
      <c r="L61" s="23">
        <v>1.235</v>
      </c>
    </row>
    <row r="62" ht="14.25" customHeight="1">
      <c r="A62" s="21" t="s">
        <v>193</v>
      </c>
      <c r="B62" s="22"/>
      <c r="C62" s="22"/>
      <c r="D62" s="23">
        <v>0.0</v>
      </c>
      <c r="E62" s="23">
        <v>0.0</v>
      </c>
      <c r="L62" s="23">
        <v>0.407</v>
      </c>
    </row>
    <row r="63" ht="14.25" customHeight="1">
      <c r="A63" s="21" t="s">
        <v>194</v>
      </c>
      <c r="B63" s="22"/>
      <c r="C63" s="22"/>
      <c r="D63" s="23">
        <v>0.0</v>
      </c>
      <c r="E63" s="23">
        <v>0.0</v>
      </c>
      <c r="L63" s="23">
        <v>0.357</v>
      </c>
    </row>
    <row r="64" ht="14.25" customHeight="1">
      <c r="A64" s="21" t="s">
        <v>195</v>
      </c>
      <c r="B64" s="22"/>
      <c r="C64" s="22"/>
      <c r="D64" s="23">
        <v>0.0</v>
      </c>
      <c r="E64" s="23">
        <v>0.0</v>
      </c>
      <c r="L64" s="23">
        <v>0.413</v>
      </c>
    </row>
    <row r="65" ht="14.25" customHeight="1">
      <c r="A65" s="21"/>
      <c r="B65" s="22"/>
      <c r="C65" s="22"/>
    </row>
    <row r="66" ht="14.25" customHeight="1">
      <c r="A66" s="36" t="s">
        <v>196</v>
      </c>
      <c r="B66" s="37"/>
      <c r="C66" s="38"/>
    </row>
    <row r="67" ht="14.25" customHeight="1">
      <c r="A67" s="39"/>
      <c r="C67" s="40"/>
    </row>
    <row r="68" ht="14.25" customHeight="1">
      <c r="A68" s="39"/>
      <c r="C68" s="40"/>
    </row>
    <row r="69" ht="14.25" customHeight="1">
      <c r="A69" s="39"/>
      <c r="C69" s="40"/>
    </row>
    <row r="70" ht="14.25" customHeight="1">
      <c r="A70" s="41"/>
      <c r="B70" s="42"/>
      <c r="C70" s="43"/>
    </row>
    <row r="71" ht="14.25" customHeight="1">
      <c r="A71" s="44" t="s">
        <v>197</v>
      </c>
      <c r="B71" s="21"/>
      <c r="C71" s="21"/>
    </row>
    <row r="72" ht="14.25" customHeight="1">
      <c r="A72" s="44" t="s">
        <v>198</v>
      </c>
      <c r="B72" s="21"/>
      <c r="C72" s="21"/>
    </row>
    <row r="73" ht="14.25" customHeight="1">
      <c r="A73" s="21"/>
      <c r="B73" s="21"/>
      <c r="C73" s="21"/>
    </row>
    <row r="74" ht="15.0" customHeight="1">
      <c r="A74" s="36" t="s">
        <v>199</v>
      </c>
      <c r="B74" s="37"/>
      <c r="C74" s="38"/>
    </row>
    <row r="75" ht="15.0" customHeight="1">
      <c r="A75" s="41"/>
      <c r="B75" s="42"/>
      <c r="C75" s="43"/>
    </row>
    <row r="76" ht="15.0" customHeight="1">
      <c r="A76" s="44" t="s">
        <v>200</v>
      </c>
      <c r="B76" s="22"/>
      <c r="C76" s="22"/>
    </row>
    <row r="77" ht="14.25" customHeight="1">
      <c r="B77" s="22"/>
      <c r="C77" s="22"/>
    </row>
    <row r="78" ht="14.25" customHeight="1">
      <c r="A78" s="45" t="s">
        <v>201</v>
      </c>
      <c r="B78" s="37"/>
      <c r="C78" s="38"/>
    </row>
    <row r="79" ht="14.25" customHeight="1">
      <c r="A79" s="39"/>
      <c r="C79" s="40"/>
    </row>
    <row r="80" ht="14.25" customHeight="1">
      <c r="A80" s="41"/>
      <c r="B80" s="42"/>
      <c r="C80" s="43"/>
    </row>
    <row r="81" ht="14.25" customHeight="1">
      <c r="A81" s="44" t="s">
        <v>202</v>
      </c>
      <c r="B81" s="22"/>
      <c r="C81" s="22"/>
    </row>
    <row r="82" ht="14.25" customHeight="1">
      <c r="A82" s="21"/>
      <c r="B82" s="22"/>
      <c r="C82" s="22"/>
    </row>
    <row r="83" ht="14.25" customHeight="1">
      <c r="A83" s="21"/>
      <c r="B83" s="22"/>
      <c r="C83" s="22"/>
    </row>
    <row r="84" ht="14.25" customHeight="1">
      <c r="A84" s="21"/>
      <c r="B84" s="22"/>
      <c r="C84" s="22"/>
    </row>
    <row r="85" ht="14.25" customHeight="1">
      <c r="A85" s="21"/>
      <c r="B85" s="22"/>
      <c r="C85" s="22"/>
    </row>
    <row r="86" ht="14.25" customHeight="1">
      <c r="A86" s="21"/>
      <c r="B86" s="22"/>
      <c r="C86" s="22"/>
    </row>
    <row r="87" ht="14.25" customHeight="1">
      <c r="A87" s="21"/>
      <c r="B87" s="22"/>
      <c r="C87" s="22"/>
    </row>
    <row r="88" ht="14.25" customHeight="1">
      <c r="A88" s="21"/>
      <c r="B88" s="22"/>
      <c r="C88" s="22"/>
    </row>
    <row r="89" ht="14.25" customHeight="1">
      <c r="A89" s="21"/>
      <c r="B89" s="22"/>
      <c r="C89" s="22"/>
    </row>
    <row r="90" ht="14.25" customHeight="1">
      <c r="A90" s="21"/>
      <c r="B90" s="22"/>
      <c r="C90" s="22"/>
    </row>
    <row r="91" ht="14.25" customHeight="1">
      <c r="A91" s="21"/>
      <c r="B91" s="22"/>
      <c r="C91" s="22"/>
    </row>
    <row r="92" ht="14.25" customHeight="1">
      <c r="A92" s="21"/>
      <c r="B92" s="22"/>
      <c r="C92" s="22"/>
    </row>
    <row r="93" ht="14.25" customHeight="1">
      <c r="A93" s="21"/>
      <c r="B93" s="22"/>
      <c r="C93" s="22"/>
    </row>
    <row r="94" ht="14.25" customHeight="1">
      <c r="A94" s="21"/>
      <c r="B94" s="22"/>
      <c r="C94" s="22"/>
    </row>
    <row r="95" ht="14.25" customHeight="1">
      <c r="A95" s="21"/>
      <c r="B95" s="22"/>
      <c r="C95" s="22"/>
    </row>
    <row r="96" ht="14.25" customHeight="1">
      <c r="A96" s="21"/>
      <c r="B96" s="22"/>
      <c r="C96" s="22"/>
    </row>
    <row r="97" ht="14.25" customHeight="1">
      <c r="A97" s="21"/>
      <c r="B97" s="22"/>
      <c r="C97" s="22"/>
    </row>
    <row r="98" ht="14.25" customHeight="1">
      <c r="A98" s="21"/>
      <c r="B98" s="22"/>
      <c r="C98" s="22"/>
    </row>
    <row r="99" ht="14.25" customHeight="1">
      <c r="A99" s="21"/>
      <c r="B99" s="22"/>
      <c r="C99" s="22"/>
    </row>
    <row r="100" ht="14.25" customHeight="1">
      <c r="A100" s="21"/>
      <c r="B100" s="22"/>
      <c r="C100" s="22"/>
    </row>
    <row r="101" ht="14.25" customHeight="1">
      <c r="A101" s="21"/>
      <c r="B101" s="22"/>
      <c r="C101" s="22"/>
    </row>
    <row r="102" ht="14.25" customHeight="1">
      <c r="A102" s="21"/>
      <c r="B102" s="22"/>
      <c r="C102" s="22"/>
    </row>
    <row r="103" ht="14.25" customHeight="1">
      <c r="A103" s="21"/>
      <c r="B103" s="22"/>
      <c r="C103" s="22"/>
    </row>
    <row r="104" ht="14.25" customHeight="1">
      <c r="A104" s="21"/>
      <c r="B104" s="22"/>
      <c r="C104" s="22"/>
    </row>
    <row r="105" ht="14.25" customHeight="1">
      <c r="A105" s="21"/>
      <c r="B105" s="22"/>
      <c r="C105" s="22"/>
    </row>
    <row r="106" ht="14.25" customHeight="1">
      <c r="A106" s="21"/>
      <c r="B106" s="22"/>
      <c r="C106" s="22"/>
    </row>
    <row r="107" ht="14.25" customHeight="1">
      <c r="A107" s="21"/>
      <c r="B107" s="22"/>
      <c r="C107" s="22"/>
    </row>
    <row r="108" ht="14.25" customHeight="1">
      <c r="A108" s="21"/>
      <c r="B108" s="22"/>
      <c r="C108" s="22"/>
    </row>
    <row r="109" ht="14.25" customHeight="1">
      <c r="A109" s="21"/>
      <c r="B109" s="22"/>
      <c r="C109" s="22"/>
    </row>
    <row r="110" ht="14.25" customHeight="1">
      <c r="A110" s="21"/>
      <c r="B110" s="22"/>
      <c r="C110" s="22"/>
    </row>
    <row r="111" ht="14.25" customHeight="1">
      <c r="A111" s="21"/>
      <c r="B111" s="22"/>
      <c r="C111" s="22"/>
    </row>
    <row r="112" ht="14.25" customHeight="1">
      <c r="A112" s="21"/>
      <c r="B112" s="22"/>
      <c r="C112" s="22"/>
    </row>
    <row r="113" ht="14.25" customHeight="1">
      <c r="A113" s="21"/>
      <c r="B113" s="22"/>
      <c r="C113" s="22"/>
    </row>
    <row r="114" ht="14.25" customHeight="1">
      <c r="A114" s="21"/>
      <c r="B114" s="22"/>
      <c r="C114" s="22"/>
    </row>
    <row r="115" ht="14.25" customHeight="1">
      <c r="A115" s="21"/>
      <c r="B115" s="22"/>
      <c r="C115" s="22"/>
    </row>
    <row r="116" ht="14.25" customHeight="1">
      <c r="A116" s="21"/>
      <c r="B116" s="22"/>
      <c r="C116" s="22"/>
    </row>
    <row r="117" ht="14.25" customHeight="1">
      <c r="A117" s="21"/>
      <c r="B117" s="22"/>
      <c r="C117" s="22"/>
    </row>
    <row r="118" ht="14.25" customHeight="1">
      <c r="A118" s="21"/>
      <c r="B118" s="22"/>
      <c r="C118" s="22"/>
    </row>
    <row r="119" ht="14.25" customHeight="1">
      <c r="A119" s="21"/>
      <c r="B119" s="22"/>
      <c r="C119" s="22"/>
    </row>
    <row r="120" ht="14.25" customHeight="1">
      <c r="A120" s="21"/>
      <c r="B120" s="22"/>
      <c r="C120" s="22"/>
    </row>
    <row r="121" ht="14.25" customHeight="1">
      <c r="A121" s="21"/>
      <c r="B121" s="22"/>
      <c r="C121" s="22"/>
    </row>
    <row r="122" ht="14.25" customHeight="1">
      <c r="A122" s="21"/>
      <c r="B122" s="22"/>
      <c r="C122" s="22"/>
    </row>
    <row r="123" ht="14.25" customHeight="1">
      <c r="A123" s="21"/>
      <c r="B123" s="22"/>
      <c r="C123" s="22"/>
    </row>
    <row r="124" ht="14.25" customHeight="1">
      <c r="A124" s="21"/>
      <c r="B124" s="22"/>
      <c r="C124" s="22"/>
    </row>
    <row r="125" ht="14.25" customHeight="1">
      <c r="A125" s="21"/>
      <c r="B125" s="22"/>
      <c r="C125" s="22"/>
    </row>
    <row r="126" ht="14.25" customHeight="1">
      <c r="A126" s="21"/>
      <c r="B126" s="22"/>
      <c r="C126" s="22"/>
    </row>
    <row r="127" ht="14.25" customHeight="1">
      <c r="A127" s="21"/>
      <c r="B127" s="22"/>
      <c r="C127" s="22"/>
    </row>
    <row r="128" ht="14.25" customHeight="1">
      <c r="A128" s="21"/>
      <c r="B128" s="22"/>
      <c r="C128" s="22"/>
    </row>
    <row r="129" ht="14.25" customHeight="1">
      <c r="A129" s="21"/>
      <c r="B129" s="22"/>
      <c r="C129" s="22"/>
    </row>
    <row r="130" ht="14.25" customHeight="1">
      <c r="A130" s="21"/>
      <c r="B130" s="22"/>
      <c r="C130" s="22"/>
    </row>
    <row r="131" ht="14.25" customHeight="1">
      <c r="A131" s="21"/>
      <c r="B131" s="22"/>
      <c r="C131" s="22"/>
    </row>
    <row r="132" ht="14.25" customHeight="1">
      <c r="A132" s="21"/>
      <c r="B132" s="22"/>
      <c r="C132" s="22"/>
    </row>
    <row r="133" ht="14.25" customHeight="1">
      <c r="A133" s="21"/>
      <c r="B133" s="22"/>
      <c r="C133" s="22"/>
    </row>
    <row r="134" ht="14.25" customHeight="1">
      <c r="A134" s="21"/>
      <c r="B134" s="22"/>
      <c r="C134" s="22"/>
    </row>
    <row r="135" ht="14.25" customHeight="1">
      <c r="A135" s="21"/>
      <c r="B135" s="22"/>
      <c r="C135" s="22"/>
    </row>
    <row r="136" ht="14.25" customHeight="1">
      <c r="A136" s="21"/>
      <c r="B136" s="22"/>
      <c r="C136" s="22"/>
    </row>
    <row r="137" ht="14.25" customHeight="1">
      <c r="A137" s="21"/>
      <c r="B137" s="22"/>
      <c r="C137" s="22"/>
    </row>
    <row r="138" ht="14.25" customHeight="1">
      <c r="A138" s="21"/>
      <c r="B138" s="22"/>
      <c r="C138" s="22"/>
    </row>
    <row r="139" ht="14.25" customHeight="1">
      <c r="A139" s="21"/>
      <c r="B139" s="22"/>
      <c r="C139" s="22"/>
    </row>
    <row r="140" ht="14.25" customHeight="1">
      <c r="A140" s="21"/>
      <c r="B140" s="22"/>
      <c r="C140" s="22"/>
    </row>
    <row r="141" ht="14.25" customHeight="1">
      <c r="A141" s="21"/>
      <c r="B141" s="22"/>
      <c r="C141" s="22"/>
    </row>
    <row r="142" ht="14.25" customHeight="1">
      <c r="A142" s="21"/>
      <c r="B142" s="22"/>
      <c r="C142" s="22"/>
    </row>
    <row r="143" ht="14.25" customHeight="1">
      <c r="A143" s="21"/>
      <c r="B143" s="22"/>
      <c r="C143" s="22"/>
    </row>
    <row r="144" ht="14.25" customHeight="1">
      <c r="A144" s="21"/>
      <c r="B144" s="22"/>
      <c r="C144" s="22"/>
    </row>
    <row r="145" ht="14.25" customHeight="1">
      <c r="A145" s="21"/>
      <c r="B145" s="22"/>
      <c r="C145" s="22"/>
    </row>
    <row r="146" ht="14.25" customHeight="1">
      <c r="A146" s="21"/>
      <c r="B146" s="22"/>
      <c r="C146" s="22"/>
    </row>
    <row r="147" ht="14.25" customHeight="1">
      <c r="A147" s="21"/>
      <c r="B147" s="22"/>
      <c r="C147" s="22"/>
    </row>
    <row r="148" ht="14.25" customHeight="1">
      <c r="A148" s="21"/>
      <c r="B148" s="22"/>
      <c r="C148" s="22"/>
    </row>
    <row r="149" ht="14.25" customHeight="1">
      <c r="A149" s="21"/>
      <c r="B149" s="22"/>
      <c r="C149" s="22"/>
    </row>
    <row r="150" ht="14.25" customHeight="1">
      <c r="A150" s="21"/>
      <c r="B150" s="22"/>
      <c r="C150" s="22"/>
    </row>
    <row r="151" ht="14.25" customHeight="1">
      <c r="A151" s="21"/>
      <c r="B151" s="22"/>
      <c r="C151" s="22"/>
    </row>
    <row r="152" ht="14.25" customHeight="1">
      <c r="A152" s="21"/>
      <c r="B152" s="22"/>
      <c r="C152" s="22"/>
    </row>
    <row r="153" ht="14.25" customHeight="1">
      <c r="A153" s="21"/>
      <c r="B153" s="22"/>
      <c r="C153" s="22"/>
    </row>
    <row r="154" ht="14.25" customHeight="1">
      <c r="A154" s="21"/>
      <c r="B154" s="22"/>
      <c r="C154" s="22"/>
    </row>
    <row r="155" ht="14.25" customHeight="1">
      <c r="A155" s="21"/>
      <c r="B155" s="22"/>
      <c r="C155" s="22"/>
    </row>
    <row r="156" ht="14.25" customHeight="1">
      <c r="A156" s="21"/>
      <c r="B156" s="22"/>
      <c r="C156" s="22"/>
    </row>
    <row r="157" ht="14.25" customHeight="1">
      <c r="A157" s="21"/>
      <c r="B157" s="22"/>
      <c r="C157" s="22"/>
    </row>
    <row r="158" ht="14.25" customHeight="1">
      <c r="A158" s="21"/>
      <c r="B158" s="22"/>
      <c r="C158" s="22"/>
    </row>
    <row r="159" ht="14.25" customHeight="1">
      <c r="A159" s="21"/>
      <c r="B159" s="22"/>
      <c r="C159" s="22"/>
    </row>
    <row r="160" ht="14.25" customHeight="1">
      <c r="A160" s="21"/>
      <c r="B160" s="22"/>
      <c r="C160" s="22"/>
    </row>
    <row r="161" ht="14.25" customHeight="1">
      <c r="A161" s="21"/>
      <c r="B161" s="22"/>
      <c r="C161" s="22"/>
    </row>
    <row r="162" ht="14.25" customHeight="1">
      <c r="A162" s="21"/>
      <c r="B162" s="22"/>
      <c r="C162" s="22"/>
    </row>
    <row r="163" ht="14.25" customHeight="1">
      <c r="A163" s="21"/>
      <c r="B163" s="22"/>
      <c r="C163" s="22"/>
    </row>
    <row r="164" ht="14.25" customHeight="1">
      <c r="A164" s="21"/>
      <c r="B164" s="22"/>
      <c r="C164" s="22"/>
    </row>
    <row r="165" ht="14.25" customHeight="1">
      <c r="A165" s="21"/>
      <c r="B165" s="22"/>
      <c r="C165" s="22"/>
    </row>
    <row r="166" ht="14.25" customHeight="1">
      <c r="A166" s="21"/>
      <c r="B166" s="22"/>
      <c r="C166" s="22"/>
    </row>
    <row r="167" ht="14.25" customHeight="1">
      <c r="A167" s="21"/>
      <c r="B167" s="22"/>
      <c r="C167" s="22"/>
    </row>
    <row r="168" ht="14.25" customHeight="1">
      <c r="A168" s="21"/>
      <c r="B168" s="22"/>
      <c r="C168" s="22"/>
    </row>
    <row r="169" ht="14.25" customHeight="1">
      <c r="A169" s="21"/>
      <c r="B169" s="22"/>
      <c r="C169" s="22"/>
    </row>
    <row r="170" ht="14.25" customHeight="1">
      <c r="A170" s="21"/>
      <c r="B170" s="22"/>
      <c r="C170" s="22"/>
    </row>
    <row r="171" ht="14.25" customHeight="1">
      <c r="A171" s="21"/>
      <c r="B171" s="22"/>
      <c r="C171" s="22"/>
    </row>
    <row r="172" ht="14.25" customHeight="1">
      <c r="A172" s="21"/>
      <c r="B172" s="22"/>
      <c r="C172" s="22"/>
    </row>
    <row r="173" ht="14.25" customHeight="1">
      <c r="A173" s="21"/>
      <c r="B173" s="22"/>
      <c r="C173" s="22"/>
    </row>
    <row r="174" ht="14.25" customHeight="1">
      <c r="A174" s="21"/>
      <c r="B174" s="22"/>
      <c r="C174" s="22"/>
    </row>
    <row r="175" ht="14.25" customHeight="1">
      <c r="A175" s="21"/>
      <c r="B175" s="22"/>
      <c r="C175" s="22"/>
    </row>
    <row r="176" ht="14.25" customHeight="1">
      <c r="A176" s="21"/>
      <c r="B176" s="22"/>
      <c r="C176" s="22"/>
    </row>
    <row r="177" ht="14.25" customHeight="1">
      <c r="A177" s="21"/>
      <c r="B177" s="22"/>
      <c r="C177" s="22"/>
    </row>
    <row r="178" ht="14.25" customHeight="1">
      <c r="A178" s="21"/>
      <c r="B178" s="22"/>
      <c r="C178" s="22"/>
    </row>
    <row r="179" ht="14.25" customHeight="1">
      <c r="A179" s="21"/>
      <c r="B179" s="22"/>
      <c r="C179" s="22"/>
    </row>
    <row r="180" ht="14.25" customHeight="1">
      <c r="A180" s="21"/>
      <c r="B180" s="22"/>
      <c r="C180" s="22"/>
    </row>
    <row r="181" ht="14.25" customHeight="1">
      <c r="A181" s="21"/>
      <c r="B181" s="22"/>
      <c r="C181" s="22"/>
    </row>
    <row r="182" ht="14.25" customHeight="1">
      <c r="A182" s="21"/>
      <c r="B182" s="22"/>
      <c r="C182" s="22"/>
    </row>
    <row r="183" ht="14.25" customHeight="1">
      <c r="A183" s="21"/>
      <c r="B183" s="22"/>
      <c r="C183" s="22"/>
    </row>
    <row r="184" ht="14.25" customHeight="1">
      <c r="A184" s="21"/>
      <c r="B184" s="22"/>
      <c r="C184" s="22"/>
    </row>
    <row r="185" ht="14.25" customHeight="1">
      <c r="A185" s="21"/>
      <c r="B185" s="22"/>
      <c r="C185" s="22"/>
    </row>
    <row r="186" ht="14.25" customHeight="1">
      <c r="A186" s="21"/>
      <c r="B186" s="22"/>
      <c r="C186" s="22"/>
    </row>
    <row r="187" ht="14.25" customHeight="1">
      <c r="A187" s="21"/>
      <c r="B187" s="22"/>
      <c r="C187" s="22"/>
    </row>
    <row r="188" ht="14.25" customHeight="1">
      <c r="A188" s="21"/>
      <c r="B188" s="22"/>
      <c r="C188" s="22"/>
    </row>
    <row r="189" ht="14.25" customHeight="1">
      <c r="A189" s="21"/>
      <c r="B189" s="22"/>
      <c r="C189" s="22"/>
    </row>
    <row r="190" ht="14.25" customHeight="1">
      <c r="A190" s="21"/>
      <c r="B190" s="22"/>
      <c r="C190" s="22"/>
    </row>
    <row r="191" ht="14.25" customHeight="1">
      <c r="A191" s="21"/>
      <c r="B191" s="22"/>
      <c r="C191" s="22"/>
    </row>
    <row r="192" ht="14.25" customHeight="1">
      <c r="A192" s="21"/>
      <c r="B192" s="22"/>
      <c r="C192" s="22"/>
    </row>
    <row r="193" ht="14.25" customHeight="1">
      <c r="A193" s="21"/>
      <c r="B193" s="22"/>
      <c r="C193" s="22"/>
    </row>
    <row r="194" ht="14.25" customHeight="1">
      <c r="A194" s="21"/>
      <c r="B194" s="22"/>
      <c r="C194" s="22"/>
    </row>
    <row r="195" ht="14.25" customHeight="1">
      <c r="A195" s="21"/>
      <c r="B195" s="22"/>
      <c r="C195" s="22"/>
    </row>
    <row r="196" ht="14.25" customHeight="1">
      <c r="A196" s="21"/>
      <c r="B196" s="22"/>
      <c r="C196" s="22"/>
    </row>
    <row r="197" ht="14.25" customHeight="1">
      <c r="A197" s="21"/>
      <c r="B197" s="22"/>
      <c r="C197" s="22"/>
    </row>
    <row r="198" ht="14.25" customHeight="1">
      <c r="A198" s="21"/>
      <c r="B198" s="22"/>
      <c r="C198" s="22"/>
    </row>
    <row r="199" ht="14.25" customHeight="1">
      <c r="A199" s="21"/>
      <c r="B199" s="22"/>
      <c r="C199" s="22"/>
    </row>
    <row r="200" ht="14.25" customHeight="1">
      <c r="A200" s="21"/>
      <c r="B200" s="22"/>
      <c r="C200" s="22"/>
    </row>
    <row r="201" ht="14.25" customHeight="1">
      <c r="A201" s="21"/>
      <c r="B201" s="22"/>
      <c r="C201" s="22"/>
    </row>
    <row r="202" ht="14.25" customHeight="1">
      <c r="A202" s="21"/>
      <c r="B202" s="22"/>
      <c r="C202" s="22"/>
    </row>
    <row r="203" ht="14.25" customHeight="1">
      <c r="A203" s="21"/>
      <c r="B203" s="22"/>
      <c r="C203" s="22"/>
    </row>
    <row r="204" ht="14.25" customHeight="1">
      <c r="A204" s="21"/>
      <c r="B204" s="22"/>
      <c r="C204" s="22"/>
    </row>
    <row r="205" ht="14.25" customHeight="1">
      <c r="A205" s="21"/>
      <c r="B205" s="22"/>
      <c r="C205" s="22"/>
    </row>
    <row r="206" ht="14.25" customHeight="1">
      <c r="A206" s="21"/>
      <c r="B206" s="22"/>
      <c r="C206" s="22"/>
    </row>
    <row r="207" ht="14.25" customHeight="1">
      <c r="A207" s="21"/>
      <c r="B207" s="22"/>
      <c r="C207" s="22"/>
    </row>
    <row r="208" ht="14.25" customHeight="1">
      <c r="A208" s="21"/>
      <c r="B208" s="22"/>
      <c r="C208" s="22"/>
    </row>
    <row r="209" ht="14.25" customHeight="1">
      <c r="A209" s="21"/>
      <c r="B209" s="22"/>
      <c r="C209" s="22"/>
    </row>
    <row r="210" ht="14.25" customHeight="1">
      <c r="A210" s="21"/>
      <c r="B210" s="22"/>
      <c r="C210" s="22"/>
    </row>
    <row r="211" ht="14.25" customHeight="1">
      <c r="A211" s="21"/>
      <c r="B211" s="22"/>
      <c r="C211" s="22"/>
    </row>
    <row r="212" ht="14.25" customHeight="1">
      <c r="A212" s="21"/>
      <c r="B212" s="22"/>
      <c r="C212" s="22"/>
    </row>
    <row r="213" ht="14.25" customHeight="1">
      <c r="A213" s="21"/>
      <c r="B213" s="22"/>
      <c r="C213" s="22"/>
    </row>
    <row r="214" ht="14.25" customHeight="1">
      <c r="A214" s="21"/>
      <c r="B214" s="22"/>
      <c r="C214" s="22"/>
    </row>
    <row r="215" ht="14.25" customHeight="1">
      <c r="A215" s="21"/>
      <c r="B215" s="22"/>
      <c r="C215" s="22"/>
    </row>
    <row r="216" ht="14.25" customHeight="1">
      <c r="A216" s="21"/>
      <c r="B216" s="22"/>
      <c r="C216" s="22"/>
    </row>
    <row r="217" ht="14.25" customHeight="1">
      <c r="A217" s="21"/>
      <c r="B217" s="22"/>
      <c r="C217" s="22"/>
    </row>
    <row r="218" ht="14.25" customHeight="1">
      <c r="A218" s="21"/>
      <c r="B218" s="22"/>
      <c r="C218" s="22"/>
    </row>
    <row r="219" ht="14.25" customHeight="1">
      <c r="A219" s="21"/>
      <c r="B219" s="22"/>
      <c r="C219" s="22"/>
    </row>
    <row r="220" ht="14.25" customHeight="1">
      <c r="A220" s="21"/>
      <c r="B220" s="22"/>
      <c r="C220" s="22"/>
    </row>
    <row r="221" ht="14.25" customHeight="1">
      <c r="A221" s="21"/>
      <c r="B221" s="22"/>
      <c r="C221" s="22"/>
    </row>
    <row r="222" ht="14.25" customHeight="1">
      <c r="A222" s="21"/>
      <c r="B222" s="22"/>
      <c r="C222" s="22"/>
    </row>
    <row r="223" ht="14.25" customHeight="1">
      <c r="A223" s="21"/>
      <c r="B223" s="22"/>
      <c r="C223" s="22"/>
    </row>
    <row r="224" ht="14.25" customHeight="1">
      <c r="A224" s="21"/>
      <c r="B224" s="22"/>
      <c r="C224" s="22"/>
    </row>
    <row r="225" ht="14.25" customHeight="1">
      <c r="A225" s="21"/>
      <c r="B225" s="22"/>
      <c r="C225" s="22"/>
    </row>
    <row r="226" ht="14.25" customHeight="1">
      <c r="A226" s="21"/>
      <c r="B226" s="22"/>
      <c r="C226" s="22"/>
    </row>
    <row r="227" ht="14.25" customHeight="1">
      <c r="A227" s="21"/>
      <c r="B227" s="22"/>
      <c r="C227" s="22"/>
    </row>
    <row r="228" ht="14.25" customHeight="1">
      <c r="A228" s="21"/>
      <c r="B228" s="22"/>
      <c r="C228" s="22"/>
    </row>
    <row r="229" ht="14.25" customHeight="1">
      <c r="A229" s="21"/>
      <c r="B229" s="22"/>
      <c r="C229" s="22"/>
    </row>
    <row r="230" ht="14.25" customHeight="1">
      <c r="A230" s="21"/>
      <c r="B230" s="22"/>
      <c r="C230" s="22"/>
    </row>
    <row r="231" ht="14.25" customHeight="1">
      <c r="A231" s="21"/>
      <c r="B231" s="22"/>
      <c r="C231" s="22"/>
    </row>
    <row r="232" ht="14.25" customHeight="1">
      <c r="A232" s="21"/>
      <c r="B232" s="22"/>
      <c r="C232" s="22"/>
    </row>
    <row r="233" ht="14.25" customHeight="1">
      <c r="A233" s="21"/>
      <c r="B233" s="22"/>
      <c r="C233" s="22"/>
    </row>
    <row r="234" ht="14.25" customHeight="1">
      <c r="A234" s="21"/>
      <c r="B234" s="22"/>
      <c r="C234" s="22"/>
    </row>
    <row r="235" ht="14.25" customHeight="1">
      <c r="A235" s="21"/>
      <c r="B235" s="22"/>
      <c r="C235" s="22"/>
    </row>
    <row r="236" ht="14.25" customHeight="1">
      <c r="A236" s="21"/>
      <c r="B236" s="22"/>
      <c r="C236" s="22"/>
    </row>
    <row r="237" ht="14.25" customHeight="1">
      <c r="A237" s="21"/>
      <c r="B237" s="22"/>
      <c r="C237" s="22"/>
    </row>
    <row r="238" ht="14.25" customHeight="1">
      <c r="A238" s="21"/>
      <c r="B238" s="22"/>
      <c r="C238" s="22"/>
    </row>
    <row r="239" ht="14.25" customHeight="1">
      <c r="A239" s="21"/>
      <c r="B239" s="22"/>
      <c r="C239" s="22"/>
    </row>
    <row r="240" ht="14.25" customHeight="1">
      <c r="A240" s="21"/>
      <c r="B240" s="22"/>
      <c r="C240" s="22"/>
    </row>
    <row r="241" ht="14.25" customHeight="1">
      <c r="A241" s="21"/>
      <c r="B241" s="22"/>
      <c r="C241" s="22"/>
    </row>
    <row r="242" ht="14.25" customHeight="1">
      <c r="A242" s="21"/>
      <c r="B242" s="22"/>
      <c r="C242" s="22"/>
    </row>
    <row r="243" ht="14.25" customHeight="1">
      <c r="A243" s="21"/>
      <c r="B243" s="22"/>
      <c r="C243" s="22"/>
    </row>
    <row r="244" ht="14.25" customHeight="1">
      <c r="A244" s="21"/>
      <c r="B244" s="22"/>
      <c r="C244" s="22"/>
    </row>
    <row r="245" ht="14.25" customHeight="1">
      <c r="A245" s="21"/>
      <c r="B245" s="22"/>
      <c r="C245" s="22"/>
    </row>
    <row r="246" ht="14.25" customHeight="1">
      <c r="A246" s="21"/>
      <c r="B246" s="22"/>
      <c r="C246" s="22"/>
    </row>
    <row r="247" ht="14.25" customHeight="1">
      <c r="A247" s="21"/>
      <c r="B247" s="22"/>
      <c r="C247" s="22"/>
    </row>
    <row r="248" ht="14.25" customHeight="1">
      <c r="A248" s="21"/>
      <c r="B248" s="22"/>
      <c r="C248" s="22"/>
    </row>
    <row r="249" ht="14.25" customHeight="1">
      <c r="A249" s="21"/>
      <c r="B249" s="22"/>
      <c r="C249" s="22"/>
    </row>
    <row r="250" ht="14.25" customHeight="1">
      <c r="A250" s="21"/>
      <c r="B250" s="22"/>
      <c r="C250" s="22"/>
    </row>
    <row r="251" ht="14.25" customHeight="1">
      <c r="A251" s="21"/>
      <c r="B251" s="22"/>
      <c r="C251" s="22"/>
    </row>
    <row r="252" ht="14.25" customHeight="1">
      <c r="A252" s="21"/>
      <c r="B252" s="22"/>
      <c r="C252" s="22"/>
    </row>
    <row r="253" ht="14.25" customHeight="1">
      <c r="A253" s="21"/>
      <c r="B253" s="22"/>
      <c r="C253" s="22"/>
    </row>
    <row r="254" ht="14.25" customHeight="1">
      <c r="A254" s="21"/>
      <c r="B254" s="22"/>
      <c r="C254" s="22"/>
    </row>
    <row r="255" ht="14.25" customHeight="1">
      <c r="A255" s="21"/>
      <c r="B255" s="22"/>
      <c r="C255" s="22"/>
    </row>
    <row r="256" ht="14.25" customHeight="1">
      <c r="A256" s="21"/>
      <c r="B256" s="22"/>
      <c r="C256" s="22"/>
    </row>
    <row r="257" ht="14.25" customHeight="1">
      <c r="A257" s="21"/>
      <c r="B257" s="22"/>
      <c r="C257" s="22"/>
    </row>
    <row r="258" ht="14.25" customHeight="1">
      <c r="A258" s="21"/>
      <c r="B258" s="22"/>
      <c r="C258" s="22"/>
    </row>
    <row r="259" ht="14.25" customHeight="1">
      <c r="A259" s="21"/>
      <c r="B259" s="22"/>
      <c r="C259" s="22"/>
    </row>
    <row r="260" ht="14.25" customHeight="1">
      <c r="A260" s="21"/>
      <c r="B260" s="22"/>
      <c r="C260" s="22"/>
    </row>
    <row r="261" ht="14.25" customHeight="1">
      <c r="A261" s="21"/>
      <c r="B261" s="22"/>
      <c r="C261" s="22"/>
    </row>
    <row r="262" ht="14.25" customHeight="1">
      <c r="A262" s="21"/>
      <c r="B262" s="22"/>
      <c r="C262" s="22"/>
    </row>
    <row r="263" ht="14.25" customHeight="1">
      <c r="A263" s="21"/>
      <c r="B263" s="22"/>
      <c r="C263" s="22"/>
    </row>
    <row r="264" ht="14.25" customHeight="1">
      <c r="A264" s="21"/>
      <c r="B264" s="22"/>
      <c r="C264" s="22"/>
    </row>
    <row r="265" ht="14.25" customHeight="1">
      <c r="A265" s="21"/>
      <c r="B265" s="22"/>
      <c r="C265" s="22"/>
    </row>
    <row r="266" ht="14.25" customHeight="1">
      <c r="A266" s="21"/>
      <c r="B266" s="22"/>
      <c r="C266" s="22"/>
    </row>
    <row r="267" ht="14.25" customHeight="1">
      <c r="A267" s="21"/>
      <c r="B267" s="22"/>
      <c r="C267" s="22"/>
    </row>
    <row r="268" ht="14.25" customHeight="1">
      <c r="A268" s="21"/>
      <c r="B268" s="22"/>
      <c r="C268" s="22"/>
    </row>
    <row r="269" ht="14.25" customHeight="1">
      <c r="A269" s="21"/>
      <c r="B269" s="22"/>
      <c r="C269" s="22"/>
    </row>
    <row r="270" ht="14.25" customHeight="1">
      <c r="A270" s="21"/>
      <c r="B270" s="22"/>
      <c r="C270" s="22"/>
    </row>
    <row r="271" ht="14.25" customHeight="1">
      <c r="A271" s="21"/>
      <c r="B271" s="22"/>
      <c r="C271" s="22"/>
    </row>
    <row r="272" ht="14.25" customHeight="1">
      <c r="A272" s="21"/>
      <c r="B272" s="22"/>
      <c r="C272" s="22"/>
    </row>
    <row r="273" ht="14.25" customHeight="1">
      <c r="A273" s="21"/>
      <c r="B273" s="22"/>
      <c r="C273" s="22"/>
    </row>
    <row r="274" ht="14.25" customHeight="1">
      <c r="A274" s="21"/>
      <c r="B274" s="22"/>
      <c r="C274" s="22"/>
    </row>
    <row r="275" ht="14.25" customHeight="1">
      <c r="A275" s="21"/>
      <c r="B275" s="22"/>
      <c r="C275" s="22"/>
    </row>
    <row r="276" ht="14.25" customHeight="1">
      <c r="A276" s="21"/>
      <c r="B276" s="22"/>
      <c r="C276" s="22"/>
    </row>
    <row r="277" ht="14.25" customHeight="1">
      <c r="A277" s="21"/>
      <c r="B277" s="22"/>
      <c r="C277" s="22"/>
    </row>
    <row r="278" ht="14.25" customHeight="1">
      <c r="A278" s="21"/>
      <c r="B278" s="22"/>
      <c r="C278" s="22"/>
    </row>
    <row r="279" ht="14.25" customHeight="1">
      <c r="A279" s="21"/>
      <c r="B279" s="22"/>
      <c r="C279" s="22"/>
    </row>
    <row r="280" ht="14.25" customHeight="1">
      <c r="A280" s="21"/>
      <c r="B280" s="22"/>
      <c r="C280" s="22"/>
    </row>
    <row r="281" ht="14.25" customHeight="1">
      <c r="A281" s="21"/>
      <c r="B281" s="22"/>
      <c r="C281" s="22"/>
    </row>
    <row r="282" ht="14.25" customHeight="1">
      <c r="A282" s="21"/>
      <c r="B282" s="22"/>
      <c r="C282" s="22"/>
    </row>
    <row r="283" ht="14.25" customHeight="1">
      <c r="A283" s="21"/>
      <c r="B283" s="22"/>
      <c r="C283" s="22"/>
    </row>
    <row r="284" ht="14.25" customHeight="1">
      <c r="A284" s="21"/>
      <c r="B284" s="22"/>
      <c r="C284" s="22"/>
    </row>
    <row r="285" ht="14.25" customHeight="1">
      <c r="A285" s="21"/>
      <c r="B285" s="22"/>
      <c r="C285" s="22"/>
    </row>
    <row r="286" ht="14.25" customHeight="1">
      <c r="A286" s="21"/>
      <c r="B286" s="22"/>
      <c r="C286" s="22"/>
    </row>
    <row r="287" ht="14.25" customHeight="1">
      <c r="A287" s="21"/>
      <c r="B287" s="22"/>
      <c r="C287" s="22"/>
    </row>
    <row r="288" ht="14.25" customHeight="1">
      <c r="A288" s="21"/>
      <c r="B288" s="22"/>
      <c r="C288" s="22"/>
    </row>
    <row r="289" ht="14.25" customHeight="1">
      <c r="A289" s="21"/>
      <c r="B289" s="22"/>
      <c r="C289" s="22"/>
    </row>
    <row r="290" ht="14.25" customHeight="1">
      <c r="A290" s="21"/>
      <c r="B290" s="22"/>
      <c r="C290" s="22"/>
    </row>
    <row r="291" ht="14.25" customHeight="1">
      <c r="A291" s="21"/>
      <c r="B291" s="22"/>
      <c r="C291" s="22"/>
    </row>
    <row r="292" ht="14.25" customHeight="1">
      <c r="A292" s="21"/>
      <c r="B292" s="22"/>
      <c r="C292" s="22"/>
    </row>
    <row r="293" ht="14.25" customHeight="1">
      <c r="A293" s="21"/>
      <c r="B293" s="22"/>
      <c r="C293" s="22"/>
    </row>
    <row r="294" ht="14.25" customHeight="1">
      <c r="A294" s="21"/>
      <c r="B294" s="22"/>
      <c r="C294" s="22"/>
    </row>
    <row r="295" ht="14.25" customHeight="1">
      <c r="A295" s="21"/>
      <c r="B295" s="22"/>
      <c r="C295" s="22"/>
    </row>
    <row r="296" ht="14.25" customHeight="1">
      <c r="A296" s="21"/>
      <c r="B296" s="22"/>
      <c r="C296" s="22"/>
    </row>
    <row r="297" ht="14.25" customHeight="1">
      <c r="A297" s="21"/>
      <c r="B297" s="22"/>
      <c r="C297" s="22"/>
    </row>
    <row r="298" ht="14.25" customHeight="1">
      <c r="A298" s="21"/>
      <c r="B298" s="22"/>
      <c r="C298" s="22"/>
    </row>
    <row r="299" ht="14.25" customHeight="1">
      <c r="A299" s="21"/>
      <c r="B299" s="22"/>
      <c r="C299" s="22"/>
    </row>
    <row r="300" ht="14.25" customHeight="1">
      <c r="A300" s="21"/>
      <c r="B300" s="22"/>
      <c r="C300" s="22"/>
    </row>
    <row r="301" ht="14.25" customHeight="1">
      <c r="A301" s="21"/>
      <c r="B301" s="22"/>
      <c r="C301" s="22"/>
    </row>
    <row r="302" ht="14.25" customHeight="1">
      <c r="A302" s="21"/>
      <c r="B302" s="22"/>
      <c r="C302" s="22"/>
    </row>
    <row r="303" ht="14.25" customHeight="1">
      <c r="A303" s="21"/>
      <c r="B303" s="22"/>
      <c r="C303" s="22"/>
    </row>
    <row r="304" ht="14.25" customHeight="1">
      <c r="A304" s="21"/>
      <c r="B304" s="22"/>
      <c r="C304" s="22"/>
    </row>
    <row r="305" ht="14.25" customHeight="1">
      <c r="A305" s="21"/>
      <c r="B305" s="22"/>
      <c r="C305" s="22"/>
    </row>
    <row r="306" ht="14.25" customHeight="1">
      <c r="A306" s="21"/>
      <c r="B306" s="22"/>
      <c r="C306" s="22"/>
    </row>
    <row r="307" ht="14.25" customHeight="1">
      <c r="A307" s="21"/>
      <c r="B307" s="22"/>
      <c r="C307" s="22"/>
    </row>
    <row r="308" ht="14.25" customHeight="1">
      <c r="A308" s="21"/>
      <c r="B308" s="22"/>
      <c r="C308" s="22"/>
    </row>
    <row r="309" ht="14.25" customHeight="1">
      <c r="A309" s="21"/>
      <c r="B309" s="22"/>
      <c r="C309" s="22"/>
    </row>
    <row r="310" ht="14.25" customHeight="1">
      <c r="A310" s="21"/>
      <c r="B310" s="22"/>
      <c r="C310" s="22"/>
    </row>
    <row r="311" ht="14.25" customHeight="1">
      <c r="A311" s="21"/>
      <c r="B311" s="22"/>
      <c r="C311" s="22"/>
    </row>
    <row r="312" ht="14.25" customHeight="1">
      <c r="A312" s="21"/>
      <c r="B312" s="22"/>
      <c r="C312" s="22"/>
    </row>
    <row r="313" ht="14.25" customHeight="1">
      <c r="A313" s="21"/>
      <c r="B313" s="22"/>
      <c r="C313" s="22"/>
    </row>
    <row r="314" ht="14.25" customHeight="1">
      <c r="A314" s="21"/>
      <c r="B314" s="22"/>
      <c r="C314" s="22"/>
    </row>
    <row r="315" ht="14.25" customHeight="1">
      <c r="A315" s="21"/>
      <c r="B315" s="22"/>
      <c r="C315" s="22"/>
    </row>
    <row r="316" ht="14.25" customHeight="1">
      <c r="A316" s="21"/>
      <c r="B316" s="22"/>
      <c r="C316" s="22"/>
    </row>
    <row r="317" ht="14.25" customHeight="1">
      <c r="A317" s="21"/>
      <c r="B317" s="22"/>
      <c r="C317" s="22"/>
    </row>
    <row r="318" ht="14.25" customHeight="1">
      <c r="A318" s="21"/>
      <c r="B318" s="22"/>
      <c r="C318" s="22"/>
    </row>
    <row r="319" ht="14.25" customHeight="1">
      <c r="A319" s="21"/>
      <c r="B319" s="22"/>
      <c r="C319" s="22"/>
    </row>
    <row r="320" ht="14.25" customHeight="1">
      <c r="A320" s="21"/>
      <c r="B320" s="22"/>
      <c r="C320" s="22"/>
    </row>
    <row r="321" ht="14.25" customHeight="1">
      <c r="A321" s="21"/>
      <c r="B321" s="22"/>
      <c r="C321" s="22"/>
    </row>
    <row r="322" ht="14.25" customHeight="1">
      <c r="A322" s="21"/>
      <c r="B322" s="22"/>
      <c r="C322" s="22"/>
    </row>
    <row r="323" ht="14.25" customHeight="1">
      <c r="A323" s="21"/>
      <c r="B323" s="22"/>
      <c r="C323" s="22"/>
    </row>
    <row r="324" ht="14.25" customHeight="1">
      <c r="A324" s="21"/>
      <c r="B324" s="22"/>
      <c r="C324" s="22"/>
    </row>
    <row r="325" ht="14.25" customHeight="1">
      <c r="A325" s="21"/>
      <c r="B325" s="22"/>
      <c r="C325" s="22"/>
    </row>
    <row r="326" ht="14.25" customHeight="1">
      <c r="A326" s="21"/>
      <c r="B326" s="22"/>
      <c r="C326" s="22"/>
    </row>
    <row r="327" ht="14.25" customHeight="1">
      <c r="A327" s="21"/>
      <c r="B327" s="22"/>
      <c r="C327" s="22"/>
    </row>
    <row r="328" ht="14.25" customHeight="1">
      <c r="A328" s="21"/>
      <c r="B328" s="22"/>
      <c r="C328" s="22"/>
    </row>
    <row r="329" ht="14.25" customHeight="1">
      <c r="A329" s="21"/>
      <c r="B329" s="22"/>
      <c r="C329" s="22"/>
    </row>
    <row r="330" ht="14.25" customHeight="1">
      <c r="A330" s="21"/>
      <c r="B330" s="22"/>
      <c r="C330" s="22"/>
    </row>
    <row r="331" ht="14.25" customHeight="1">
      <c r="A331" s="21"/>
      <c r="B331" s="22"/>
      <c r="C331" s="22"/>
    </row>
    <row r="332" ht="14.25" customHeight="1">
      <c r="A332" s="21"/>
      <c r="B332" s="22"/>
      <c r="C332" s="22"/>
    </row>
    <row r="333" ht="14.25" customHeight="1">
      <c r="A333" s="21"/>
      <c r="B333" s="22"/>
      <c r="C333" s="22"/>
    </row>
    <row r="334" ht="14.25" customHeight="1">
      <c r="A334" s="21"/>
      <c r="B334" s="22"/>
      <c r="C334" s="22"/>
    </row>
    <row r="335" ht="14.25" customHeight="1">
      <c r="A335" s="21"/>
      <c r="B335" s="22"/>
      <c r="C335" s="22"/>
    </row>
    <row r="336" ht="14.25" customHeight="1">
      <c r="A336" s="21"/>
      <c r="B336" s="22"/>
      <c r="C336" s="22"/>
    </row>
    <row r="337" ht="14.25" customHeight="1">
      <c r="A337" s="21"/>
      <c r="B337" s="22"/>
      <c r="C337" s="22"/>
    </row>
    <row r="338" ht="14.25" customHeight="1">
      <c r="A338" s="21"/>
      <c r="B338" s="22"/>
      <c r="C338" s="22"/>
    </row>
    <row r="339" ht="14.25" customHeight="1">
      <c r="A339" s="21"/>
      <c r="B339" s="22"/>
      <c r="C339" s="22"/>
    </row>
    <row r="340" ht="14.25" customHeight="1">
      <c r="A340" s="21"/>
      <c r="B340" s="22"/>
      <c r="C340" s="22"/>
    </row>
    <row r="341" ht="14.25" customHeight="1">
      <c r="A341" s="21"/>
      <c r="B341" s="22"/>
      <c r="C341" s="22"/>
    </row>
    <row r="342" ht="14.25" customHeight="1">
      <c r="A342" s="21"/>
      <c r="B342" s="22"/>
      <c r="C342" s="22"/>
    </row>
    <row r="343" ht="14.25" customHeight="1">
      <c r="A343" s="21"/>
      <c r="B343" s="22"/>
      <c r="C343" s="22"/>
    </row>
    <row r="344" ht="14.25" customHeight="1">
      <c r="A344" s="21"/>
      <c r="B344" s="22"/>
      <c r="C344" s="22"/>
    </row>
    <row r="345" ht="14.25" customHeight="1">
      <c r="A345" s="21"/>
      <c r="B345" s="22"/>
      <c r="C345" s="22"/>
    </row>
    <row r="346" ht="14.25" customHeight="1">
      <c r="A346" s="21"/>
      <c r="B346" s="22"/>
      <c r="C346" s="22"/>
    </row>
    <row r="347" ht="14.25" customHeight="1">
      <c r="A347" s="21"/>
      <c r="B347" s="22"/>
      <c r="C347" s="22"/>
    </row>
    <row r="348" ht="14.25" customHeight="1">
      <c r="A348" s="21"/>
      <c r="B348" s="22"/>
      <c r="C348" s="22"/>
    </row>
    <row r="349" ht="14.25" customHeight="1">
      <c r="A349" s="21"/>
      <c r="B349" s="22"/>
      <c r="C349" s="22"/>
    </row>
    <row r="350" ht="14.25" customHeight="1">
      <c r="A350" s="21"/>
      <c r="B350" s="22"/>
      <c r="C350" s="22"/>
    </row>
    <row r="351" ht="14.25" customHeight="1">
      <c r="A351" s="21"/>
      <c r="B351" s="22"/>
      <c r="C351" s="22"/>
    </row>
    <row r="352" ht="14.25" customHeight="1">
      <c r="A352" s="21"/>
      <c r="B352" s="22"/>
      <c r="C352" s="22"/>
    </row>
    <row r="353" ht="14.25" customHeight="1">
      <c r="A353" s="21"/>
      <c r="B353" s="22"/>
      <c r="C353" s="22"/>
    </row>
    <row r="354" ht="14.25" customHeight="1">
      <c r="A354" s="21"/>
      <c r="B354" s="22"/>
      <c r="C354" s="22"/>
    </row>
    <row r="355" ht="14.25" customHeight="1">
      <c r="A355" s="21"/>
      <c r="B355" s="22"/>
      <c r="C355" s="22"/>
    </row>
    <row r="356" ht="14.25" customHeight="1">
      <c r="A356" s="21"/>
      <c r="B356" s="22"/>
      <c r="C356" s="22"/>
    </row>
    <row r="357" ht="14.25" customHeight="1">
      <c r="A357" s="21"/>
      <c r="B357" s="22"/>
      <c r="C357" s="22"/>
    </row>
    <row r="358" ht="14.25" customHeight="1">
      <c r="A358" s="21"/>
      <c r="B358" s="22"/>
      <c r="C358" s="22"/>
    </row>
    <row r="359" ht="14.25" customHeight="1">
      <c r="A359" s="21"/>
      <c r="B359" s="22"/>
      <c r="C359" s="22"/>
    </row>
    <row r="360" ht="14.25" customHeight="1">
      <c r="A360" s="21"/>
      <c r="B360" s="22"/>
      <c r="C360" s="22"/>
    </row>
    <row r="361" ht="14.25" customHeight="1">
      <c r="A361" s="21"/>
      <c r="B361" s="22"/>
      <c r="C361" s="22"/>
    </row>
    <row r="362" ht="14.25" customHeight="1">
      <c r="A362" s="21"/>
      <c r="B362" s="22"/>
      <c r="C362" s="22"/>
    </row>
    <row r="363" ht="14.25" customHeight="1">
      <c r="A363" s="21"/>
      <c r="B363" s="22"/>
      <c r="C363" s="22"/>
    </row>
    <row r="364" ht="14.25" customHeight="1">
      <c r="A364" s="21"/>
      <c r="B364" s="22"/>
      <c r="C364" s="22"/>
    </row>
    <row r="365" ht="14.25" customHeight="1">
      <c r="A365" s="21"/>
      <c r="B365" s="22"/>
      <c r="C365" s="22"/>
    </row>
    <row r="366" ht="14.25" customHeight="1">
      <c r="A366" s="21"/>
      <c r="B366" s="22"/>
      <c r="C366" s="22"/>
    </row>
    <row r="367" ht="14.25" customHeight="1">
      <c r="A367" s="21"/>
      <c r="B367" s="22"/>
      <c r="C367" s="22"/>
    </row>
    <row r="368" ht="14.25" customHeight="1">
      <c r="A368" s="21"/>
      <c r="B368" s="22"/>
      <c r="C368" s="22"/>
    </row>
    <row r="369" ht="14.25" customHeight="1">
      <c r="A369" s="21"/>
      <c r="B369" s="22"/>
      <c r="C369" s="22"/>
    </row>
    <row r="370" ht="14.25" customHeight="1">
      <c r="A370" s="21"/>
      <c r="B370" s="22"/>
      <c r="C370" s="22"/>
    </row>
    <row r="371" ht="14.25" customHeight="1">
      <c r="A371" s="21"/>
      <c r="B371" s="22"/>
      <c r="C371" s="22"/>
    </row>
    <row r="372" ht="14.25" customHeight="1">
      <c r="A372" s="21"/>
      <c r="B372" s="22"/>
      <c r="C372" s="22"/>
    </row>
    <row r="373" ht="14.25" customHeight="1">
      <c r="A373" s="21"/>
      <c r="B373" s="22"/>
      <c r="C373" s="22"/>
    </row>
    <row r="374" ht="14.25" customHeight="1">
      <c r="A374" s="21"/>
      <c r="B374" s="22"/>
      <c r="C374" s="22"/>
    </row>
    <row r="375" ht="14.25" customHeight="1">
      <c r="A375" s="21"/>
      <c r="B375" s="22"/>
      <c r="C375" s="22"/>
    </row>
    <row r="376" ht="14.25" customHeight="1">
      <c r="A376" s="21"/>
      <c r="B376" s="22"/>
      <c r="C376" s="22"/>
    </row>
    <row r="377" ht="14.25" customHeight="1">
      <c r="A377" s="21"/>
      <c r="B377" s="22"/>
      <c r="C377" s="22"/>
    </row>
    <row r="378" ht="14.25" customHeight="1">
      <c r="A378" s="21"/>
      <c r="B378" s="22"/>
      <c r="C378" s="22"/>
    </row>
    <row r="379" ht="14.25" customHeight="1">
      <c r="A379" s="21"/>
      <c r="B379" s="22"/>
      <c r="C379" s="22"/>
    </row>
    <row r="380" ht="14.25" customHeight="1">
      <c r="A380" s="21"/>
      <c r="B380" s="22"/>
      <c r="C380" s="22"/>
    </row>
    <row r="381" ht="14.25" customHeight="1">
      <c r="A381" s="21"/>
      <c r="B381" s="22"/>
      <c r="C381" s="22"/>
    </row>
    <row r="382" ht="14.25" customHeight="1">
      <c r="A382" s="21"/>
      <c r="B382" s="22"/>
      <c r="C382" s="22"/>
    </row>
    <row r="383" ht="14.25" customHeight="1">
      <c r="A383" s="21"/>
      <c r="B383" s="22"/>
      <c r="C383" s="22"/>
    </row>
    <row r="384" ht="14.25" customHeight="1">
      <c r="A384" s="21"/>
      <c r="B384" s="22"/>
      <c r="C384" s="22"/>
    </row>
    <row r="385" ht="14.25" customHeight="1">
      <c r="A385" s="21"/>
      <c r="B385" s="22"/>
      <c r="C385" s="22"/>
    </row>
    <row r="386" ht="14.25" customHeight="1">
      <c r="A386" s="21"/>
      <c r="B386" s="22"/>
      <c r="C386" s="22"/>
    </row>
    <row r="387" ht="14.25" customHeight="1">
      <c r="A387" s="21"/>
      <c r="B387" s="22"/>
      <c r="C387" s="22"/>
    </row>
    <row r="388" ht="14.25" customHeight="1">
      <c r="A388" s="21"/>
      <c r="B388" s="22"/>
      <c r="C388" s="22"/>
    </row>
    <row r="389" ht="14.25" customHeight="1">
      <c r="A389" s="21"/>
      <c r="B389" s="22"/>
      <c r="C389" s="22"/>
    </row>
    <row r="390" ht="14.25" customHeight="1">
      <c r="A390" s="21"/>
      <c r="B390" s="22"/>
      <c r="C390" s="22"/>
    </row>
    <row r="391" ht="14.25" customHeight="1">
      <c r="A391" s="21"/>
      <c r="B391" s="22"/>
      <c r="C391" s="22"/>
    </row>
    <row r="392" ht="14.25" customHeight="1">
      <c r="A392" s="21"/>
      <c r="B392" s="22"/>
      <c r="C392" s="22"/>
    </row>
    <row r="393" ht="14.25" customHeight="1">
      <c r="A393" s="21"/>
      <c r="B393" s="22"/>
      <c r="C393" s="22"/>
    </row>
    <row r="394" ht="14.25" customHeight="1">
      <c r="A394" s="21"/>
      <c r="B394" s="22"/>
      <c r="C394" s="22"/>
    </row>
    <row r="395" ht="14.25" customHeight="1">
      <c r="A395" s="21"/>
      <c r="B395" s="22"/>
      <c r="C395" s="22"/>
    </row>
    <row r="396" ht="14.25" customHeight="1">
      <c r="A396" s="21"/>
      <c r="B396" s="22"/>
      <c r="C396" s="22"/>
    </row>
    <row r="397" ht="14.25" customHeight="1">
      <c r="A397" s="21"/>
      <c r="B397" s="22"/>
      <c r="C397" s="22"/>
    </row>
    <row r="398" ht="14.25" customHeight="1">
      <c r="A398" s="21"/>
      <c r="B398" s="22"/>
      <c r="C398" s="22"/>
    </row>
    <row r="399" ht="14.25" customHeight="1">
      <c r="A399" s="21"/>
      <c r="B399" s="22"/>
      <c r="C399" s="22"/>
    </row>
    <row r="400" ht="14.25" customHeight="1">
      <c r="A400" s="21"/>
      <c r="B400" s="22"/>
      <c r="C400" s="22"/>
    </row>
    <row r="401" ht="14.25" customHeight="1">
      <c r="A401" s="21"/>
      <c r="B401" s="22"/>
      <c r="C401" s="22"/>
    </row>
    <row r="402" ht="14.25" customHeight="1">
      <c r="A402" s="21"/>
      <c r="B402" s="22"/>
      <c r="C402" s="22"/>
    </row>
    <row r="403" ht="14.25" customHeight="1">
      <c r="A403" s="21"/>
      <c r="B403" s="22"/>
      <c r="C403" s="22"/>
    </row>
    <row r="404" ht="14.25" customHeight="1">
      <c r="A404" s="21"/>
      <c r="B404" s="22"/>
      <c r="C404" s="22"/>
    </row>
    <row r="405" ht="14.25" customHeight="1">
      <c r="A405" s="21"/>
      <c r="B405" s="22"/>
      <c r="C405" s="22"/>
    </row>
    <row r="406" ht="14.25" customHeight="1">
      <c r="A406" s="21"/>
      <c r="B406" s="22"/>
      <c r="C406" s="22"/>
    </row>
    <row r="407" ht="14.25" customHeight="1">
      <c r="A407" s="21"/>
      <c r="B407" s="22"/>
      <c r="C407" s="22"/>
    </row>
    <row r="408" ht="14.25" customHeight="1">
      <c r="A408" s="21"/>
      <c r="B408" s="22"/>
      <c r="C408" s="22"/>
    </row>
    <row r="409" ht="14.25" customHeight="1">
      <c r="A409" s="21"/>
      <c r="B409" s="22"/>
      <c r="C409" s="22"/>
    </row>
    <row r="410" ht="14.25" customHeight="1">
      <c r="A410" s="21"/>
      <c r="B410" s="22"/>
      <c r="C410" s="22"/>
    </row>
    <row r="411" ht="14.25" customHeight="1">
      <c r="A411" s="21"/>
      <c r="B411" s="22"/>
      <c r="C411" s="22"/>
    </row>
    <row r="412" ht="14.25" customHeight="1">
      <c r="A412" s="21"/>
      <c r="B412" s="22"/>
      <c r="C412" s="22"/>
    </row>
    <row r="413" ht="14.25" customHeight="1">
      <c r="A413" s="21"/>
      <c r="B413" s="22"/>
      <c r="C413" s="22"/>
    </row>
    <row r="414" ht="14.25" customHeight="1">
      <c r="A414" s="21"/>
      <c r="B414" s="22"/>
      <c r="C414" s="22"/>
    </row>
    <row r="415" ht="14.25" customHeight="1">
      <c r="A415" s="21"/>
      <c r="B415" s="22"/>
      <c r="C415" s="22"/>
    </row>
    <row r="416" ht="14.25" customHeight="1">
      <c r="A416" s="21"/>
      <c r="B416" s="22"/>
      <c r="C416" s="22"/>
    </row>
    <row r="417" ht="14.25" customHeight="1">
      <c r="A417" s="21"/>
      <c r="B417" s="22"/>
      <c r="C417" s="22"/>
    </row>
    <row r="418" ht="14.25" customHeight="1">
      <c r="A418" s="21"/>
      <c r="B418" s="22"/>
      <c r="C418" s="22"/>
    </row>
    <row r="419" ht="14.25" customHeight="1">
      <c r="A419" s="21"/>
      <c r="B419" s="22"/>
      <c r="C419" s="22"/>
    </row>
    <row r="420" ht="14.25" customHeight="1">
      <c r="A420" s="21"/>
      <c r="B420" s="22"/>
      <c r="C420" s="22"/>
    </row>
    <row r="421" ht="14.25" customHeight="1">
      <c r="A421" s="21"/>
      <c r="B421" s="22"/>
      <c r="C421" s="22"/>
    </row>
    <row r="422" ht="14.25" customHeight="1">
      <c r="A422" s="21"/>
      <c r="B422" s="22"/>
      <c r="C422" s="22"/>
    </row>
    <row r="423" ht="14.25" customHeight="1">
      <c r="A423" s="21"/>
      <c r="B423" s="22"/>
      <c r="C423" s="22"/>
    </row>
    <row r="424" ht="14.25" customHeight="1">
      <c r="A424" s="21"/>
      <c r="B424" s="22"/>
      <c r="C424" s="22"/>
    </row>
    <row r="425" ht="14.25" customHeight="1">
      <c r="A425" s="21"/>
      <c r="B425" s="22"/>
      <c r="C425" s="22"/>
    </row>
    <row r="426" ht="14.25" customHeight="1">
      <c r="A426" s="21"/>
      <c r="B426" s="22"/>
      <c r="C426" s="22"/>
    </row>
    <row r="427" ht="14.25" customHeight="1">
      <c r="A427" s="21"/>
      <c r="B427" s="22"/>
      <c r="C427" s="22"/>
    </row>
    <row r="428" ht="14.25" customHeight="1">
      <c r="A428" s="21"/>
      <c r="B428" s="22"/>
      <c r="C428" s="22"/>
    </row>
    <row r="429" ht="14.25" customHeight="1">
      <c r="A429" s="21"/>
      <c r="B429" s="22"/>
      <c r="C429" s="22"/>
    </row>
    <row r="430" ht="14.25" customHeight="1">
      <c r="A430" s="21"/>
      <c r="B430" s="22"/>
      <c r="C430" s="22"/>
    </row>
    <row r="431" ht="14.25" customHeight="1">
      <c r="A431" s="21"/>
      <c r="B431" s="22"/>
      <c r="C431" s="22"/>
    </row>
    <row r="432" ht="14.25" customHeight="1">
      <c r="A432" s="21"/>
      <c r="B432" s="22"/>
      <c r="C432" s="22"/>
    </row>
    <row r="433" ht="14.25" customHeight="1">
      <c r="A433" s="21"/>
      <c r="B433" s="22"/>
      <c r="C433" s="22"/>
    </row>
    <row r="434" ht="14.25" customHeight="1">
      <c r="A434" s="21"/>
      <c r="B434" s="22"/>
      <c r="C434" s="22"/>
    </row>
    <row r="435" ht="14.25" customHeight="1">
      <c r="A435" s="21"/>
      <c r="B435" s="22"/>
      <c r="C435" s="22"/>
    </row>
    <row r="436" ht="14.25" customHeight="1">
      <c r="A436" s="21"/>
      <c r="B436" s="22"/>
      <c r="C436" s="22"/>
    </row>
    <row r="437" ht="14.25" customHeight="1">
      <c r="A437" s="21"/>
      <c r="B437" s="22"/>
      <c r="C437" s="22"/>
    </row>
    <row r="438" ht="14.25" customHeight="1">
      <c r="A438" s="21"/>
      <c r="B438" s="22"/>
      <c r="C438" s="22"/>
    </row>
    <row r="439" ht="14.25" customHeight="1">
      <c r="A439" s="21"/>
      <c r="B439" s="22"/>
      <c r="C439" s="22"/>
    </row>
    <row r="440" ht="14.25" customHeight="1">
      <c r="A440" s="21"/>
      <c r="B440" s="22"/>
      <c r="C440" s="22"/>
    </row>
    <row r="441" ht="14.25" customHeight="1">
      <c r="A441" s="21"/>
      <c r="B441" s="22"/>
      <c r="C441" s="22"/>
    </row>
    <row r="442" ht="14.25" customHeight="1">
      <c r="A442" s="21"/>
      <c r="B442" s="22"/>
      <c r="C442" s="22"/>
    </row>
    <row r="443" ht="14.25" customHeight="1">
      <c r="A443" s="21"/>
      <c r="B443" s="22"/>
      <c r="C443" s="22"/>
    </row>
    <row r="444" ht="14.25" customHeight="1">
      <c r="A444" s="21"/>
      <c r="B444" s="22"/>
      <c r="C444" s="22"/>
    </row>
    <row r="445" ht="14.25" customHeight="1">
      <c r="A445" s="21"/>
      <c r="B445" s="22"/>
      <c r="C445" s="22"/>
    </row>
    <row r="446" ht="14.25" customHeight="1">
      <c r="A446" s="21"/>
      <c r="B446" s="22"/>
      <c r="C446" s="22"/>
    </row>
    <row r="447" ht="14.25" customHeight="1">
      <c r="A447" s="21"/>
      <c r="B447" s="22"/>
      <c r="C447" s="22"/>
    </row>
    <row r="448" ht="14.25" customHeight="1">
      <c r="A448" s="21"/>
      <c r="B448" s="22"/>
      <c r="C448" s="22"/>
    </row>
    <row r="449" ht="14.25" customHeight="1">
      <c r="A449" s="21"/>
      <c r="B449" s="22"/>
      <c r="C449" s="22"/>
    </row>
    <row r="450" ht="14.25" customHeight="1">
      <c r="A450" s="21"/>
      <c r="B450" s="22"/>
      <c r="C450" s="22"/>
    </row>
    <row r="451" ht="14.25" customHeight="1">
      <c r="A451" s="21"/>
      <c r="B451" s="22"/>
      <c r="C451" s="22"/>
    </row>
    <row r="452" ht="14.25" customHeight="1">
      <c r="A452" s="21"/>
      <c r="B452" s="22"/>
      <c r="C452" s="22"/>
    </row>
    <row r="453" ht="14.25" customHeight="1">
      <c r="A453" s="21"/>
      <c r="B453" s="22"/>
      <c r="C453" s="22"/>
    </row>
    <row r="454" ht="14.25" customHeight="1">
      <c r="A454" s="21"/>
      <c r="B454" s="22"/>
      <c r="C454" s="22"/>
    </row>
    <row r="455" ht="14.25" customHeight="1">
      <c r="A455" s="21"/>
      <c r="B455" s="22"/>
      <c r="C455" s="22"/>
    </row>
    <row r="456" ht="14.25" customHeight="1">
      <c r="A456" s="21"/>
      <c r="B456" s="22"/>
      <c r="C456" s="22"/>
    </row>
    <row r="457" ht="14.25" customHeight="1">
      <c r="A457" s="21"/>
      <c r="B457" s="22"/>
      <c r="C457" s="22"/>
    </row>
    <row r="458" ht="14.25" customHeight="1">
      <c r="A458" s="21"/>
      <c r="B458" s="22"/>
      <c r="C458" s="22"/>
    </row>
    <row r="459" ht="14.25" customHeight="1">
      <c r="A459" s="21"/>
      <c r="B459" s="22"/>
      <c r="C459" s="22"/>
    </row>
    <row r="460" ht="14.25" customHeight="1">
      <c r="A460" s="21"/>
      <c r="B460" s="22"/>
      <c r="C460" s="22"/>
    </row>
    <row r="461" ht="14.25" customHeight="1">
      <c r="A461" s="21"/>
      <c r="B461" s="22"/>
      <c r="C461" s="22"/>
    </row>
    <row r="462" ht="14.25" customHeight="1">
      <c r="A462" s="21"/>
      <c r="B462" s="22"/>
      <c r="C462" s="22"/>
    </row>
    <row r="463" ht="14.25" customHeight="1">
      <c r="A463" s="21"/>
      <c r="B463" s="22"/>
      <c r="C463" s="22"/>
    </row>
    <row r="464" ht="14.25" customHeight="1">
      <c r="A464" s="21"/>
      <c r="B464" s="22"/>
      <c r="C464" s="22"/>
    </row>
    <row r="465" ht="14.25" customHeight="1">
      <c r="A465" s="21"/>
      <c r="B465" s="22"/>
      <c r="C465" s="22"/>
    </row>
    <row r="466" ht="14.25" customHeight="1">
      <c r="A466" s="21"/>
      <c r="B466" s="22"/>
      <c r="C466" s="22"/>
    </row>
    <row r="467" ht="14.25" customHeight="1">
      <c r="A467" s="21"/>
      <c r="B467" s="22"/>
      <c r="C467" s="22"/>
    </row>
    <row r="468" ht="14.25" customHeight="1">
      <c r="A468" s="21"/>
      <c r="B468" s="22"/>
      <c r="C468" s="22"/>
    </row>
    <row r="469" ht="14.25" customHeight="1">
      <c r="A469" s="21"/>
      <c r="B469" s="22"/>
      <c r="C469" s="22"/>
    </row>
    <row r="470" ht="14.25" customHeight="1">
      <c r="A470" s="21"/>
      <c r="B470" s="22"/>
      <c r="C470" s="22"/>
    </row>
    <row r="471" ht="14.25" customHeight="1">
      <c r="A471" s="21"/>
      <c r="B471" s="22"/>
      <c r="C471" s="22"/>
    </row>
    <row r="472" ht="14.25" customHeight="1">
      <c r="A472" s="21"/>
      <c r="B472" s="22"/>
      <c r="C472" s="22"/>
    </row>
    <row r="473" ht="14.25" customHeight="1">
      <c r="A473" s="21"/>
      <c r="B473" s="22"/>
      <c r="C473" s="22"/>
    </row>
    <row r="474" ht="14.25" customHeight="1">
      <c r="A474" s="21"/>
      <c r="B474" s="22"/>
      <c r="C474" s="22"/>
    </row>
    <row r="475" ht="14.25" customHeight="1">
      <c r="A475" s="21"/>
      <c r="B475" s="22"/>
      <c r="C475" s="22"/>
    </row>
    <row r="476" ht="14.25" customHeight="1">
      <c r="A476" s="21"/>
      <c r="B476" s="22"/>
      <c r="C476" s="22"/>
    </row>
    <row r="477" ht="14.25" customHeight="1">
      <c r="A477" s="21"/>
      <c r="B477" s="22"/>
      <c r="C477" s="22"/>
    </row>
    <row r="478" ht="14.25" customHeight="1">
      <c r="A478" s="21"/>
      <c r="B478" s="22"/>
      <c r="C478" s="22"/>
    </row>
    <row r="479" ht="14.25" customHeight="1">
      <c r="A479" s="21"/>
      <c r="B479" s="22"/>
      <c r="C479" s="22"/>
    </row>
    <row r="480" ht="14.25" customHeight="1">
      <c r="A480" s="21"/>
      <c r="B480" s="22"/>
      <c r="C480" s="22"/>
    </row>
    <row r="481" ht="14.25" customHeight="1">
      <c r="A481" s="21"/>
      <c r="B481" s="22"/>
      <c r="C481" s="22"/>
    </row>
    <row r="482" ht="14.25" customHeight="1">
      <c r="A482" s="21"/>
      <c r="B482" s="22"/>
      <c r="C482" s="22"/>
    </row>
    <row r="483" ht="14.25" customHeight="1">
      <c r="A483" s="21"/>
      <c r="B483" s="22"/>
      <c r="C483" s="22"/>
    </row>
    <row r="484" ht="14.25" customHeight="1">
      <c r="A484" s="21"/>
      <c r="B484" s="22"/>
      <c r="C484" s="22"/>
    </row>
    <row r="485" ht="14.25" customHeight="1">
      <c r="A485" s="21"/>
      <c r="B485" s="22"/>
      <c r="C485" s="22"/>
    </row>
    <row r="486" ht="14.25" customHeight="1">
      <c r="A486" s="21"/>
      <c r="B486" s="22"/>
      <c r="C486" s="22"/>
    </row>
    <row r="487" ht="14.25" customHeight="1">
      <c r="A487" s="21"/>
      <c r="B487" s="22"/>
      <c r="C487" s="22"/>
    </row>
    <row r="488" ht="14.25" customHeight="1">
      <c r="A488" s="21"/>
      <c r="B488" s="22"/>
      <c r="C488" s="22"/>
    </row>
    <row r="489" ht="14.25" customHeight="1">
      <c r="A489" s="21"/>
      <c r="B489" s="22"/>
      <c r="C489" s="22"/>
    </row>
    <row r="490" ht="14.25" customHeight="1">
      <c r="A490" s="21"/>
      <c r="B490" s="22"/>
      <c r="C490" s="22"/>
    </row>
    <row r="491" ht="14.25" customHeight="1">
      <c r="A491" s="21"/>
      <c r="B491" s="22"/>
      <c r="C491" s="22"/>
    </row>
    <row r="492" ht="14.25" customHeight="1">
      <c r="A492" s="21"/>
      <c r="B492" s="22"/>
      <c r="C492" s="22"/>
    </row>
    <row r="493" ht="14.25" customHeight="1">
      <c r="A493" s="21"/>
      <c r="B493" s="22"/>
      <c r="C493" s="22"/>
    </row>
    <row r="494" ht="14.25" customHeight="1">
      <c r="A494" s="21"/>
      <c r="B494" s="22"/>
      <c r="C494" s="22"/>
    </row>
    <row r="495" ht="14.25" customHeight="1">
      <c r="A495" s="21"/>
      <c r="B495" s="22"/>
      <c r="C495" s="22"/>
    </row>
    <row r="496" ht="14.25" customHeight="1">
      <c r="A496" s="21"/>
      <c r="B496" s="22"/>
      <c r="C496" s="22"/>
    </row>
    <row r="497" ht="14.25" customHeight="1">
      <c r="A497" s="21"/>
      <c r="B497" s="22"/>
      <c r="C497" s="22"/>
    </row>
    <row r="498" ht="14.25" customHeight="1">
      <c r="A498" s="21"/>
      <c r="B498" s="22"/>
      <c r="C498" s="22"/>
    </row>
    <row r="499" ht="14.25" customHeight="1">
      <c r="A499" s="21"/>
      <c r="B499" s="22"/>
      <c r="C499" s="22"/>
    </row>
    <row r="500" ht="14.25" customHeight="1">
      <c r="A500" s="21"/>
      <c r="B500" s="22"/>
      <c r="C500" s="22"/>
    </row>
    <row r="501" ht="14.25" customHeight="1">
      <c r="A501" s="21"/>
      <c r="B501" s="22"/>
      <c r="C501" s="22"/>
    </row>
    <row r="502" ht="14.25" customHeight="1">
      <c r="A502" s="21"/>
      <c r="B502" s="22"/>
      <c r="C502" s="22"/>
    </row>
    <row r="503" ht="14.25" customHeight="1">
      <c r="A503" s="21"/>
      <c r="B503" s="22"/>
      <c r="C503" s="22"/>
    </row>
    <row r="504" ht="14.25" customHeight="1">
      <c r="A504" s="21"/>
      <c r="B504" s="22"/>
      <c r="C504" s="22"/>
    </row>
    <row r="505" ht="14.25" customHeight="1">
      <c r="A505" s="21"/>
      <c r="B505" s="22"/>
      <c r="C505" s="22"/>
    </row>
    <row r="506" ht="14.25" customHeight="1">
      <c r="A506" s="21"/>
      <c r="B506" s="22"/>
      <c r="C506" s="22"/>
    </row>
    <row r="507" ht="14.25" customHeight="1">
      <c r="A507" s="21"/>
      <c r="B507" s="22"/>
      <c r="C507" s="22"/>
    </row>
    <row r="508" ht="14.25" customHeight="1">
      <c r="A508" s="21"/>
      <c r="B508" s="22"/>
      <c r="C508" s="22"/>
    </row>
    <row r="509" ht="14.25" customHeight="1">
      <c r="A509" s="21"/>
      <c r="B509" s="22"/>
      <c r="C509" s="22"/>
    </row>
    <row r="510" ht="14.25" customHeight="1">
      <c r="A510" s="21"/>
      <c r="B510" s="22"/>
      <c r="C510" s="22"/>
    </row>
    <row r="511" ht="14.25" customHeight="1">
      <c r="A511" s="21"/>
      <c r="B511" s="22"/>
      <c r="C511" s="22"/>
    </row>
    <row r="512" ht="14.25" customHeight="1">
      <c r="A512" s="21"/>
      <c r="B512" s="22"/>
      <c r="C512" s="22"/>
    </row>
    <row r="513" ht="14.25" customHeight="1">
      <c r="A513" s="21"/>
      <c r="B513" s="22"/>
      <c r="C513" s="22"/>
    </row>
    <row r="514" ht="14.25" customHeight="1">
      <c r="A514" s="21"/>
      <c r="B514" s="22"/>
      <c r="C514" s="22"/>
    </row>
    <row r="515" ht="14.25" customHeight="1">
      <c r="A515" s="21"/>
      <c r="B515" s="22"/>
      <c r="C515" s="22"/>
    </row>
    <row r="516" ht="14.25" customHeight="1">
      <c r="A516" s="21"/>
      <c r="B516" s="22"/>
      <c r="C516" s="22"/>
    </row>
    <row r="517" ht="14.25" customHeight="1">
      <c r="A517" s="21"/>
      <c r="B517" s="22"/>
      <c r="C517" s="22"/>
    </row>
    <row r="518" ht="14.25" customHeight="1">
      <c r="A518" s="21"/>
      <c r="B518" s="22"/>
      <c r="C518" s="22"/>
    </row>
    <row r="519" ht="14.25" customHeight="1">
      <c r="A519" s="21"/>
      <c r="B519" s="22"/>
      <c r="C519" s="22"/>
    </row>
    <row r="520" ht="14.25" customHeight="1">
      <c r="A520" s="21"/>
      <c r="B520" s="22"/>
      <c r="C520" s="22"/>
    </row>
    <row r="521" ht="14.25" customHeight="1">
      <c r="A521" s="21"/>
      <c r="B521" s="22"/>
      <c r="C521" s="22"/>
    </row>
    <row r="522" ht="14.25" customHeight="1">
      <c r="A522" s="21"/>
      <c r="B522" s="22"/>
      <c r="C522" s="22"/>
    </row>
    <row r="523" ht="14.25" customHeight="1">
      <c r="A523" s="21"/>
      <c r="B523" s="22"/>
      <c r="C523" s="22"/>
    </row>
    <row r="524" ht="14.25" customHeight="1">
      <c r="A524" s="21"/>
      <c r="B524" s="22"/>
      <c r="C524" s="22"/>
    </row>
    <row r="525" ht="14.25" customHeight="1">
      <c r="A525" s="21"/>
      <c r="B525" s="22"/>
      <c r="C525" s="22"/>
    </row>
    <row r="526" ht="14.25" customHeight="1">
      <c r="A526" s="21"/>
      <c r="B526" s="22"/>
      <c r="C526" s="22"/>
    </row>
    <row r="527" ht="14.25" customHeight="1">
      <c r="A527" s="21"/>
      <c r="B527" s="22"/>
      <c r="C527" s="22"/>
    </row>
    <row r="528" ht="14.25" customHeight="1">
      <c r="A528" s="21"/>
      <c r="B528" s="22"/>
      <c r="C528" s="22"/>
    </row>
    <row r="529" ht="14.25" customHeight="1">
      <c r="A529" s="21"/>
      <c r="B529" s="22"/>
      <c r="C529" s="22"/>
    </row>
    <row r="530" ht="14.25" customHeight="1">
      <c r="A530" s="21"/>
      <c r="B530" s="22"/>
      <c r="C530" s="22"/>
    </row>
    <row r="531" ht="14.25" customHeight="1">
      <c r="A531" s="21"/>
      <c r="B531" s="22"/>
      <c r="C531" s="22"/>
    </row>
    <row r="532" ht="14.25" customHeight="1">
      <c r="A532" s="21"/>
      <c r="B532" s="22"/>
      <c r="C532" s="22"/>
    </row>
    <row r="533" ht="14.25" customHeight="1">
      <c r="A533" s="21"/>
      <c r="B533" s="22"/>
      <c r="C533" s="22"/>
    </row>
    <row r="534" ht="14.25" customHeight="1">
      <c r="A534" s="21"/>
      <c r="B534" s="22"/>
      <c r="C534" s="22"/>
    </row>
    <row r="535" ht="14.25" customHeight="1">
      <c r="A535" s="21"/>
      <c r="B535" s="22"/>
      <c r="C535" s="22"/>
    </row>
    <row r="536" ht="14.25" customHeight="1">
      <c r="A536" s="21"/>
      <c r="B536" s="22"/>
      <c r="C536" s="22"/>
    </row>
    <row r="537" ht="14.25" customHeight="1">
      <c r="A537" s="21"/>
      <c r="B537" s="22"/>
      <c r="C537" s="22"/>
    </row>
    <row r="538" ht="14.25" customHeight="1">
      <c r="A538" s="21"/>
      <c r="B538" s="22"/>
      <c r="C538" s="22"/>
    </row>
    <row r="539" ht="14.25" customHeight="1">
      <c r="A539" s="21"/>
      <c r="B539" s="22"/>
      <c r="C539" s="22"/>
    </row>
    <row r="540" ht="14.25" customHeight="1">
      <c r="A540" s="21"/>
      <c r="B540" s="22"/>
      <c r="C540" s="22"/>
    </row>
    <row r="541" ht="14.25" customHeight="1">
      <c r="A541" s="21"/>
      <c r="B541" s="22"/>
      <c r="C541" s="22"/>
    </row>
    <row r="542" ht="14.25" customHeight="1">
      <c r="A542" s="21"/>
      <c r="B542" s="22"/>
      <c r="C542" s="22"/>
    </row>
    <row r="543" ht="14.25" customHeight="1">
      <c r="A543" s="21"/>
      <c r="B543" s="22"/>
      <c r="C543" s="22"/>
    </row>
    <row r="544" ht="14.25" customHeight="1">
      <c r="A544" s="21"/>
      <c r="B544" s="22"/>
      <c r="C544" s="22"/>
    </row>
    <row r="545" ht="14.25" customHeight="1">
      <c r="A545" s="21"/>
      <c r="B545" s="22"/>
      <c r="C545" s="22"/>
    </row>
    <row r="546" ht="14.25" customHeight="1">
      <c r="A546" s="21"/>
      <c r="B546" s="22"/>
      <c r="C546" s="22"/>
    </row>
    <row r="547" ht="14.25" customHeight="1">
      <c r="A547" s="21"/>
      <c r="B547" s="22"/>
      <c r="C547" s="22"/>
    </row>
    <row r="548" ht="14.25" customHeight="1">
      <c r="A548" s="21"/>
      <c r="B548" s="22"/>
      <c r="C548" s="22"/>
    </row>
    <row r="549" ht="14.25" customHeight="1">
      <c r="A549" s="21"/>
      <c r="B549" s="22"/>
      <c r="C549" s="22"/>
    </row>
    <row r="550" ht="14.25" customHeight="1">
      <c r="A550" s="21"/>
      <c r="B550" s="22"/>
      <c r="C550" s="22"/>
    </row>
    <row r="551" ht="14.25" customHeight="1">
      <c r="A551" s="21"/>
      <c r="B551" s="22"/>
      <c r="C551" s="22"/>
    </row>
    <row r="552" ht="14.25" customHeight="1">
      <c r="A552" s="21"/>
      <c r="B552" s="22"/>
      <c r="C552" s="22"/>
    </row>
    <row r="553" ht="14.25" customHeight="1">
      <c r="A553" s="21"/>
      <c r="B553" s="22"/>
      <c r="C553" s="22"/>
    </row>
    <row r="554" ht="14.25" customHeight="1">
      <c r="A554" s="21"/>
      <c r="B554" s="22"/>
      <c r="C554" s="22"/>
    </row>
    <row r="555" ht="14.25" customHeight="1">
      <c r="A555" s="21"/>
      <c r="B555" s="22"/>
      <c r="C555" s="22"/>
    </row>
    <row r="556" ht="14.25" customHeight="1">
      <c r="A556" s="21"/>
      <c r="B556" s="22"/>
      <c r="C556" s="22"/>
    </row>
    <row r="557" ht="14.25" customHeight="1">
      <c r="A557" s="21"/>
      <c r="B557" s="22"/>
      <c r="C557" s="22"/>
    </row>
    <row r="558" ht="14.25" customHeight="1">
      <c r="A558" s="21"/>
      <c r="B558" s="22"/>
      <c r="C558" s="22"/>
    </row>
    <row r="559" ht="14.25" customHeight="1">
      <c r="A559" s="21"/>
      <c r="B559" s="22"/>
      <c r="C559" s="22"/>
    </row>
    <row r="560" ht="14.25" customHeight="1">
      <c r="A560" s="21"/>
      <c r="B560" s="22"/>
      <c r="C560" s="22"/>
    </row>
    <row r="561" ht="14.25" customHeight="1">
      <c r="A561" s="21"/>
      <c r="B561" s="22"/>
      <c r="C561" s="22"/>
    </row>
    <row r="562" ht="14.25" customHeight="1">
      <c r="A562" s="21"/>
      <c r="B562" s="22"/>
      <c r="C562" s="22"/>
    </row>
    <row r="563" ht="14.25" customHeight="1">
      <c r="A563" s="21"/>
      <c r="B563" s="22"/>
      <c r="C563" s="22"/>
    </row>
    <row r="564" ht="14.25" customHeight="1">
      <c r="A564" s="21"/>
      <c r="B564" s="22"/>
      <c r="C564" s="22"/>
    </row>
    <row r="565" ht="14.25" customHeight="1">
      <c r="A565" s="21"/>
      <c r="B565" s="22"/>
      <c r="C565" s="22"/>
    </row>
    <row r="566" ht="14.25" customHeight="1">
      <c r="A566" s="21"/>
      <c r="B566" s="22"/>
      <c r="C566" s="22"/>
    </row>
    <row r="567" ht="14.25" customHeight="1">
      <c r="A567" s="21"/>
      <c r="B567" s="22"/>
      <c r="C567" s="22"/>
    </row>
    <row r="568" ht="14.25" customHeight="1">
      <c r="A568" s="21"/>
      <c r="B568" s="22"/>
      <c r="C568" s="22"/>
    </row>
    <row r="569" ht="14.25" customHeight="1">
      <c r="A569" s="21"/>
      <c r="B569" s="22"/>
      <c r="C569" s="22"/>
    </row>
    <row r="570" ht="14.25" customHeight="1">
      <c r="A570" s="21"/>
      <c r="B570" s="22"/>
      <c r="C570" s="22"/>
    </row>
    <row r="571" ht="14.25" customHeight="1">
      <c r="A571" s="21"/>
      <c r="B571" s="22"/>
      <c r="C571" s="22"/>
    </row>
    <row r="572" ht="14.25" customHeight="1">
      <c r="A572" s="21"/>
      <c r="B572" s="22"/>
      <c r="C572" s="22"/>
    </row>
    <row r="573" ht="14.25" customHeight="1">
      <c r="A573" s="21"/>
      <c r="B573" s="22"/>
      <c r="C573" s="22"/>
    </row>
    <row r="574" ht="14.25" customHeight="1">
      <c r="A574" s="21"/>
      <c r="B574" s="22"/>
      <c r="C574" s="22"/>
    </row>
    <row r="575" ht="14.25" customHeight="1">
      <c r="A575" s="21"/>
      <c r="B575" s="22"/>
      <c r="C575" s="22"/>
    </row>
    <row r="576" ht="14.25" customHeight="1">
      <c r="A576" s="21"/>
      <c r="B576" s="22"/>
      <c r="C576" s="22"/>
    </row>
    <row r="577" ht="14.25" customHeight="1">
      <c r="A577" s="21"/>
      <c r="B577" s="22"/>
      <c r="C577" s="22"/>
    </row>
    <row r="578" ht="14.25" customHeight="1">
      <c r="A578" s="21"/>
      <c r="B578" s="22"/>
      <c r="C578" s="22"/>
    </row>
    <row r="579" ht="14.25" customHeight="1">
      <c r="A579" s="21"/>
      <c r="B579" s="22"/>
      <c r="C579" s="22"/>
    </row>
    <row r="580" ht="14.25" customHeight="1">
      <c r="A580" s="21"/>
      <c r="B580" s="22"/>
      <c r="C580" s="22"/>
    </row>
    <row r="581" ht="14.25" customHeight="1">
      <c r="A581" s="21"/>
      <c r="B581" s="22"/>
      <c r="C581" s="22"/>
    </row>
    <row r="582" ht="14.25" customHeight="1">
      <c r="A582" s="21"/>
      <c r="B582" s="22"/>
      <c r="C582" s="22"/>
    </row>
    <row r="583" ht="14.25" customHeight="1">
      <c r="A583" s="21"/>
      <c r="B583" s="22"/>
      <c r="C583" s="22"/>
    </row>
    <row r="584" ht="14.25" customHeight="1">
      <c r="A584" s="21"/>
      <c r="B584" s="22"/>
      <c r="C584" s="22"/>
    </row>
    <row r="585" ht="14.25" customHeight="1">
      <c r="A585" s="21"/>
      <c r="B585" s="22"/>
      <c r="C585" s="22"/>
    </row>
    <row r="586" ht="14.25" customHeight="1">
      <c r="A586" s="21"/>
      <c r="B586" s="22"/>
      <c r="C586" s="22"/>
    </row>
    <row r="587" ht="14.25" customHeight="1">
      <c r="A587" s="21"/>
      <c r="B587" s="22"/>
      <c r="C587" s="22"/>
    </row>
    <row r="588" ht="14.25" customHeight="1">
      <c r="A588" s="21"/>
      <c r="B588" s="22"/>
      <c r="C588" s="22"/>
    </row>
    <row r="589" ht="14.25" customHeight="1">
      <c r="A589" s="21"/>
      <c r="B589" s="22"/>
      <c r="C589" s="22"/>
    </row>
    <row r="590" ht="14.25" customHeight="1">
      <c r="A590" s="21"/>
      <c r="B590" s="22"/>
      <c r="C590" s="22"/>
    </row>
    <row r="591" ht="14.25" customHeight="1">
      <c r="A591" s="21"/>
      <c r="B591" s="22"/>
      <c r="C591" s="22"/>
    </row>
    <row r="592" ht="14.25" customHeight="1">
      <c r="A592" s="21"/>
      <c r="B592" s="22"/>
      <c r="C592" s="22"/>
    </row>
    <row r="593" ht="14.25" customHeight="1">
      <c r="A593" s="21"/>
      <c r="B593" s="22"/>
      <c r="C593" s="22"/>
    </row>
    <row r="594" ht="14.25" customHeight="1">
      <c r="A594" s="21"/>
      <c r="B594" s="22"/>
      <c r="C594" s="22"/>
    </row>
    <row r="595" ht="14.25" customHeight="1">
      <c r="A595" s="21"/>
      <c r="B595" s="22"/>
      <c r="C595" s="22"/>
    </row>
    <row r="596" ht="14.25" customHeight="1">
      <c r="A596" s="21"/>
      <c r="B596" s="22"/>
      <c r="C596" s="22"/>
    </row>
    <row r="597" ht="14.25" customHeight="1">
      <c r="A597" s="21"/>
      <c r="B597" s="22"/>
      <c r="C597" s="22"/>
    </row>
    <row r="598" ht="14.25" customHeight="1">
      <c r="A598" s="21"/>
      <c r="B598" s="22"/>
      <c r="C598" s="22"/>
    </row>
    <row r="599" ht="14.25" customHeight="1">
      <c r="A599" s="21"/>
      <c r="B599" s="22"/>
      <c r="C599" s="22"/>
    </row>
    <row r="600" ht="14.25" customHeight="1">
      <c r="A600" s="21"/>
      <c r="B600" s="22"/>
      <c r="C600" s="22"/>
    </row>
    <row r="601" ht="14.25" customHeight="1">
      <c r="A601" s="21"/>
      <c r="B601" s="22"/>
      <c r="C601" s="22"/>
    </row>
    <row r="602" ht="14.25" customHeight="1">
      <c r="A602" s="21"/>
      <c r="B602" s="22"/>
      <c r="C602" s="22"/>
    </row>
    <row r="603" ht="14.25" customHeight="1">
      <c r="A603" s="21"/>
      <c r="B603" s="22"/>
      <c r="C603" s="22"/>
    </row>
    <row r="604" ht="14.25" customHeight="1">
      <c r="A604" s="21"/>
      <c r="B604" s="22"/>
      <c r="C604" s="22"/>
    </row>
    <row r="605" ht="14.25" customHeight="1">
      <c r="A605" s="21"/>
      <c r="B605" s="22"/>
      <c r="C605" s="22"/>
    </row>
    <row r="606" ht="14.25" customHeight="1">
      <c r="A606" s="21"/>
      <c r="B606" s="22"/>
      <c r="C606" s="22"/>
    </row>
    <row r="607" ht="14.25" customHeight="1">
      <c r="A607" s="21"/>
      <c r="B607" s="22"/>
      <c r="C607" s="22"/>
    </row>
    <row r="608" ht="14.25" customHeight="1">
      <c r="A608" s="21"/>
      <c r="B608" s="22"/>
      <c r="C608" s="22"/>
    </row>
    <row r="609" ht="14.25" customHeight="1">
      <c r="A609" s="21"/>
      <c r="B609" s="22"/>
      <c r="C609" s="22"/>
    </row>
    <row r="610" ht="14.25" customHeight="1">
      <c r="A610" s="21"/>
      <c r="B610" s="22"/>
      <c r="C610" s="22"/>
    </row>
    <row r="611" ht="14.25" customHeight="1">
      <c r="A611" s="21"/>
      <c r="B611" s="22"/>
      <c r="C611" s="22"/>
    </row>
    <row r="612" ht="14.25" customHeight="1">
      <c r="A612" s="21"/>
      <c r="B612" s="22"/>
      <c r="C612" s="22"/>
    </row>
    <row r="613" ht="14.25" customHeight="1">
      <c r="A613" s="21"/>
      <c r="B613" s="22"/>
      <c r="C613" s="22"/>
    </row>
    <row r="614" ht="14.25" customHeight="1">
      <c r="A614" s="21"/>
      <c r="B614" s="22"/>
      <c r="C614" s="22"/>
    </row>
    <row r="615" ht="14.25" customHeight="1">
      <c r="A615" s="21"/>
      <c r="B615" s="22"/>
      <c r="C615" s="22"/>
    </row>
    <row r="616" ht="14.25" customHeight="1">
      <c r="A616" s="21"/>
      <c r="B616" s="22"/>
      <c r="C616" s="22"/>
    </row>
    <row r="617" ht="14.25" customHeight="1">
      <c r="A617" s="21"/>
      <c r="B617" s="22"/>
      <c r="C617" s="22"/>
    </row>
    <row r="618" ht="14.25" customHeight="1">
      <c r="A618" s="21"/>
      <c r="B618" s="22"/>
      <c r="C618" s="22"/>
    </row>
    <row r="619" ht="14.25" customHeight="1">
      <c r="A619" s="21"/>
      <c r="B619" s="22"/>
      <c r="C619" s="22"/>
    </row>
    <row r="620" ht="14.25" customHeight="1">
      <c r="A620" s="21"/>
      <c r="B620" s="22"/>
      <c r="C620" s="22"/>
    </row>
    <row r="621" ht="14.25" customHeight="1">
      <c r="A621" s="21"/>
      <c r="B621" s="22"/>
      <c r="C621" s="22"/>
    </row>
    <row r="622" ht="14.25" customHeight="1">
      <c r="A622" s="21"/>
      <c r="B622" s="22"/>
      <c r="C622" s="22"/>
    </row>
    <row r="623" ht="14.25" customHeight="1">
      <c r="A623" s="21"/>
      <c r="B623" s="22"/>
      <c r="C623" s="22"/>
    </row>
    <row r="624" ht="14.25" customHeight="1">
      <c r="A624" s="21"/>
      <c r="B624" s="22"/>
      <c r="C624" s="22"/>
    </row>
    <row r="625" ht="14.25" customHeight="1">
      <c r="A625" s="21"/>
      <c r="B625" s="22"/>
      <c r="C625" s="22"/>
    </row>
    <row r="626" ht="14.25" customHeight="1">
      <c r="A626" s="21"/>
      <c r="B626" s="22"/>
      <c r="C626" s="22"/>
    </row>
    <row r="627" ht="14.25" customHeight="1">
      <c r="A627" s="21"/>
      <c r="B627" s="22"/>
      <c r="C627" s="22"/>
    </row>
    <row r="628" ht="14.25" customHeight="1">
      <c r="A628" s="21"/>
      <c r="B628" s="22"/>
      <c r="C628" s="22"/>
    </row>
    <row r="629" ht="14.25" customHeight="1">
      <c r="A629" s="21"/>
      <c r="B629" s="22"/>
      <c r="C629" s="22"/>
    </row>
    <row r="630" ht="14.25" customHeight="1">
      <c r="A630" s="21"/>
      <c r="B630" s="22"/>
      <c r="C630" s="22"/>
    </row>
    <row r="631" ht="14.25" customHeight="1">
      <c r="A631" s="21"/>
      <c r="B631" s="22"/>
      <c r="C631" s="22"/>
    </row>
    <row r="632" ht="14.25" customHeight="1">
      <c r="A632" s="21"/>
      <c r="B632" s="22"/>
      <c r="C632" s="22"/>
    </row>
    <row r="633" ht="14.25" customHeight="1">
      <c r="A633" s="21"/>
      <c r="B633" s="22"/>
      <c r="C633" s="22"/>
    </row>
    <row r="634" ht="14.25" customHeight="1">
      <c r="A634" s="21"/>
      <c r="B634" s="22"/>
      <c r="C634" s="22"/>
    </row>
    <row r="635" ht="14.25" customHeight="1">
      <c r="A635" s="21"/>
      <c r="B635" s="22"/>
      <c r="C635" s="22"/>
    </row>
    <row r="636" ht="14.25" customHeight="1">
      <c r="A636" s="21"/>
      <c r="B636" s="22"/>
      <c r="C636" s="22"/>
    </row>
    <row r="637" ht="14.25" customHeight="1">
      <c r="A637" s="21"/>
      <c r="B637" s="22"/>
      <c r="C637" s="22"/>
    </row>
    <row r="638" ht="14.25" customHeight="1">
      <c r="A638" s="21"/>
      <c r="B638" s="22"/>
      <c r="C638" s="22"/>
    </row>
    <row r="639" ht="14.25" customHeight="1">
      <c r="A639" s="21"/>
      <c r="B639" s="22"/>
      <c r="C639" s="22"/>
    </row>
    <row r="640" ht="14.25" customHeight="1">
      <c r="A640" s="21"/>
      <c r="B640" s="22"/>
      <c r="C640" s="22"/>
    </row>
    <row r="641" ht="14.25" customHeight="1">
      <c r="A641" s="21"/>
      <c r="B641" s="22"/>
      <c r="C641" s="22"/>
    </row>
    <row r="642" ht="14.25" customHeight="1">
      <c r="A642" s="21"/>
      <c r="B642" s="22"/>
      <c r="C642" s="22"/>
    </row>
    <row r="643" ht="14.25" customHeight="1">
      <c r="A643" s="21"/>
      <c r="B643" s="22"/>
      <c r="C643" s="22"/>
    </row>
    <row r="644" ht="14.25" customHeight="1">
      <c r="A644" s="21"/>
      <c r="B644" s="22"/>
      <c r="C644" s="22"/>
    </row>
    <row r="645" ht="14.25" customHeight="1">
      <c r="A645" s="21"/>
      <c r="B645" s="22"/>
      <c r="C645" s="22"/>
    </row>
    <row r="646" ht="14.25" customHeight="1">
      <c r="A646" s="21"/>
      <c r="B646" s="22"/>
      <c r="C646" s="22"/>
    </row>
    <row r="647" ht="14.25" customHeight="1">
      <c r="A647" s="21"/>
      <c r="B647" s="22"/>
      <c r="C647" s="22"/>
    </row>
    <row r="648" ht="14.25" customHeight="1">
      <c r="A648" s="21"/>
      <c r="B648" s="22"/>
      <c r="C648" s="22"/>
    </row>
    <row r="649" ht="14.25" customHeight="1">
      <c r="A649" s="21"/>
      <c r="B649" s="22"/>
      <c r="C649" s="22"/>
    </row>
    <row r="650" ht="14.25" customHeight="1">
      <c r="A650" s="21"/>
      <c r="B650" s="22"/>
      <c r="C650" s="22"/>
    </row>
    <row r="651" ht="14.25" customHeight="1">
      <c r="A651" s="21"/>
      <c r="B651" s="22"/>
      <c r="C651" s="22"/>
    </row>
    <row r="652" ht="14.25" customHeight="1">
      <c r="A652" s="21"/>
      <c r="B652" s="22"/>
      <c r="C652" s="22"/>
    </row>
    <row r="653" ht="14.25" customHeight="1">
      <c r="A653" s="21"/>
      <c r="B653" s="22"/>
      <c r="C653" s="22"/>
    </row>
    <row r="654" ht="14.25" customHeight="1">
      <c r="A654" s="21"/>
      <c r="B654" s="22"/>
      <c r="C654" s="22"/>
    </row>
    <row r="655" ht="14.25" customHeight="1">
      <c r="A655" s="21"/>
      <c r="B655" s="22"/>
      <c r="C655" s="22"/>
    </row>
    <row r="656" ht="14.25" customHeight="1">
      <c r="A656" s="21"/>
      <c r="B656" s="22"/>
      <c r="C656" s="22"/>
    </row>
    <row r="657" ht="14.25" customHeight="1">
      <c r="A657" s="21"/>
      <c r="B657" s="22"/>
      <c r="C657" s="22"/>
    </row>
    <row r="658" ht="14.25" customHeight="1">
      <c r="A658" s="21"/>
      <c r="B658" s="22"/>
      <c r="C658" s="22"/>
    </row>
    <row r="659" ht="14.25" customHeight="1">
      <c r="A659" s="21"/>
      <c r="B659" s="22"/>
      <c r="C659" s="22"/>
    </row>
    <row r="660" ht="14.25" customHeight="1">
      <c r="A660" s="21"/>
      <c r="B660" s="22"/>
      <c r="C660" s="22"/>
    </row>
    <row r="661" ht="14.25" customHeight="1">
      <c r="A661" s="21"/>
      <c r="B661" s="22"/>
      <c r="C661" s="22"/>
    </row>
    <row r="662" ht="14.25" customHeight="1">
      <c r="A662" s="21"/>
      <c r="B662" s="22"/>
      <c r="C662" s="22"/>
    </row>
    <row r="663" ht="14.25" customHeight="1">
      <c r="A663" s="21"/>
      <c r="B663" s="22"/>
      <c r="C663" s="22"/>
    </row>
    <row r="664" ht="14.25" customHeight="1">
      <c r="A664" s="21"/>
      <c r="B664" s="22"/>
      <c r="C664" s="22"/>
    </row>
    <row r="665" ht="14.25" customHeight="1">
      <c r="A665" s="21"/>
      <c r="B665" s="22"/>
      <c r="C665" s="22"/>
    </row>
    <row r="666" ht="14.25" customHeight="1">
      <c r="A666" s="21"/>
      <c r="B666" s="22"/>
      <c r="C666" s="22"/>
    </row>
    <row r="667" ht="14.25" customHeight="1">
      <c r="A667" s="21"/>
      <c r="B667" s="22"/>
      <c r="C667" s="22"/>
    </row>
    <row r="668" ht="14.25" customHeight="1">
      <c r="A668" s="21"/>
      <c r="B668" s="22"/>
      <c r="C668" s="22"/>
    </row>
    <row r="669" ht="14.25" customHeight="1">
      <c r="A669" s="21"/>
      <c r="B669" s="22"/>
      <c r="C669" s="22"/>
    </row>
    <row r="670" ht="14.25" customHeight="1">
      <c r="A670" s="21"/>
      <c r="B670" s="22"/>
      <c r="C670" s="22"/>
    </row>
    <row r="671" ht="14.25" customHeight="1">
      <c r="A671" s="21"/>
      <c r="B671" s="22"/>
      <c r="C671" s="22"/>
    </row>
    <row r="672" ht="14.25" customHeight="1">
      <c r="A672" s="21"/>
      <c r="B672" s="22"/>
      <c r="C672" s="22"/>
    </row>
    <row r="673" ht="14.25" customHeight="1">
      <c r="A673" s="21"/>
      <c r="B673" s="22"/>
      <c r="C673" s="22"/>
    </row>
    <row r="674" ht="14.25" customHeight="1">
      <c r="A674" s="21"/>
      <c r="B674" s="22"/>
      <c r="C674" s="22"/>
    </row>
    <row r="675" ht="14.25" customHeight="1">
      <c r="A675" s="21"/>
      <c r="B675" s="22"/>
      <c r="C675" s="22"/>
    </row>
    <row r="676" ht="14.25" customHeight="1">
      <c r="A676" s="21"/>
      <c r="B676" s="22"/>
      <c r="C676" s="22"/>
    </row>
    <row r="677" ht="14.25" customHeight="1">
      <c r="A677" s="21"/>
      <c r="B677" s="22"/>
      <c r="C677" s="22"/>
    </row>
    <row r="678" ht="14.25" customHeight="1">
      <c r="A678" s="21"/>
      <c r="B678" s="22"/>
      <c r="C678" s="22"/>
    </row>
    <row r="679" ht="14.25" customHeight="1">
      <c r="A679" s="21"/>
      <c r="B679" s="22"/>
      <c r="C679" s="22"/>
    </row>
    <row r="680" ht="14.25" customHeight="1">
      <c r="A680" s="21"/>
      <c r="B680" s="22"/>
      <c r="C680" s="22"/>
    </row>
    <row r="681" ht="14.25" customHeight="1">
      <c r="A681" s="21"/>
      <c r="B681" s="22"/>
      <c r="C681" s="22"/>
    </row>
    <row r="682" ht="14.25" customHeight="1">
      <c r="A682" s="21"/>
      <c r="B682" s="22"/>
      <c r="C682" s="22"/>
    </row>
    <row r="683" ht="14.25" customHeight="1">
      <c r="A683" s="21"/>
      <c r="B683" s="22"/>
      <c r="C683" s="22"/>
    </row>
    <row r="684" ht="14.25" customHeight="1">
      <c r="A684" s="21"/>
      <c r="B684" s="22"/>
      <c r="C684" s="22"/>
    </row>
    <row r="685" ht="14.25" customHeight="1">
      <c r="A685" s="21"/>
      <c r="B685" s="22"/>
      <c r="C685" s="22"/>
    </row>
    <row r="686" ht="14.25" customHeight="1">
      <c r="A686" s="21"/>
      <c r="B686" s="22"/>
      <c r="C686" s="22"/>
    </row>
    <row r="687" ht="14.25" customHeight="1">
      <c r="A687" s="21"/>
      <c r="B687" s="22"/>
      <c r="C687" s="22"/>
    </row>
    <row r="688" ht="14.25" customHeight="1">
      <c r="A688" s="21"/>
      <c r="B688" s="22"/>
      <c r="C688" s="22"/>
    </row>
    <row r="689" ht="14.25" customHeight="1">
      <c r="A689" s="21"/>
      <c r="B689" s="22"/>
      <c r="C689" s="22"/>
    </row>
    <row r="690" ht="14.25" customHeight="1">
      <c r="A690" s="21"/>
      <c r="B690" s="22"/>
      <c r="C690" s="22"/>
    </row>
    <row r="691" ht="14.25" customHeight="1">
      <c r="A691" s="21"/>
      <c r="B691" s="22"/>
      <c r="C691" s="22"/>
    </row>
    <row r="692" ht="14.25" customHeight="1">
      <c r="A692" s="21"/>
      <c r="B692" s="22"/>
      <c r="C692" s="22"/>
    </row>
    <row r="693" ht="14.25" customHeight="1">
      <c r="A693" s="21"/>
      <c r="B693" s="22"/>
      <c r="C693" s="22"/>
    </row>
    <row r="694" ht="14.25" customHeight="1">
      <c r="A694" s="21"/>
      <c r="B694" s="22"/>
      <c r="C694" s="22"/>
    </row>
    <row r="695" ht="14.25" customHeight="1">
      <c r="A695" s="21"/>
      <c r="B695" s="22"/>
      <c r="C695" s="22"/>
    </row>
    <row r="696" ht="14.25" customHeight="1">
      <c r="A696" s="21"/>
      <c r="B696" s="22"/>
      <c r="C696" s="22"/>
    </row>
    <row r="697" ht="14.25" customHeight="1">
      <c r="A697" s="21"/>
      <c r="B697" s="22"/>
      <c r="C697" s="22"/>
    </row>
    <row r="698" ht="14.25" customHeight="1">
      <c r="A698" s="21"/>
      <c r="B698" s="22"/>
      <c r="C698" s="22"/>
    </row>
    <row r="699" ht="14.25" customHeight="1">
      <c r="A699" s="21"/>
      <c r="B699" s="22"/>
      <c r="C699" s="22"/>
    </row>
    <row r="700" ht="14.25" customHeight="1">
      <c r="A700" s="21"/>
      <c r="B700" s="22"/>
      <c r="C700" s="22"/>
    </row>
    <row r="701" ht="14.25" customHeight="1">
      <c r="A701" s="21"/>
      <c r="B701" s="22"/>
      <c r="C701" s="22"/>
    </row>
    <row r="702" ht="14.25" customHeight="1">
      <c r="A702" s="21"/>
      <c r="B702" s="22"/>
      <c r="C702" s="22"/>
    </row>
    <row r="703" ht="14.25" customHeight="1">
      <c r="A703" s="21"/>
      <c r="B703" s="22"/>
      <c r="C703" s="22"/>
    </row>
    <row r="704" ht="14.25" customHeight="1">
      <c r="A704" s="21"/>
      <c r="B704" s="22"/>
      <c r="C704" s="22"/>
    </row>
    <row r="705" ht="14.25" customHeight="1">
      <c r="A705" s="21"/>
      <c r="B705" s="22"/>
      <c r="C705" s="22"/>
    </row>
    <row r="706" ht="14.25" customHeight="1">
      <c r="A706" s="21"/>
      <c r="B706" s="22"/>
      <c r="C706" s="22"/>
    </row>
    <row r="707" ht="14.25" customHeight="1">
      <c r="A707" s="21"/>
      <c r="B707" s="22"/>
      <c r="C707" s="22"/>
    </row>
    <row r="708" ht="14.25" customHeight="1">
      <c r="A708" s="21"/>
      <c r="B708" s="22"/>
      <c r="C708" s="22"/>
    </row>
    <row r="709" ht="14.25" customHeight="1">
      <c r="A709" s="21"/>
      <c r="B709" s="22"/>
      <c r="C709" s="22"/>
    </row>
    <row r="710" ht="14.25" customHeight="1">
      <c r="A710" s="21"/>
      <c r="B710" s="22"/>
      <c r="C710" s="22"/>
    </row>
    <row r="711" ht="14.25" customHeight="1">
      <c r="A711" s="21"/>
      <c r="B711" s="22"/>
      <c r="C711" s="22"/>
    </row>
    <row r="712" ht="14.25" customHeight="1">
      <c r="A712" s="21"/>
      <c r="B712" s="22"/>
      <c r="C712" s="22"/>
    </row>
    <row r="713" ht="14.25" customHeight="1">
      <c r="A713" s="21"/>
      <c r="B713" s="22"/>
      <c r="C713" s="22"/>
    </row>
    <row r="714" ht="14.25" customHeight="1">
      <c r="A714" s="21"/>
      <c r="B714" s="22"/>
      <c r="C714" s="22"/>
    </row>
    <row r="715" ht="14.25" customHeight="1">
      <c r="A715" s="21"/>
      <c r="B715" s="22"/>
      <c r="C715" s="22"/>
    </row>
    <row r="716" ht="14.25" customHeight="1">
      <c r="A716" s="21"/>
      <c r="B716" s="22"/>
      <c r="C716" s="22"/>
    </row>
    <row r="717" ht="14.25" customHeight="1">
      <c r="A717" s="21"/>
      <c r="B717" s="22"/>
      <c r="C717" s="22"/>
    </row>
    <row r="718" ht="14.25" customHeight="1">
      <c r="A718" s="21"/>
      <c r="B718" s="22"/>
      <c r="C718" s="22"/>
    </row>
    <row r="719" ht="14.25" customHeight="1">
      <c r="A719" s="21"/>
      <c r="B719" s="22"/>
      <c r="C719" s="22"/>
    </row>
    <row r="720" ht="14.25" customHeight="1">
      <c r="A720" s="21"/>
      <c r="B720" s="22"/>
      <c r="C720" s="22"/>
    </row>
    <row r="721" ht="14.25" customHeight="1">
      <c r="A721" s="21"/>
      <c r="B721" s="22"/>
      <c r="C721" s="22"/>
    </row>
    <row r="722" ht="14.25" customHeight="1">
      <c r="A722" s="21"/>
      <c r="B722" s="22"/>
      <c r="C722" s="22"/>
    </row>
    <row r="723" ht="14.25" customHeight="1">
      <c r="A723" s="21"/>
      <c r="B723" s="22"/>
      <c r="C723" s="22"/>
    </row>
    <row r="724" ht="14.25" customHeight="1">
      <c r="A724" s="21"/>
      <c r="B724" s="22"/>
      <c r="C724" s="22"/>
    </row>
    <row r="725" ht="14.25" customHeight="1">
      <c r="A725" s="21"/>
      <c r="B725" s="22"/>
      <c r="C725" s="22"/>
    </row>
    <row r="726" ht="14.25" customHeight="1">
      <c r="A726" s="21"/>
      <c r="B726" s="22"/>
      <c r="C726" s="22"/>
    </row>
    <row r="727" ht="14.25" customHeight="1">
      <c r="A727" s="21"/>
      <c r="B727" s="22"/>
      <c r="C727" s="22"/>
    </row>
    <row r="728" ht="14.25" customHeight="1">
      <c r="A728" s="21"/>
      <c r="B728" s="22"/>
      <c r="C728" s="22"/>
    </row>
    <row r="729" ht="14.25" customHeight="1">
      <c r="A729" s="21"/>
      <c r="B729" s="22"/>
      <c r="C729" s="22"/>
    </row>
    <row r="730" ht="14.25" customHeight="1">
      <c r="A730" s="21"/>
      <c r="B730" s="22"/>
      <c r="C730" s="22"/>
    </row>
    <row r="731" ht="14.25" customHeight="1">
      <c r="A731" s="21"/>
      <c r="B731" s="22"/>
      <c r="C731" s="22"/>
    </row>
    <row r="732" ht="14.25" customHeight="1">
      <c r="A732" s="21"/>
      <c r="B732" s="22"/>
      <c r="C732" s="22"/>
    </row>
    <row r="733" ht="14.25" customHeight="1">
      <c r="A733" s="21"/>
      <c r="B733" s="22"/>
      <c r="C733" s="22"/>
    </row>
    <row r="734" ht="14.25" customHeight="1">
      <c r="A734" s="21"/>
      <c r="B734" s="22"/>
      <c r="C734" s="22"/>
    </row>
    <row r="735" ht="14.25" customHeight="1">
      <c r="A735" s="21"/>
      <c r="B735" s="22"/>
      <c r="C735" s="22"/>
    </row>
    <row r="736" ht="14.25" customHeight="1">
      <c r="A736" s="21"/>
      <c r="B736" s="22"/>
      <c r="C736" s="22"/>
    </row>
    <row r="737" ht="14.25" customHeight="1">
      <c r="A737" s="21"/>
      <c r="B737" s="22"/>
      <c r="C737" s="22"/>
    </row>
    <row r="738" ht="14.25" customHeight="1">
      <c r="A738" s="21"/>
      <c r="B738" s="22"/>
      <c r="C738" s="22"/>
    </row>
    <row r="739" ht="14.25" customHeight="1">
      <c r="A739" s="21"/>
      <c r="B739" s="22"/>
      <c r="C739" s="22"/>
    </row>
    <row r="740" ht="14.25" customHeight="1">
      <c r="A740" s="21"/>
      <c r="B740" s="22"/>
      <c r="C740" s="22"/>
    </row>
    <row r="741" ht="14.25" customHeight="1">
      <c r="A741" s="21"/>
      <c r="B741" s="22"/>
      <c r="C741" s="22"/>
    </row>
    <row r="742" ht="14.25" customHeight="1">
      <c r="A742" s="21"/>
      <c r="B742" s="22"/>
      <c r="C742" s="22"/>
    </row>
    <row r="743" ht="14.25" customHeight="1">
      <c r="A743" s="21"/>
      <c r="B743" s="22"/>
      <c r="C743" s="22"/>
    </row>
    <row r="744" ht="14.25" customHeight="1">
      <c r="A744" s="21"/>
      <c r="B744" s="22"/>
      <c r="C744" s="22"/>
    </row>
    <row r="745" ht="14.25" customHeight="1">
      <c r="A745" s="21"/>
      <c r="B745" s="22"/>
      <c r="C745" s="22"/>
    </row>
    <row r="746" ht="14.25" customHeight="1">
      <c r="A746" s="21"/>
      <c r="B746" s="22"/>
      <c r="C746" s="22"/>
    </row>
    <row r="747" ht="14.25" customHeight="1">
      <c r="A747" s="21"/>
      <c r="B747" s="22"/>
      <c r="C747" s="22"/>
    </row>
    <row r="748" ht="14.25" customHeight="1">
      <c r="A748" s="21"/>
      <c r="B748" s="22"/>
      <c r="C748" s="22"/>
    </row>
    <row r="749" ht="14.25" customHeight="1">
      <c r="A749" s="21"/>
      <c r="B749" s="22"/>
      <c r="C749" s="22"/>
    </row>
    <row r="750" ht="14.25" customHeight="1">
      <c r="A750" s="21"/>
      <c r="B750" s="22"/>
      <c r="C750" s="22"/>
    </row>
    <row r="751" ht="14.25" customHeight="1">
      <c r="A751" s="21"/>
      <c r="B751" s="22"/>
      <c r="C751" s="22"/>
    </row>
    <row r="752" ht="14.25" customHeight="1">
      <c r="A752" s="21"/>
      <c r="B752" s="22"/>
      <c r="C752" s="22"/>
    </row>
    <row r="753" ht="14.25" customHeight="1">
      <c r="A753" s="21"/>
      <c r="B753" s="22"/>
      <c r="C753" s="22"/>
    </row>
    <row r="754" ht="14.25" customHeight="1">
      <c r="A754" s="21"/>
      <c r="B754" s="22"/>
      <c r="C754" s="22"/>
    </row>
    <row r="755" ht="14.25" customHeight="1">
      <c r="A755" s="21"/>
      <c r="B755" s="22"/>
      <c r="C755" s="22"/>
    </row>
    <row r="756" ht="14.25" customHeight="1">
      <c r="A756" s="21"/>
      <c r="B756" s="22"/>
      <c r="C756" s="22"/>
    </row>
    <row r="757" ht="14.25" customHeight="1">
      <c r="A757" s="21"/>
      <c r="B757" s="22"/>
      <c r="C757" s="22"/>
    </row>
    <row r="758" ht="14.25" customHeight="1">
      <c r="A758" s="21"/>
      <c r="B758" s="22"/>
      <c r="C758" s="22"/>
    </row>
    <row r="759" ht="14.25" customHeight="1">
      <c r="A759" s="21"/>
      <c r="B759" s="22"/>
      <c r="C759" s="22"/>
    </row>
    <row r="760" ht="14.25" customHeight="1">
      <c r="A760" s="21"/>
      <c r="B760" s="22"/>
      <c r="C760" s="22"/>
    </row>
    <row r="761" ht="14.25" customHeight="1">
      <c r="A761" s="21"/>
      <c r="B761" s="22"/>
      <c r="C761" s="22"/>
    </row>
    <row r="762" ht="14.25" customHeight="1">
      <c r="A762" s="21"/>
      <c r="B762" s="22"/>
      <c r="C762" s="22"/>
    </row>
    <row r="763" ht="14.25" customHeight="1">
      <c r="A763" s="21"/>
      <c r="B763" s="22"/>
      <c r="C763" s="22"/>
    </row>
    <row r="764" ht="14.25" customHeight="1">
      <c r="A764" s="21"/>
      <c r="B764" s="22"/>
      <c r="C764" s="22"/>
    </row>
    <row r="765" ht="14.25" customHeight="1">
      <c r="A765" s="21"/>
      <c r="B765" s="22"/>
      <c r="C765" s="22"/>
    </row>
    <row r="766" ht="14.25" customHeight="1">
      <c r="A766" s="21"/>
      <c r="B766" s="22"/>
      <c r="C766" s="22"/>
    </row>
    <row r="767" ht="14.25" customHeight="1">
      <c r="A767" s="21"/>
      <c r="B767" s="22"/>
      <c r="C767" s="22"/>
    </row>
    <row r="768" ht="14.25" customHeight="1">
      <c r="A768" s="21"/>
      <c r="B768" s="22"/>
      <c r="C768" s="22"/>
    </row>
    <row r="769" ht="14.25" customHeight="1">
      <c r="A769" s="21"/>
      <c r="B769" s="22"/>
      <c r="C769" s="22"/>
    </row>
    <row r="770" ht="14.25" customHeight="1">
      <c r="A770" s="21"/>
      <c r="B770" s="22"/>
      <c r="C770" s="22"/>
    </row>
    <row r="771" ht="14.25" customHeight="1">
      <c r="A771" s="21"/>
      <c r="B771" s="22"/>
      <c r="C771" s="22"/>
    </row>
    <row r="772" ht="14.25" customHeight="1">
      <c r="A772" s="21"/>
      <c r="B772" s="22"/>
      <c r="C772" s="22"/>
    </row>
    <row r="773" ht="14.25" customHeight="1">
      <c r="A773" s="21"/>
      <c r="B773" s="22"/>
      <c r="C773" s="22"/>
    </row>
    <row r="774" ht="14.25" customHeight="1">
      <c r="A774" s="21"/>
      <c r="B774" s="22"/>
      <c r="C774" s="22"/>
    </row>
    <row r="775" ht="14.25" customHeight="1">
      <c r="A775" s="21"/>
      <c r="B775" s="22"/>
      <c r="C775" s="22"/>
    </row>
    <row r="776" ht="14.25" customHeight="1">
      <c r="A776" s="21"/>
      <c r="B776" s="22"/>
      <c r="C776" s="22"/>
    </row>
    <row r="777" ht="14.25" customHeight="1">
      <c r="A777" s="21"/>
      <c r="B777" s="22"/>
      <c r="C777" s="22"/>
    </row>
    <row r="778" ht="14.25" customHeight="1">
      <c r="A778" s="21"/>
      <c r="B778" s="22"/>
      <c r="C778" s="22"/>
    </row>
    <row r="779" ht="14.25" customHeight="1">
      <c r="A779" s="21"/>
      <c r="B779" s="22"/>
      <c r="C779" s="22"/>
    </row>
    <row r="780" ht="14.25" customHeight="1">
      <c r="A780" s="21"/>
      <c r="B780" s="22"/>
      <c r="C780" s="22"/>
    </row>
    <row r="781" ht="14.25" customHeight="1">
      <c r="A781" s="21"/>
      <c r="B781" s="22"/>
      <c r="C781" s="22"/>
    </row>
    <row r="782" ht="14.25" customHeight="1">
      <c r="A782" s="21"/>
      <c r="B782" s="22"/>
      <c r="C782" s="22"/>
    </row>
    <row r="783" ht="14.25" customHeight="1">
      <c r="A783" s="21"/>
      <c r="B783" s="22"/>
      <c r="C783" s="22"/>
    </row>
    <row r="784" ht="14.25" customHeight="1">
      <c r="A784" s="21"/>
      <c r="B784" s="22"/>
      <c r="C784" s="22"/>
    </row>
    <row r="785" ht="14.25" customHeight="1">
      <c r="A785" s="21"/>
      <c r="B785" s="22"/>
      <c r="C785" s="22"/>
    </row>
    <row r="786" ht="14.25" customHeight="1">
      <c r="A786" s="21"/>
      <c r="B786" s="22"/>
      <c r="C786" s="22"/>
    </row>
    <row r="787" ht="14.25" customHeight="1">
      <c r="A787" s="21"/>
      <c r="B787" s="22"/>
      <c r="C787" s="22"/>
    </row>
    <row r="788" ht="14.25" customHeight="1">
      <c r="A788" s="21"/>
      <c r="B788" s="22"/>
      <c r="C788" s="22"/>
    </row>
    <row r="789" ht="14.25" customHeight="1">
      <c r="A789" s="21"/>
      <c r="B789" s="22"/>
      <c r="C789" s="22"/>
    </row>
    <row r="790" ht="14.25" customHeight="1">
      <c r="A790" s="21"/>
      <c r="B790" s="22"/>
      <c r="C790" s="22"/>
    </row>
    <row r="791" ht="14.25" customHeight="1">
      <c r="A791" s="21"/>
      <c r="B791" s="22"/>
      <c r="C791" s="22"/>
    </row>
    <row r="792" ht="14.25" customHeight="1">
      <c r="A792" s="21"/>
      <c r="B792" s="22"/>
      <c r="C792" s="22"/>
    </row>
    <row r="793" ht="14.25" customHeight="1">
      <c r="A793" s="21"/>
      <c r="B793" s="22"/>
      <c r="C793" s="22"/>
    </row>
    <row r="794" ht="14.25" customHeight="1">
      <c r="A794" s="21"/>
      <c r="B794" s="22"/>
      <c r="C794" s="22"/>
    </row>
    <row r="795" ht="14.25" customHeight="1">
      <c r="A795" s="21"/>
      <c r="B795" s="22"/>
      <c r="C795" s="22"/>
    </row>
    <row r="796" ht="14.25" customHeight="1">
      <c r="A796" s="21"/>
      <c r="B796" s="22"/>
      <c r="C796" s="22"/>
    </row>
    <row r="797" ht="14.25" customHeight="1">
      <c r="A797" s="21"/>
      <c r="B797" s="22"/>
      <c r="C797" s="22"/>
    </row>
    <row r="798" ht="14.25" customHeight="1">
      <c r="A798" s="21"/>
      <c r="B798" s="22"/>
      <c r="C798" s="22"/>
    </row>
    <row r="799" ht="14.25" customHeight="1">
      <c r="A799" s="21"/>
      <c r="B799" s="22"/>
      <c r="C799" s="22"/>
    </row>
    <row r="800" ht="14.25" customHeight="1">
      <c r="A800" s="21"/>
      <c r="B800" s="22"/>
      <c r="C800" s="22"/>
    </row>
    <row r="801" ht="14.25" customHeight="1">
      <c r="A801" s="21"/>
      <c r="B801" s="22"/>
      <c r="C801" s="22"/>
    </row>
    <row r="802" ht="14.25" customHeight="1">
      <c r="A802" s="21"/>
      <c r="B802" s="22"/>
      <c r="C802" s="22"/>
    </row>
    <row r="803" ht="14.25" customHeight="1">
      <c r="A803" s="21"/>
      <c r="B803" s="22"/>
      <c r="C803" s="22"/>
    </row>
    <row r="804" ht="14.25" customHeight="1">
      <c r="A804" s="21"/>
      <c r="B804" s="22"/>
      <c r="C804" s="22"/>
    </row>
    <row r="805" ht="14.25" customHeight="1">
      <c r="A805" s="21"/>
      <c r="B805" s="22"/>
      <c r="C805" s="22"/>
    </row>
    <row r="806" ht="14.25" customHeight="1">
      <c r="A806" s="21"/>
      <c r="B806" s="22"/>
      <c r="C806" s="22"/>
    </row>
    <row r="807" ht="14.25" customHeight="1">
      <c r="A807" s="21"/>
      <c r="B807" s="22"/>
      <c r="C807" s="22"/>
    </row>
    <row r="808" ht="14.25" customHeight="1">
      <c r="A808" s="21"/>
      <c r="B808" s="22"/>
      <c r="C808" s="22"/>
    </row>
    <row r="809" ht="14.25" customHeight="1">
      <c r="A809" s="21"/>
      <c r="B809" s="22"/>
      <c r="C809" s="22"/>
    </row>
    <row r="810" ht="14.25" customHeight="1">
      <c r="A810" s="21"/>
      <c r="B810" s="22"/>
      <c r="C810" s="22"/>
    </row>
    <row r="811" ht="14.25" customHeight="1">
      <c r="A811" s="21"/>
      <c r="B811" s="22"/>
      <c r="C811" s="22"/>
    </row>
    <row r="812" ht="14.25" customHeight="1">
      <c r="A812" s="21"/>
      <c r="B812" s="22"/>
      <c r="C812" s="22"/>
    </row>
    <row r="813" ht="14.25" customHeight="1">
      <c r="A813" s="21"/>
      <c r="B813" s="22"/>
      <c r="C813" s="22"/>
    </row>
    <row r="814" ht="14.25" customHeight="1">
      <c r="A814" s="21"/>
      <c r="B814" s="22"/>
      <c r="C814" s="22"/>
    </row>
    <row r="815" ht="14.25" customHeight="1">
      <c r="A815" s="21"/>
      <c r="B815" s="22"/>
      <c r="C815" s="22"/>
    </row>
    <row r="816" ht="14.25" customHeight="1">
      <c r="A816" s="21"/>
      <c r="B816" s="22"/>
      <c r="C816" s="22"/>
    </row>
    <row r="817" ht="14.25" customHeight="1">
      <c r="A817" s="21"/>
      <c r="B817" s="22"/>
      <c r="C817" s="22"/>
    </row>
    <row r="818" ht="14.25" customHeight="1">
      <c r="A818" s="21"/>
      <c r="B818" s="22"/>
      <c r="C818" s="22"/>
    </row>
    <row r="819" ht="14.25" customHeight="1">
      <c r="A819" s="21"/>
      <c r="B819" s="22"/>
      <c r="C819" s="22"/>
    </row>
    <row r="820" ht="14.25" customHeight="1">
      <c r="A820" s="21"/>
      <c r="B820" s="22"/>
      <c r="C820" s="22"/>
    </row>
    <row r="821" ht="14.25" customHeight="1">
      <c r="A821" s="21"/>
      <c r="B821" s="22"/>
      <c r="C821" s="22"/>
    </row>
    <row r="822" ht="14.25" customHeight="1">
      <c r="A822" s="21"/>
      <c r="B822" s="22"/>
      <c r="C822" s="22"/>
    </row>
    <row r="823" ht="14.25" customHeight="1">
      <c r="A823" s="21"/>
      <c r="B823" s="22"/>
      <c r="C823" s="22"/>
    </row>
    <row r="824" ht="14.25" customHeight="1">
      <c r="A824" s="21"/>
      <c r="B824" s="22"/>
      <c r="C824" s="22"/>
    </row>
    <row r="825" ht="14.25" customHeight="1">
      <c r="A825" s="21"/>
      <c r="B825" s="22"/>
      <c r="C825" s="22"/>
    </row>
    <row r="826" ht="14.25" customHeight="1">
      <c r="A826" s="21"/>
      <c r="B826" s="22"/>
      <c r="C826" s="22"/>
    </row>
    <row r="827" ht="14.25" customHeight="1">
      <c r="A827" s="21"/>
      <c r="B827" s="22"/>
      <c r="C827" s="22"/>
    </row>
    <row r="828" ht="14.25" customHeight="1">
      <c r="A828" s="21"/>
      <c r="B828" s="22"/>
      <c r="C828" s="22"/>
    </row>
    <row r="829" ht="14.25" customHeight="1">
      <c r="A829" s="21"/>
      <c r="B829" s="22"/>
      <c r="C829" s="22"/>
    </row>
    <row r="830" ht="14.25" customHeight="1">
      <c r="A830" s="21"/>
      <c r="B830" s="22"/>
      <c r="C830" s="22"/>
    </row>
    <row r="831" ht="14.25" customHeight="1">
      <c r="A831" s="21"/>
      <c r="B831" s="22"/>
      <c r="C831" s="22"/>
    </row>
    <row r="832" ht="14.25" customHeight="1">
      <c r="A832" s="21"/>
      <c r="B832" s="22"/>
      <c r="C832" s="22"/>
    </row>
    <row r="833" ht="14.25" customHeight="1">
      <c r="A833" s="21"/>
      <c r="B833" s="22"/>
      <c r="C833" s="22"/>
    </row>
    <row r="834" ht="14.25" customHeight="1">
      <c r="A834" s="21"/>
      <c r="B834" s="22"/>
      <c r="C834" s="22"/>
    </row>
    <row r="835" ht="14.25" customHeight="1">
      <c r="A835" s="21"/>
      <c r="B835" s="22"/>
      <c r="C835" s="22"/>
    </row>
    <row r="836" ht="14.25" customHeight="1">
      <c r="A836" s="21"/>
      <c r="B836" s="22"/>
      <c r="C836" s="22"/>
    </row>
    <row r="837" ht="14.25" customHeight="1">
      <c r="A837" s="21"/>
      <c r="B837" s="22"/>
      <c r="C837" s="22"/>
    </row>
    <row r="838" ht="14.25" customHeight="1">
      <c r="A838" s="21"/>
      <c r="B838" s="22"/>
      <c r="C838" s="22"/>
    </row>
    <row r="839" ht="14.25" customHeight="1">
      <c r="A839" s="21"/>
      <c r="B839" s="22"/>
      <c r="C839" s="22"/>
    </row>
    <row r="840" ht="14.25" customHeight="1">
      <c r="A840" s="21"/>
      <c r="B840" s="22"/>
      <c r="C840" s="22"/>
    </row>
    <row r="841" ht="14.25" customHeight="1">
      <c r="A841" s="21"/>
      <c r="B841" s="22"/>
      <c r="C841" s="22"/>
    </row>
    <row r="842" ht="14.25" customHeight="1">
      <c r="A842" s="21"/>
      <c r="B842" s="22"/>
      <c r="C842" s="22"/>
    </row>
    <row r="843" ht="14.25" customHeight="1">
      <c r="A843" s="21"/>
      <c r="B843" s="22"/>
      <c r="C843" s="22"/>
    </row>
    <row r="844" ht="14.25" customHeight="1">
      <c r="A844" s="21"/>
      <c r="B844" s="22"/>
      <c r="C844" s="22"/>
    </row>
    <row r="845" ht="14.25" customHeight="1">
      <c r="A845" s="21"/>
      <c r="B845" s="22"/>
      <c r="C845" s="22"/>
    </row>
    <row r="846" ht="14.25" customHeight="1">
      <c r="A846" s="21"/>
      <c r="B846" s="22"/>
      <c r="C846" s="22"/>
    </row>
    <row r="847" ht="14.25" customHeight="1">
      <c r="A847" s="21"/>
      <c r="B847" s="22"/>
      <c r="C847" s="22"/>
    </row>
    <row r="848" ht="14.25" customHeight="1">
      <c r="A848" s="21"/>
      <c r="B848" s="22"/>
      <c r="C848" s="22"/>
    </row>
    <row r="849" ht="14.25" customHeight="1">
      <c r="A849" s="21"/>
      <c r="B849" s="22"/>
      <c r="C849" s="22"/>
    </row>
    <row r="850" ht="14.25" customHeight="1">
      <c r="A850" s="21"/>
      <c r="B850" s="22"/>
      <c r="C850" s="22"/>
    </row>
    <row r="851" ht="14.25" customHeight="1">
      <c r="A851" s="21"/>
      <c r="B851" s="22"/>
      <c r="C851" s="22"/>
    </row>
    <row r="852" ht="14.25" customHeight="1">
      <c r="A852" s="21"/>
      <c r="B852" s="22"/>
      <c r="C852" s="22"/>
    </row>
    <row r="853" ht="14.25" customHeight="1">
      <c r="A853" s="21"/>
      <c r="B853" s="22"/>
      <c r="C853" s="22"/>
    </row>
    <row r="854" ht="14.25" customHeight="1">
      <c r="A854" s="21"/>
      <c r="B854" s="22"/>
      <c r="C854" s="22"/>
    </row>
    <row r="855" ht="14.25" customHeight="1">
      <c r="A855" s="21"/>
      <c r="B855" s="22"/>
      <c r="C855" s="22"/>
    </row>
    <row r="856" ht="14.25" customHeight="1">
      <c r="A856" s="21"/>
      <c r="B856" s="22"/>
      <c r="C856" s="22"/>
    </row>
    <row r="857" ht="14.25" customHeight="1">
      <c r="A857" s="21"/>
      <c r="B857" s="22"/>
      <c r="C857" s="22"/>
    </row>
    <row r="858" ht="14.25" customHeight="1">
      <c r="A858" s="21"/>
      <c r="B858" s="22"/>
      <c r="C858" s="22"/>
    </row>
    <row r="859" ht="14.25" customHeight="1">
      <c r="A859" s="21"/>
      <c r="B859" s="22"/>
      <c r="C859" s="22"/>
    </row>
    <row r="860" ht="14.25" customHeight="1">
      <c r="A860" s="21"/>
      <c r="B860" s="22"/>
      <c r="C860" s="22"/>
    </row>
    <row r="861" ht="14.25" customHeight="1">
      <c r="A861" s="21"/>
      <c r="B861" s="22"/>
      <c r="C861" s="22"/>
    </row>
    <row r="862" ht="14.25" customHeight="1">
      <c r="A862" s="21"/>
      <c r="B862" s="22"/>
      <c r="C862" s="22"/>
    </row>
    <row r="863" ht="14.25" customHeight="1">
      <c r="A863" s="21"/>
      <c r="B863" s="22"/>
      <c r="C863" s="22"/>
    </row>
    <row r="864" ht="14.25" customHeight="1">
      <c r="A864" s="21"/>
      <c r="B864" s="22"/>
      <c r="C864" s="22"/>
    </row>
    <row r="865" ht="14.25" customHeight="1">
      <c r="A865" s="21"/>
      <c r="B865" s="22"/>
      <c r="C865" s="22"/>
    </row>
    <row r="866" ht="14.25" customHeight="1">
      <c r="A866" s="21"/>
      <c r="B866" s="22"/>
      <c r="C866" s="22"/>
    </row>
    <row r="867" ht="14.25" customHeight="1">
      <c r="A867" s="21"/>
      <c r="B867" s="22"/>
      <c r="C867" s="22"/>
    </row>
    <row r="868" ht="14.25" customHeight="1">
      <c r="A868" s="21"/>
      <c r="B868" s="22"/>
      <c r="C868" s="22"/>
    </row>
    <row r="869" ht="14.25" customHeight="1">
      <c r="A869" s="21"/>
      <c r="B869" s="22"/>
      <c r="C869" s="22"/>
    </row>
    <row r="870" ht="14.25" customHeight="1">
      <c r="A870" s="21"/>
      <c r="B870" s="22"/>
      <c r="C870" s="22"/>
    </row>
    <row r="871" ht="14.25" customHeight="1">
      <c r="A871" s="21"/>
      <c r="B871" s="22"/>
      <c r="C871" s="22"/>
    </row>
    <row r="872" ht="14.25" customHeight="1">
      <c r="A872" s="21"/>
      <c r="B872" s="22"/>
      <c r="C872" s="22"/>
    </row>
    <row r="873" ht="14.25" customHeight="1">
      <c r="A873" s="21"/>
      <c r="B873" s="22"/>
      <c r="C873" s="22"/>
    </row>
    <row r="874" ht="14.25" customHeight="1">
      <c r="A874" s="21"/>
      <c r="B874" s="22"/>
      <c r="C874" s="22"/>
    </row>
    <row r="875" ht="14.25" customHeight="1">
      <c r="A875" s="21"/>
      <c r="B875" s="22"/>
      <c r="C875" s="22"/>
    </row>
    <row r="876" ht="14.25" customHeight="1">
      <c r="A876" s="21"/>
      <c r="B876" s="22"/>
      <c r="C876" s="22"/>
    </row>
    <row r="877" ht="14.25" customHeight="1">
      <c r="A877" s="21"/>
      <c r="B877" s="22"/>
      <c r="C877" s="22"/>
    </row>
    <row r="878" ht="14.25" customHeight="1">
      <c r="A878" s="21"/>
      <c r="B878" s="22"/>
      <c r="C878" s="22"/>
    </row>
    <row r="879" ht="14.25" customHeight="1">
      <c r="A879" s="21"/>
      <c r="B879" s="22"/>
      <c r="C879" s="22"/>
    </row>
    <row r="880" ht="14.25" customHeight="1">
      <c r="A880" s="21"/>
      <c r="B880" s="22"/>
      <c r="C880" s="22"/>
    </row>
    <row r="881" ht="14.25" customHeight="1">
      <c r="A881" s="21"/>
      <c r="B881" s="22"/>
      <c r="C881" s="22"/>
    </row>
    <row r="882" ht="14.25" customHeight="1">
      <c r="A882" s="21"/>
      <c r="B882" s="22"/>
      <c r="C882" s="22"/>
    </row>
    <row r="883" ht="14.25" customHeight="1">
      <c r="A883" s="21"/>
      <c r="B883" s="22"/>
      <c r="C883" s="22"/>
    </row>
    <row r="884" ht="14.25" customHeight="1">
      <c r="A884" s="21"/>
      <c r="B884" s="22"/>
      <c r="C884" s="22"/>
    </row>
    <row r="885" ht="14.25" customHeight="1">
      <c r="A885" s="21"/>
      <c r="B885" s="22"/>
      <c r="C885" s="22"/>
    </row>
    <row r="886" ht="14.25" customHeight="1">
      <c r="A886" s="21"/>
      <c r="B886" s="22"/>
      <c r="C886" s="22"/>
    </row>
    <row r="887" ht="14.25" customHeight="1">
      <c r="A887" s="21"/>
      <c r="B887" s="22"/>
      <c r="C887" s="22"/>
    </row>
    <row r="888" ht="14.25" customHeight="1">
      <c r="A888" s="21"/>
      <c r="B888" s="22"/>
      <c r="C888" s="22"/>
    </row>
    <row r="889" ht="14.25" customHeight="1">
      <c r="A889" s="21"/>
      <c r="B889" s="22"/>
      <c r="C889" s="22"/>
    </row>
    <row r="890" ht="14.25" customHeight="1">
      <c r="A890" s="21"/>
      <c r="B890" s="22"/>
      <c r="C890" s="22"/>
    </row>
    <row r="891" ht="14.25" customHeight="1">
      <c r="A891" s="21"/>
      <c r="B891" s="22"/>
      <c r="C891" s="22"/>
    </row>
    <row r="892" ht="14.25" customHeight="1">
      <c r="A892" s="21"/>
      <c r="B892" s="22"/>
      <c r="C892" s="22"/>
    </row>
    <row r="893" ht="14.25" customHeight="1">
      <c r="A893" s="21"/>
      <c r="B893" s="22"/>
      <c r="C893" s="22"/>
    </row>
    <row r="894" ht="14.25" customHeight="1">
      <c r="A894" s="21"/>
      <c r="B894" s="22"/>
      <c r="C894" s="22"/>
    </row>
    <row r="895" ht="14.25" customHeight="1">
      <c r="A895" s="21"/>
      <c r="B895" s="22"/>
      <c r="C895" s="22"/>
    </row>
    <row r="896" ht="14.25" customHeight="1">
      <c r="A896" s="21"/>
      <c r="B896" s="22"/>
      <c r="C896" s="22"/>
    </row>
    <row r="897" ht="14.25" customHeight="1">
      <c r="A897" s="21"/>
      <c r="B897" s="22"/>
      <c r="C897" s="22"/>
    </row>
    <row r="898" ht="14.25" customHeight="1">
      <c r="A898" s="21"/>
      <c r="B898" s="22"/>
      <c r="C898" s="22"/>
    </row>
    <row r="899" ht="14.25" customHeight="1">
      <c r="A899" s="21"/>
      <c r="B899" s="22"/>
      <c r="C899" s="22"/>
    </row>
    <row r="900" ht="14.25" customHeight="1">
      <c r="A900" s="21"/>
      <c r="B900" s="22"/>
      <c r="C900" s="22"/>
    </row>
    <row r="901" ht="14.25" customHeight="1">
      <c r="A901" s="21"/>
      <c r="B901" s="22"/>
      <c r="C901" s="22"/>
    </row>
    <row r="902" ht="14.25" customHeight="1">
      <c r="A902" s="21"/>
      <c r="B902" s="22"/>
      <c r="C902" s="22"/>
    </row>
    <row r="903" ht="14.25" customHeight="1">
      <c r="A903" s="21"/>
      <c r="B903" s="22"/>
      <c r="C903" s="22"/>
    </row>
    <row r="904" ht="14.25" customHeight="1">
      <c r="A904" s="21"/>
      <c r="B904" s="22"/>
      <c r="C904" s="22"/>
    </row>
    <row r="905" ht="14.25" customHeight="1">
      <c r="A905" s="21"/>
      <c r="B905" s="22"/>
      <c r="C905" s="22"/>
    </row>
    <row r="906" ht="14.25" customHeight="1">
      <c r="A906" s="21"/>
      <c r="B906" s="22"/>
      <c r="C906" s="22"/>
    </row>
    <row r="907" ht="14.25" customHeight="1">
      <c r="A907" s="21"/>
      <c r="B907" s="22"/>
      <c r="C907" s="22"/>
    </row>
    <row r="908" ht="14.25" customHeight="1">
      <c r="A908" s="21"/>
      <c r="B908" s="22"/>
      <c r="C908" s="22"/>
    </row>
    <row r="909" ht="14.25" customHeight="1">
      <c r="A909" s="21"/>
      <c r="B909" s="22"/>
      <c r="C909" s="22"/>
    </row>
    <row r="910" ht="14.25" customHeight="1">
      <c r="A910" s="21"/>
      <c r="B910" s="22"/>
      <c r="C910" s="22"/>
    </row>
    <row r="911" ht="14.25" customHeight="1">
      <c r="A911" s="21"/>
      <c r="B911" s="22"/>
      <c r="C911" s="22"/>
    </row>
    <row r="912" ht="14.25" customHeight="1">
      <c r="A912" s="21"/>
      <c r="B912" s="22"/>
      <c r="C912" s="22"/>
    </row>
    <row r="913" ht="14.25" customHeight="1">
      <c r="A913" s="21"/>
      <c r="B913" s="22"/>
      <c r="C913" s="22"/>
    </row>
    <row r="914" ht="14.25" customHeight="1">
      <c r="A914" s="21"/>
      <c r="B914" s="22"/>
      <c r="C914" s="22"/>
    </row>
    <row r="915" ht="14.25" customHeight="1">
      <c r="A915" s="21"/>
      <c r="B915" s="22"/>
      <c r="C915" s="22"/>
    </row>
    <row r="916" ht="14.25" customHeight="1">
      <c r="A916" s="21"/>
      <c r="B916" s="22"/>
      <c r="C916" s="22"/>
    </row>
    <row r="917" ht="14.25" customHeight="1">
      <c r="A917" s="21"/>
      <c r="B917" s="22"/>
      <c r="C917" s="22"/>
    </row>
    <row r="918" ht="14.25" customHeight="1">
      <c r="A918" s="21"/>
      <c r="B918" s="22"/>
      <c r="C918" s="22"/>
    </row>
    <row r="919" ht="14.25" customHeight="1">
      <c r="A919" s="21"/>
      <c r="B919" s="22"/>
      <c r="C919" s="22"/>
    </row>
    <row r="920" ht="14.25" customHeight="1">
      <c r="A920" s="21"/>
      <c r="B920" s="22"/>
      <c r="C920" s="22"/>
    </row>
    <row r="921" ht="14.25" customHeight="1">
      <c r="A921" s="21"/>
      <c r="B921" s="22"/>
      <c r="C921" s="22"/>
    </row>
    <row r="922" ht="14.25" customHeight="1">
      <c r="A922" s="21"/>
      <c r="B922" s="22"/>
      <c r="C922" s="22"/>
    </row>
    <row r="923" ht="14.25" customHeight="1">
      <c r="A923" s="21"/>
      <c r="B923" s="22"/>
      <c r="C923" s="22"/>
    </row>
    <row r="924" ht="14.25" customHeight="1">
      <c r="A924" s="21"/>
      <c r="B924" s="22"/>
      <c r="C924" s="22"/>
    </row>
    <row r="925" ht="14.25" customHeight="1">
      <c r="A925" s="21"/>
      <c r="B925" s="22"/>
      <c r="C925" s="22"/>
    </row>
    <row r="926" ht="14.25" customHeight="1">
      <c r="A926" s="21"/>
      <c r="B926" s="22"/>
      <c r="C926" s="22"/>
    </row>
    <row r="927" ht="14.25" customHeight="1">
      <c r="A927" s="21"/>
      <c r="B927" s="22"/>
      <c r="C927" s="22"/>
    </row>
    <row r="928" ht="14.25" customHeight="1">
      <c r="A928" s="21"/>
      <c r="B928" s="22"/>
      <c r="C928" s="22"/>
    </row>
    <row r="929" ht="14.25" customHeight="1">
      <c r="A929" s="21"/>
      <c r="B929" s="22"/>
      <c r="C929" s="22"/>
    </row>
    <row r="930" ht="14.25" customHeight="1">
      <c r="A930" s="21"/>
      <c r="B930" s="22"/>
      <c r="C930" s="22"/>
    </row>
    <row r="931" ht="14.25" customHeight="1">
      <c r="A931" s="21"/>
      <c r="B931" s="22"/>
      <c r="C931" s="22"/>
    </row>
    <row r="932" ht="14.25" customHeight="1">
      <c r="A932" s="21"/>
      <c r="B932" s="22"/>
      <c r="C932" s="22"/>
    </row>
    <row r="933" ht="14.25" customHeight="1">
      <c r="A933" s="21"/>
      <c r="B933" s="22"/>
      <c r="C933" s="22"/>
    </row>
    <row r="934" ht="14.25" customHeight="1">
      <c r="A934" s="21"/>
      <c r="B934" s="22"/>
      <c r="C934" s="22"/>
    </row>
    <row r="935" ht="14.25" customHeight="1">
      <c r="A935" s="21"/>
      <c r="B935" s="22"/>
      <c r="C935" s="22"/>
    </row>
    <row r="936" ht="14.25" customHeight="1">
      <c r="A936" s="21"/>
      <c r="B936" s="22"/>
      <c r="C936" s="22"/>
    </row>
    <row r="937" ht="14.25" customHeight="1">
      <c r="A937" s="21"/>
      <c r="B937" s="22"/>
      <c r="C937" s="22"/>
    </row>
    <row r="938" ht="14.25" customHeight="1">
      <c r="A938" s="21"/>
      <c r="B938" s="22"/>
      <c r="C938" s="22"/>
    </row>
    <row r="939" ht="14.25" customHeight="1">
      <c r="A939" s="21"/>
      <c r="B939" s="22"/>
      <c r="C939" s="22"/>
    </row>
    <row r="940" ht="14.25" customHeight="1">
      <c r="A940" s="21"/>
      <c r="B940" s="22"/>
      <c r="C940" s="22"/>
    </row>
    <row r="941" ht="14.25" customHeight="1">
      <c r="A941" s="21"/>
      <c r="B941" s="22"/>
      <c r="C941" s="22"/>
    </row>
    <row r="942" ht="14.25" customHeight="1">
      <c r="A942" s="21"/>
      <c r="B942" s="22"/>
      <c r="C942" s="22"/>
    </row>
    <row r="943" ht="14.25" customHeight="1">
      <c r="A943" s="21"/>
      <c r="B943" s="22"/>
      <c r="C943" s="22"/>
    </row>
    <row r="944" ht="14.25" customHeight="1">
      <c r="A944" s="21"/>
      <c r="B944" s="22"/>
      <c r="C944" s="22"/>
    </row>
    <row r="945" ht="14.25" customHeight="1">
      <c r="A945" s="21"/>
      <c r="B945" s="22"/>
      <c r="C945" s="22"/>
    </row>
    <row r="946" ht="14.25" customHeight="1">
      <c r="A946" s="21"/>
      <c r="B946" s="22"/>
      <c r="C946" s="22"/>
    </row>
    <row r="947" ht="14.25" customHeight="1">
      <c r="A947" s="21"/>
      <c r="B947" s="22"/>
      <c r="C947" s="22"/>
    </row>
    <row r="948" ht="14.25" customHeight="1">
      <c r="A948" s="21"/>
      <c r="B948" s="22"/>
      <c r="C948" s="22"/>
    </row>
    <row r="949" ht="14.25" customHeight="1">
      <c r="A949" s="21"/>
      <c r="B949" s="22"/>
      <c r="C949" s="22"/>
    </row>
    <row r="950" ht="14.25" customHeight="1">
      <c r="A950" s="21"/>
      <c r="B950" s="22"/>
      <c r="C950" s="22"/>
    </row>
    <row r="951" ht="14.25" customHeight="1">
      <c r="A951" s="21"/>
      <c r="B951" s="22"/>
      <c r="C951" s="22"/>
    </row>
    <row r="952" ht="14.25" customHeight="1">
      <c r="A952" s="21"/>
      <c r="B952" s="22"/>
      <c r="C952" s="22"/>
    </row>
    <row r="953" ht="14.25" customHeight="1">
      <c r="A953" s="21"/>
      <c r="B953" s="22"/>
      <c r="C953" s="22"/>
    </row>
    <row r="954" ht="14.25" customHeight="1">
      <c r="A954" s="21"/>
      <c r="B954" s="22"/>
      <c r="C954" s="22"/>
    </row>
    <row r="955" ht="14.25" customHeight="1">
      <c r="A955" s="21"/>
      <c r="B955" s="22"/>
      <c r="C955" s="22"/>
    </row>
    <row r="956" ht="14.25" customHeight="1">
      <c r="A956" s="21"/>
      <c r="B956" s="22"/>
      <c r="C956" s="22"/>
    </row>
    <row r="957" ht="14.25" customHeight="1">
      <c r="A957" s="21"/>
      <c r="B957" s="22"/>
      <c r="C957" s="22"/>
    </row>
    <row r="958" ht="14.25" customHeight="1">
      <c r="A958" s="21"/>
      <c r="B958" s="22"/>
      <c r="C958" s="22"/>
    </row>
    <row r="959" ht="14.25" customHeight="1">
      <c r="A959" s="21"/>
      <c r="B959" s="22"/>
      <c r="C959" s="22"/>
    </row>
    <row r="960" ht="14.25" customHeight="1">
      <c r="A960" s="21"/>
      <c r="B960" s="22"/>
      <c r="C960" s="22"/>
    </row>
    <row r="961" ht="14.25" customHeight="1">
      <c r="A961" s="21"/>
      <c r="B961" s="22"/>
      <c r="C961" s="22"/>
    </row>
    <row r="962" ht="14.25" customHeight="1">
      <c r="A962" s="21"/>
      <c r="B962" s="22"/>
      <c r="C962" s="22"/>
    </row>
    <row r="963" ht="14.25" customHeight="1">
      <c r="A963" s="21"/>
      <c r="B963" s="22"/>
      <c r="C963" s="22"/>
    </row>
    <row r="964" ht="14.25" customHeight="1">
      <c r="A964" s="21"/>
      <c r="B964" s="22"/>
      <c r="C964" s="22"/>
    </row>
    <row r="965" ht="14.25" customHeight="1">
      <c r="A965" s="21"/>
      <c r="B965" s="22"/>
      <c r="C965" s="22"/>
    </row>
    <row r="966" ht="14.25" customHeight="1">
      <c r="A966" s="21"/>
      <c r="B966" s="22"/>
      <c r="C966" s="22"/>
    </row>
    <row r="967" ht="14.25" customHeight="1">
      <c r="A967" s="21"/>
      <c r="B967" s="22"/>
      <c r="C967" s="22"/>
    </row>
    <row r="968" ht="14.25" customHeight="1">
      <c r="A968" s="21"/>
      <c r="B968" s="22"/>
      <c r="C968" s="22"/>
    </row>
    <row r="969" ht="14.25" customHeight="1">
      <c r="A969" s="21"/>
      <c r="B969" s="22"/>
      <c r="C969" s="22"/>
    </row>
    <row r="970" ht="14.25" customHeight="1">
      <c r="A970" s="21"/>
      <c r="B970" s="22"/>
      <c r="C970" s="22"/>
    </row>
    <row r="971" ht="14.25" customHeight="1">
      <c r="A971" s="21"/>
      <c r="B971" s="22"/>
      <c r="C971" s="22"/>
    </row>
    <row r="972" ht="14.25" customHeight="1">
      <c r="A972" s="21"/>
      <c r="B972" s="22"/>
      <c r="C972" s="22"/>
    </row>
    <row r="973" ht="14.25" customHeight="1">
      <c r="A973" s="21"/>
      <c r="B973" s="22"/>
      <c r="C973" s="22"/>
    </row>
    <row r="974" ht="14.25" customHeight="1">
      <c r="A974" s="21"/>
      <c r="B974" s="22"/>
      <c r="C974" s="22"/>
    </row>
    <row r="975" ht="14.25" customHeight="1">
      <c r="A975" s="21"/>
      <c r="B975" s="22"/>
      <c r="C975" s="22"/>
    </row>
    <row r="976" ht="14.25" customHeight="1">
      <c r="A976" s="21"/>
      <c r="B976" s="22"/>
      <c r="C976" s="22"/>
    </row>
    <row r="977" ht="14.25" customHeight="1">
      <c r="A977" s="21"/>
      <c r="B977" s="22"/>
      <c r="C977" s="22"/>
    </row>
    <row r="978" ht="14.25" customHeight="1">
      <c r="A978" s="21"/>
      <c r="B978" s="22"/>
      <c r="C978" s="22"/>
    </row>
    <row r="979" ht="14.25" customHeight="1">
      <c r="A979" s="21"/>
      <c r="B979" s="22"/>
      <c r="C979" s="22"/>
    </row>
    <row r="980" ht="14.25" customHeight="1">
      <c r="A980" s="21"/>
      <c r="B980" s="22"/>
      <c r="C980" s="22"/>
    </row>
    <row r="981" ht="14.25" customHeight="1">
      <c r="A981" s="21"/>
      <c r="B981" s="22"/>
      <c r="C981" s="22"/>
    </row>
    <row r="982" ht="14.25" customHeight="1">
      <c r="A982" s="21"/>
      <c r="B982" s="22"/>
      <c r="C982" s="22"/>
    </row>
    <row r="983" ht="14.25" customHeight="1">
      <c r="A983" s="21"/>
      <c r="B983" s="22"/>
      <c r="C983" s="22"/>
    </row>
    <row r="984" ht="14.25" customHeight="1">
      <c r="A984" s="21"/>
      <c r="B984" s="22"/>
      <c r="C984" s="22"/>
    </row>
    <row r="985" ht="14.25" customHeight="1">
      <c r="A985" s="21"/>
      <c r="B985" s="22"/>
      <c r="C985" s="22"/>
    </row>
    <row r="986" ht="14.25" customHeight="1">
      <c r="A986" s="21"/>
      <c r="B986" s="22"/>
      <c r="C986" s="22"/>
    </row>
    <row r="987" ht="14.25" customHeight="1">
      <c r="A987" s="21"/>
      <c r="B987" s="22"/>
      <c r="C987" s="22"/>
    </row>
    <row r="988" ht="14.25" customHeight="1">
      <c r="A988" s="21"/>
      <c r="B988" s="22"/>
      <c r="C988" s="22"/>
    </row>
    <row r="989" ht="14.25" customHeight="1">
      <c r="A989" s="21"/>
      <c r="B989" s="22"/>
      <c r="C989" s="22"/>
    </row>
    <row r="990" ht="14.25" customHeight="1">
      <c r="A990" s="21"/>
      <c r="B990" s="22"/>
      <c r="C990" s="22"/>
    </row>
    <row r="991" ht="14.25" customHeight="1">
      <c r="A991" s="21"/>
      <c r="B991" s="22"/>
      <c r="C991" s="22"/>
    </row>
    <row r="992" ht="14.25" customHeight="1">
      <c r="A992" s="21"/>
      <c r="B992" s="22"/>
      <c r="C992" s="22"/>
    </row>
    <row r="993" ht="14.25" customHeight="1">
      <c r="A993" s="21"/>
      <c r="B993" s="22"/>
      <c r="C993" s="22"/>
    </row>
    <row r="994" ht="14.25" customHeight="1">
      <c r="A994" s="21"/>
      <c r="B994" s="22"/>
      <c r="C994" s="22"/>
    </row>
    <row r="995" ht="14.25" customHeight="1">
      <c r="A995" s="21"/>
      <c r="B995" s="22"/>
      <c r="C995" s="22"/>
    </row>
    <row r="996" ht="14.25" customHeight="1">
      <c r="A996" s="21"/>
      <c r="B996" s="22"/>
      <c r="C996" s="22"/>
    </row>
    <row r="997" ht="14.25" customHeight="1">
      <c r="A997" s="21"/>
      <c r="B997" s="22"/>
      <c r="C997" s="22"/>
    </row>
    <row r="998" ht="14.25" customHeight="1">
      <c r="A998" s="21"/>
      <c r="B998" s="22"/>
      <c r="C998" s="22"/>
    </row>
    <row r="999" ht="14.25" customHeight="1">
      <c r="A999" s="21"/>
      <c r="B999" s="22"/>
      <c r="C999" s="22"/>
    </row>
    <row r="1000" ht="14.25" customHeight="1">
      <c r="A1000" s="21"/>
      <c r="B1000" s="22"/>
      <c r="C1000" s="22"/>
    </row>
  </sheetData>
  <mergeCells count="9">
    <mergeCell ref="A74:C75"/>
    <mergeCell ref="A78:C80"/>
    <mergeCell ref="A1:A2"/>
    <mergeCell ref="B1:C1"/>
    <mergeCell ref="E1:G1"/>
    <mergeCell ref="B2:C2"/>
    <mergeCell ref="A3:C3"/>
    <mergeCell ref="B54:B55"/>
    <mergeCell ref="A66:C70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5.86"/>
    <col customWidth="1" min="2" max="2" width="11.0"/>
    <col customWidth="1" min="3" max="3" width="9.14"/>
    <col customWidth="1" min="4" max="26" width="8.71"/>
  </cols>
  <sheetData>
    <row r="1" ht="14.25" customHeight="1">
      <c r="A1" s="1"/>
      <c r="B1" s="2" t="s">
        <v>0</v>
      </c>
      <c r="D1" s="74" t="s">
        <v>538</v>
      </c>
      <c r="E1" s="74" t="s">
        <v>539</v>
      </c>
      <c r="F1" s="74"/>
      <c r="G1" s="74"/>
      <c r="H1" s="74" t="s">
        <v>540</v>
      </c>
      <c r="I1" s="74"/>
      <c r="J1" s="74" t="s">
        <v>541</v>
      </c>
      <c r="K1" s="74"/>
      <c r="L1" s="74"/>
      <c r="M1" s="74"/>
      <c r="N1" s="74" t="s">
        <v>542</v>
      </c>
      <c r="O1" s="74"/>
      <c r="P1" s="74"/>
      <c r="Q1" s="74" t="s">
        <v>543</v>
      </c>
      <c r="R1" s="75"/>
      <c r="S1" s="75"/>
      <c r="T1" s="75"/>
      <c r="U1" s="75"/>
      <c r="V1" s="75"/>
      <c r="W1" s="75"/>
      <c r="X1" s="75"/>
      <c r="Y1" s="75"/>
      <c r="Z1" s="75"/>
    </row>
    <row r="2" ht="14.25" customHeight="1">
      <c r="A2" s="4"/>
      <c r="B2" s="5" t="s">
        <v>44</v>
      </c>
      <c r="C2" s="4"/>
      <c r="D2" s="76" t="s">
        <v>508</v>
      </c>
      <c r="E2" s="76" t="s">
        <v>544</v>
      </c>
      <c r="F2" s="76" t="s">
        <v>545</v>
      </c>
      <c r="G2" s="76" t="s">
        <v>546</v>
      </c>
      <c r="H2" s="76" t="s">
        <v>547</v>
      </c>
      <c r="I2" s="76" t="s">
        <v>548</v>
      </c>
      <c r="J2" s="76" t="s">
        <v>549</v>
      </c>
      <c r="K2" s="76" t="s">
        <v>550</v>
      </c>
      <c r="L2" s="31" t="s">
        <v>551</v>
      </c>
      <c r="M2" s="76" t="s">
        <v>509</v>
      </c>
      <c r="N2" s="76" t="s">
        <v>552</v>
      </c>
      <c r="O2" s="76" t="s">
        <v>553</v>
      </c>
      <c r="P2" s="76" t="s">
        <v>554</v>
      </c>
      <c r="Q2" s="76" t="s">
        <v>555</v>
      </c>
      <c r="R2" s="77"/>
      <c r="S2" s="77"/>
      <c r="T2" s="77"/>
      <c r="U2" s="77"/>
      <c r="V2" s="77"/>
      <c r="W2" s="77"/>
      <c r="X2" s="77"/>
      <c r="Y2" s="77"/>
      <c r="Z2" s="77"/>
    </row>
    <row r="3" ht="14.25" customHeight="1">
      <c r="A3" s="78" t="s">
        <v>88</v>
      </c>
      <c r="B3" s="16"/>
      <c r="C3" s="17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</row>
    <row r="4" ht="14.25" customHeight="1">
      <c r="A4" s="80" t="s">
        <v>89</v>
      </c>
      <c r="B4" s="81" t="s">
        <v>90</v>
      </c>
      <c r="C4" s="81" t="s">
        <v>91</v>
      </c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</row>
    <row r="5" ht="14.25" customHeight="1">
      <c r="A5" s="21" t="s">
        <v>92</v>
      </c>
      <c r="B5" s="22" t="s">
        <v>93</v>
      </c>
      <c r="C5" s="22"/>
      <c r="D5" s="23">
        <v>99.7</v>
      </c>
      <c r="E5" s="23">
        <v>99.09</v>
      </c>
      <c r="F5" s="23">
        <v>99.39</v>
      </c>
      <c r="G5" s="23">
        <v>97.8</v>
      </c>
      <c r="H5" s="23">
        <v>86.34</v>
      </c>
      <c r="I5" s="23">
        <v>1.5</v>
      </c>
      <c r="J5" s="23">
        <v>1.25</v>
      </c>
      <c r="K5" s="23">
        <v>0.5</v>
      </c>
      <c r="L5" s="23">
        <v>1.5</v>
      </c>
      <c r="M5" s="23">
        <v>1.3</v>
      </c>
      <c r="N5" s="23">
        <v>86.49</v>
      </c>
      <c r="O5" s="23">
        <v>86.86</v>
      </c>
      <c r="P5" s="23">
        <v>72.53</v>
      </c>
      <c r="Q5" s="23">
        <v>91.96</v>
      </c>
    </row>
    <row r="6" ht="14.25" customHeight="1">
      <c r="A6" s="21" t="s">
        <v>94</v>
      </c>
      <c r="B6" s="22" t="s">
        <v>95</v>
      </c>
      <c r="C6" s="22"/>
      <c r="D6" s="23">
        <v>1.0</v>
      </c>
      <c r="E6" s="23">
        <v>2.0</v>
      </c>
      <c r="F6" s="23">
        <v>1.0</v>
      </c>
      <c r="G6" s="23">
        <v>2.0</v>
      </c>
      <c r="H6" s="23">
        <v>55.0</v>
      </c>
      <c r="I6" s="23">
        <v>398.0</v>
      </c>
      <c r="J6" s="23">
        <v>579.0</v>
      </c>
      <c r="K6" s="23">
        <v>507.0</v>
      </c>
      <c r="L6" s="23">
        <v>535.0</v>
      </c>
      <c r="M6" s="23">
        <v>539.0</v>
      </c>
      <c r="N6" s="23">
        <v>85.0</v>
      </c>
      <c r="O6" s="23">
        <v>82.0</v>
      </c>
      <c r="P6" s="23">
        <v>152.0</v>
      </c>
      <c r="Q6" s="23">
        <v>43.0</v>
      </c>
    </row>
    <row r="7" ht="14.25" customHeight="1">
      <c r="A7" s="21" t="s">
        <v>96</v>
      </c>
      <c r="B7" s="22" t="s">
        <v>97</v>
      </c>
      <c r="C7" s="22" t="s">
        <v>98</v>
      </c>
      <c r="D7" s="23">
        <v>0.0</v>
      </c>
      <c r="E7" s="23">
        <v>0.1</v>
      </c>
      <c r="F7" s="23">
        <v>0.12</v>
      </c>
      <c r="G7" s="23">
        <v>0.12</v>
      </c>
      <c r="H7" s="23">
        <v>0.92</v>
      </c>
      <c r="I7" s="23">
        <v>6.67</v>
      </c>
      <c r="J7" s="23">
        <v>6.12</v>
      </c>
      <c r="K7" s="23">
        <v>3.9</v>
      </c>
      <c r="L7" s="24">
        <v>7.65</v>
      </c>
      <c r="M7" s="23">
        <v>5.87</v>
      </c>
      <c r="N7" s="23">
        <v>0.07</v>
      </c>
      <c r="O7" s="23">
        <v>0.07</v>
      </c>
      <c r="P7" s="23">
        <v>0.2</v>
      </c>
      <c r="Q7" s="23">
        <v>0.46</v>
      </c>
    </row>
    <row r="8" ht="14.25" customHeight="1">
      <c r="A8" s="21" t="s">
        <v>99</v>
      </c>
      <c r="B8" s="22" t="s">
        <v>100</v>
      </c>
      <c r="C8" s="22"/>
      <c r="D8" s="23">
        <v>0.0</v>
      </c>
      <c r="E8" s="23">
        <v>0.0</v>
      </c>
      <c r="F8" s="23">
        <v>0.02</v>
      </c>
      <c r="G8" s="23">
        <v>0.18</v>
      </c>
      <c r="H8" s="23">
        <v>0.55</v>
      </c>
      <c r="I8" s="23">
        <v>4.0</v>
      </c>
      <c r="J8" s="26">
        <v>38.31</v>
      </c>
      <c r="K8" s="25">
        <v>34.2</v>
      </c>
      <c r="L8" s="25">
        <v>29.66</v>
      </c>
      <c r="M8" s="25">
        <v>32.09</v>
      </c>
      <c r="N8" s="23">
        <v>0.0</v>
      </c>
      <c r="O8" s="23">
        <v>0.0</v>
      </c>
      <c r="P8" s="23">
        <v>0.0</v>
      </c>
      <c r="Q8" s="23">
        <v>0.0</v>
      </c>
    </row>
    <row r="9" ht="14.25" customHeight="1">
      <c r="A9" s="21" t="s">
        <v>101</v>
      </c>
      <c r="B9" s="22" t="s">
        <v>102</v>
      </c>
      <c r="C9" s="22"/>
      <c r="D9" s="23">
        <v>0.3</v>
      </c>
      <c r="E9" s="23">
        <v>0.34</v>
      </c>
      <c r="F9" s="23">
        <v>0.0</v>
      </c>
      <c r="G9" s="23">
        <v>0.0</v>
      </c>
      <c r="H9" s="23">
        <v>11.54</v>
      </c>
      <c r="I9" s="23">
        <v>83.73</v>
      </c>
      <c r="J9" s="23">
        <v>52.42</v>
      </c>
      <c r="K9" s="23">
        <v>60.4</v>
      </c>
      <c r="L9" s="23">
        <v>59.4</v>
      </c>
      <c r="M9" s="23">
        <v>59.24</v>
      </c>
      <c r="N9" s="23">
        <v>2.61</v>
      </c>
      <c r="O9" s="23">
        <v>2.6</v>
      </c>
      <c r="P9" s="23">
        <v>11.67</v>
      </c>
      <c r="Q9" s="23">
        <v>3.55</v>
      </c>
    </row>
    <row r="10" ht="14.25" customHeight="1">
      <c r="A10" s="21" t="s">
        <v>103</v>
      </c>
      <c r="B10" s="22" t="s">
        <v>104</v>
      </c>
      <c r="C10" s="22"/>
      <c r="D10" s="23">
        <v>0.0</v>
      </c>
      <c r="E10" s="23">
        <v>0.0</v>
      </c>
      <c r="F10" s="23">
        <v>0.0</v>
      </c>
      <c r="G10" s="23">
        <v>0.0</v>
      </c>
      <c r="H10" s="23">
        <v>0.5</v>
      </c>
      <c r="I10" s="23">
        <v>3.7</v>
      </c>
      <c r="J10" s="24">
        <v>8.0</v>
      </c>
      <c r="K10" s="23">
        <v>5.5</v>
      </c>
      <c r="L10" s="23">
        <v>3.4</v>
      </c>
      <c r="M10" s="23">
        <v>0.2</v>
      </c>
      <c r="N10" s="23">
        <v>0.0</v>
      </c>
      <c r="O10" s="23">
        <v>0.0</v>
      </c>
      <c r="P10" s="23">
        <v>0.0</v>
      </c>
      <c r="Q10" s="23">
        <v>0.0</v>
      </c>
    </row>
    <row r="11" ht="14.25" customHeight="1">
      <c r="A11" s="21" t="s">
        <v>105</v>
      </c>
      <c r="B11" s="22"/>
      <c r="C11" s="22"/>
      <c r="D11" s="23">
        <v>0.0</v>
      </c>
      <c r="E11" s="23">
        <v>0.0</v>
      </c>
      <c r="F11" s="23">
        <v>0.0</v>
      </c>
      <c r="G11" s="23">
        <v>0.0</v>
      </c>
      <c r="H11" s="23">
        <v>9.03</v>
      </c>
      <c r="I11" s="23">
        <v>65.55</v>
      </c>
      <c r="J11" s="23">
        <v>36.71</v>
      </c>
      <c r="K11" s="23">
        <v>51.48</v>
      </c>
      <c r="L11" s="23">
        <v>51.5</v>
      </c>
      <c r="M11" s="23">
        <v>59.0</v>
      </c>
      <c r="N11" s="23">
        <v>0.62</v>
      </c>
      <c r="O11" s="23">
        <v>0.96</v>
      </c>
      <c r="P11" s="23">
        <v>1.09</v>
      </c>
      <c r="Q11" s="23">
        <v>0.0</v>
      </c>
    </row>
    <row r="12" ht="14.25" customHeight="1">
      <c r="A12" s="80" t="s">
        <v>106</v>
      </c>
      <c r="B12" s="83"/>
      <c r="C12" s="83"/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82"/>
      <c r="S12" s="82"/>
      <c r="T12" s="82"/>
      <c r="U12" s="82"/>
      <c r="V12" s="82"/>
      <c r="W12" s="82"/>
      <c r="X12" s="82"/>
      <c r="Y12" s="82"/>
      <c r="Z12" s="82"/>
    </row>
    <row r="13" ht="14.25" customHeight="1">
      <c r="A13" s="21" t="s">
        <v>107</v>
      </c>
      <c r="B13" s="22">
        <v>1000.0</v>
      </c>
      <c r="C13" s="22">
        <v>2500.0</v>
      </c>
      <c r="D13" s="23">
        <v>0.0</v>
      </c>
      <c r="E13" s="23">
        <v>4.0</v>
      </c>
      <c r="F13" s="23">
        <v>2.0</v>
      </c>
      <c r="G13" s="23">
        <v>2.0</v>
      </c>
      <c r="H13" s="23">
        <v>21.0</v>
      </c>
      <c r="I13" s="24">
        <v>133.0</v>
      </c>
      <c r="J13" s="23">
        <v>62.0</v>
      </c>
      <c r="K13" s="23">
        <v>24.0</v>
      </c>
      <c r="L13" s="25">
        <v>189.0</v>
      </c>
      <c r="M13" s="25">
        <v>199.0</v>
      </c>
      <c r="N13" s="23">
        <v>8.0</v>
      </c>
      <c r="O13" s="23">
        <v>9.0</v>
      </c>
      <c r="P13" s="23">
        <v>8.0</v>
      </c>
      <c r="Q13" s="23">
        <v>4.0</v>
      </c>
    </row>
    <row r="14" ht="14.25" customHeight="1">
      <c r="A14" s="21" t="s">
        <v>108</v>
      </c>
      <c r="B14" s="22" t="s">
        <v>109</v>
      </c>
      <c r="C14" s="22" t="s">
        <v>110</v>
      </c>
      <c r="D14" s="23">
        <v>0.02</v>
      </c>
      <c r="E14" s="23">
        <v>0.04</v>
      </c>
      <c r="F14" s="23">
        <v>0.01</v>
      </c>
      <c r="G14" s="23">
        <v>0.13</v>
      </c>
      <c r="H14" s="23">
        <v>0.17</v>
      </c>
      <c r="I14" s="23">
        <v>1.19</v>
      </c>
      <c r="J14" s="25">
        <v>6.32</v>
      </c>
      <c r="K14" s="24">
        <v>2.76</v>
      </c>
      <c r="L14" s="24">
        <v>2.35</v>
      </c>
      <c r="M14" s="23">
        <v>0.24</v>
      </c>
      <c r="N14" s="23">
        <v>0.46</v>
      </c>
      <c r="O14" s="23">
        <v>0.27</v>
      </c>
      <c r="P14" s="23">
        <v>0.24</v>
      </c>
      <c r="Q14" s="23">
        <v>0.02</v>
      </c>
    </row>
    <row r="15" ht="14.25" customHeight="1">
      <c r="A15" s="21" t="s">
        <v>111</v>
      </c>
      <c r="B15" s="22" t="s">
        <v>112</v>
      </c>
      <c r="C15" s="22">
        <v>350.0</v>
      </c>
      <c r="D15" s="23">
        <v>3.0</v>
      </c>
      <c r="E15" s="23">
        <v>4.0</v>
      </c>
      <c r="F15" s="23">
        <v>3.0</v>
      </c>
      <c r="G15" s="21">
        <v>80.0</v>
      </c>
      <c r="H15" s="23">
        <v>12.0</v>
      </c>
      <c r="I15" s="21">
        <v>83.0</v>
      </c>
      <c r="J15" s="25">
        <v>176.0</v>
      </c>
      <c r="K15" s="24">
        <v>113.0</v>
      </c>
      <c r="L15" s="23">
        <v>63.0</v>
      </c>
      <c r="M15" s="23">
        <v>12.0</v>
      </c>
      <c r="N15" s="23">
        <v>12.0</v>
      </c>
      <c r="O15" s="23">
        <v>10.0</v>
      </c>
      <c r="P15" s="23">
        <v>9.0</v>
      </c>
      <c r="Q15" s="23">
        <v>6.0</v>
      </c>
    </row>
    <row r="16" ht="14.25" customHeight="1">
      <c r="A16" s="21" t="s">
        <v>113</v>
      </c>
      <c r="B16" s="22" t="s">
        <v>114</v>
      </c>
      <c r="C16" s="22">
        <v>4000.0</v>
      </c>
      <c r="D16" s="23">
        <v>1.0</v>
      </c>
      <c r="E16" s="23">
        <v>3.0</v>
      </c>
      <c r="F16" s="23">
        <v>3.0</v>
      </c>
      <c r="G16" s="23">
        <v>7.0</v>
      </c>
      <c r="H16" s="23">
        <v>43.0</v>
      </c>
      <c r="I16" s="25">
        <v>315.0</v>
      </c>
      <c r="J16" s="24">
        <v>260.0</v>
      </c>
      <c r="K16" s="23">
        <v>147.0</v>
      </c>
      <c r="L16" s="24">
        <v>208.0</v>
      </c>
      <c r="M16" s="23">
        <v>176.0</v>
      </c>
      <c r="N16" s="23">
        <v>23.0</v>
      </c>
      <c r="O16" s="23">
        <v>18.0</v>
      </c>
      <c r="P16" s="23">
        <v>9.0</v>
      </c>
      <c r="Q16" s="23">
        <v>14.0</v>
      </c>
    </row>
    <row r="17" ht="14.25" customHeight="1">
      <c r="A17" s="21" t="s">
        <v>115</v>
      </c>
      <c r="B17" s="22" t="s">
        <v>116</v>
      </c>
      <c r="C17" s="22" t="s">
        <v>100</v>
      </c>
      <c r="D17" s="23">
        <v>37.0</v>
      </c>
      <c r="E17" s="23">
        <v>30.0</v>
      </c>
      <c r="F17" s="23">
        <v>49.0</v>
      </c>
      <c r="G17" s="23">
        <v>115.0</v>
      </c>
      <c r="H17" s="23">
        <v>99.0</v>
      </c>
      <c r="I17" s="25">
        <v>712.0</v>
      </c>
      <c r="J17" s="25">
        <v>567.0</v>
      </c>
      <c r="K17" s="24">
        <v>290.0</v>
      </c>
      <c r="L17" s="24">
        <v>372.0</v>
      </c>
      <c r="M17" s="24">
        <v>286.0</v>
      </c>
      <c r="N17" s="23">
        <v>127.0</v>
      </c>
      <c r="O17" s="23">
        <v>71.0</v>
      </c>
      <c r="P17" s="23">
        <v>92.0</v>
      </c>
      <c r="Q17" s="23">
        <v>27.0</v>
      </c>
    </row>
    <row r="18" ht="14.25" customHeight="1">
      <c r="A18" s="21" t="s">
        <v>117</v>
      </c>
      <c r="B18" s="22" t="s">
        <v>118</v>
      </c>
      <c r="C18" s="22">
        <v>2300.0</v>
      </c>
      <c r="D18" s="23">
        <v>3.0</v>
      </c>
      <c r="E18" s="23">
        <v>4.0</v>
      </c>
      <c r="F18" s="23">
        <v>2.0</v>
      </c>
      <c r="G18" s="23">
        <v>14.0</v>
      </c>
      <c r="H18" s="24">
        <v>73.0</v>
      </c>
      <c r="I18" s="25">
        <v>504.0</v>
      </c>
      <c r="J18" s="23">
        <v>10.0</v>
      </c>
      <c r="K18" s="23">
        <v>16.0</v>
      </c>
      <c r="L18" s="24">
        <v>79.0</v>
      </c>
      <c r="M18" s="24">
        <v>90.0</v>
      </c>
      <c r="N18" s="23">
        <v>4.0</v>
      </c>
      <c r="O18" s="23">
        <v>5.0</v>
      </c>
      <c r="P18" s="23">
        <v>9.0</v>
      </c>
      <c r="Q18" s="23">
        <v>4.0</v>
      </c>
    </row>
    <row r="19" ht="14.25" customHeight="1">
      <c r="A19" s="21" t="s">
        <v>119</v>
      </c>
      <c r="B19" s="22" t="s">
        <v>120</v>
      </c>
      <c r="C19" s="22">
        <v>40.0</v>
      </c>
      <c r="D19" s="23">
        <v>0.02</v>
      </c>
      <c r="E19" s="23">
        <v>0.01</v>
      </c>
      <c r="F19" s="23">
        <v>0.02</v>
      </c>
      <c r="G19" s="23">
        <v>0.05</v>
      </c>
      <c r="H19" s="23">
        <v>0.21</v>
      </c>
      <c r="I19" s="24">
        <v>1.46</v>
      </c>
      <c r="J19" s="24">
        <v>2.65</v>
      </c>
      <c r="K19" s="24">
        <v>1.5</v>
      </c>
      <c r="L19" s="24">
        <v>2.3</v>
      </c>
      <c r="M19" s="23">
        <v>0.74</v>
      </c>
      <c r="N19" s="23">
        <v>0.14</v>
      </c>
      <c r="O19" s="23">
        <v>0.12</v>
      </c>
      <c r="P19" s="23">
        <v>0.07</v>
      </c>
      <c r="Q19" s="23">
        <v>0.01</v>
      </c>
    </row>
    <row r="20" ht="14.25" customHeight="1">
      <c r="A20" s="21" t="s">
        <v>121</v>
      </c>
      <c r="B20" s="22" t="s">
        <v>122</v>
      </c>
      <c r="C20" s="22">
        <v>10.0</v>
      </c>
      <c r="D20" s="23">
        <v>0.01</v>
      </c>
      <c r="E20" s="23">
        <v>0.011</v>
      </c>
      <c r="F20" s="23">
        <v>0.002</v>
      </c>
      <c r="G20" s="23">
        <v>0.05</v>
      </c>
      <c r="H20" s="23">
        <v>0.048</v>
      </c>
      <c r="I20" s="23">
        <v>0.286</v>
      </c>
      <c r="J20" s="26">
        <v>1.248</v>
      </c>
      <c r="K20" s="24">
        <v>0.574</v>
      </c>
      <c r="L20" s="24">
        <v>0.491</v>
      </c>
      <c r="M20" s="23">
        <v>0.06</v>
      </c>
      <c r="N20" s="23">
        <v>0.011</v>
      </c>
      <c r="O20" s="23">
        <v>0.004</v>
      </c>
      <c r="P20" s="23">
        <v>0.045</v>
      </c>
      <c r="Q20" s="23">
        <v>0.005</v>
      </c>
    </row>
    <row r="21" ht="14.25" customHeight="1">
      <c r="A21" s="21" t="s">
        <v>123</v>
      </c>
      <c r="B21" s="22" t="s">
        <v>124</v>
      </c>
      <c r="C21" s="22">
        <v>11.0</v>
      </c>
      <c r="D21" s="23">
        <v>0.219</v>
      </c>
      <c r="E21" s="23">
        <v>0.015</v>
      </c>
      <c r="F21" s="23">
        <v>0.023</v>
      </c>
      <c r="G21" s="23">
        <v>0.05</v>
      </c>
      <c r="H21" s="23">
        <v>0.037</v>
      </c>
      <c r="I21" s="23">
        <v>0.269</v>
      </c>
      <c r="J21" s="25">
        <v>1.325</v>
      </c>
      <c r="K21" s="24">
        <v>0.494</v>
      </c>
      <c r="L21" s="24">
        <v>0.471</v>
      </c>
      <c r="M21" s="23">
        <v>0.008</v>
      </c>
      <c r="N21" s="23">
        <v>0.132</v>
      </c>
      <c r="O21" s="23">
        <v>0.117</v>
      </c>
      <c r="P21" s="23">
        <v>0.119</v>
      </c>
      <c r="Q21" s="23">
        <v>0.008</v>
      </c>
    </row>
    <row r="22" ht="14.25" customHeight="1">
      <c r="A22" s="21" t="s">
        <v>125</v>
      </c>
      <c r="B22" s="22" t="s">
        <v>126</v>
      </c>
      <c r="C22" s="22">
        <v>400.0</v>
      </c>
      <c r="D22" s="23">
        <v>0.0</v>
      </c>
      <c r="E22" s="23">
        <v>0.1</v>
      </c>
      <c r="F22" s="23">
        <v>0.0</v>
      </c>
      <c r="G22" s="23">
        <v>0.0</v>
      </c>
      <c r="H22" s="23">
        <v>0.7</v>
      </c>
      <c r="I22" s="23">
        <v>5.0</v>
      </c>
      <c r="J22" s="23">
        <v>8.4</v>
      </c>
      <c r="K22" s="23">
        <v>2.8</v>
      </c>
      <c r="L22" s="23">
        <v>4.5</v>
      </c>
      <c r="M22" s="23">
        <v>4.5</v>
      </c>
      <c r="N22" s="23">
        <v>0.2</v>
      </c>
      <c r="O22" s="23">
        <v>0.1</v>
      </c>
      <c r="P22" s="23">
        <v>0.5</v>
      </c>
      <c r="Q22" s="23">
        <v>0.6</v>
      </c>
    </row>
    <row r="23" ht="14.25" customHeight="1">
      <c r="A23" s="21" t="s">
        <v>127</v>
      </c>
      <c r="B23" s="22" t="s">
        <v>128</v>
      </c>
      <c r="C23" s="22" t="s">
        <v>129</v>
      </c>
      <c r="D23" s="23">
        <v>372.9</v>
      </c>
      <c r="F23" s="23">
        <v>90.7</v>
      </c>
      <c r="H23" s="23">
        <v>61.4</v>
      </c>
      <c r="L23" s="23">
        <v>5.0</v>
      </c>
      <c r="N23" s="23">
        <v>104.6</v>
      </c>
      <c r="O23" s="23">
        <v>202.0</v>
      </c>
      <c r="Q23" s="23">
        <v>44.2</v>
      </c>
    </row>
    <row r="24" ht="14.25" customHeight="1">
      <c r="A24" s="80" t="s">
        <v>130</v>
      </c>
      <c r="B24" s="83"/>
      <c r="C24" s="83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</row>
    <row r="25" ht="14.25" customHeight="1">
      <c r="A25" s="21" t="s">
        <v>131</v>
      </c>
      <c r="B25" s="22">
        <v>90.0</v>
      </c>
      <c r="C25" s="22">
        <v>2000.0</v>
      </c>
      <c r="D25" s="23">
        <v>0.0</v>
      </c>
      <c r="E25" s="23">
        <v>0.0</v>
      </c>
      <c r="F25" s="23">
        <v>0.0</v>
      </c>
      <c r="G25" s="23">
        <v>0.2</v>
      </c>
      <c r="H25" s="23">
        <v>0.0</v>
      </c>
      <c r="I25" s="23">
        <v>0.2</v>
      </c>
      <c r="K25" s="23">
        <v>0.0</v>
      </c>
      <c r="L25" s="23">
        <v>0.0</v>
      </c>
      <c r="M25" s="23">
        <v>0.5</v>
      </c>
      <c r="N25" s="23">
        <v>0.0</v>
      </c>
      <c r="O25" s="23">
        <v>0.0</v>
      </c>
      <c r="P25" s="23">
        <v>0.0</v>
      </c>
      <c r="Q25" s="23">
        <v>0.0</v>
      </c>
    </row>
    <row r="26" ht="14.25" customHeight="1">
      <c r="A26" s="21" t="s">
        <v>132</v>
      </c>
      <c r="B26" s="22" t="s">
        <v>133</v>
      </c>
      <c r="C26" s="22" t="s">
        <v>100</v>
      </c>
      <c r="D26" s="23">
        <v>0.0</v>
      </c>
      <c r="E26" s="23">
        <v>0.0</v>
      </c>
      <c r="F26" s="23">
        <v>0.014</v>
      </c>
      <c r="G26" s="23">
        <v>0.001</v>
      </c>
      <c r="H26" s="23">
        <v>0.013</v>
      </c>
      <c r="I26" s="23">
        <v>0.096</v>
      </c>
      <c r="J26" s="23">
        <v>0.032</v>
      </c>
      <c r="K26" s="23">
        <v>0.02</v>
      </c>
      <c r="L26" s="24">
        <v>0.112</v>
      </c>
      <c r="M26" s="23">
        <v>0.063</v>
      </c>
      <c r="N26" s="23">
        <v>0.005</v>
      </c>
      <c r="O26" s="23">
        <v>0.005</v>
      </c>
      <c r="P26" s="23">
        <v>0.018</v>
      </c>
      <c r="Q26" s="23">
        <v>0.005</v>
      </c>
    </row>
    <row r="27" ht="14.25" customHeight="1">
      <c r="A27" s="21" t="s">
        <v>134</v>
      </c>
      <c r="B27" s="22" t="s">
        <v>135</v>
      </c>
      <c r="C27" s="22" t="s">
        <v>100</v>
      </c>
      <c r="D27" s="23">
        <v>0.014</v>
      </c>
      <c r="E27" s="23">
        <v>0.001</v>
      </c>
      <c r="F27" s="23">
        <v>0.076</v>
      </c>
      <c r="G27" s="23">
        <v>0.177</v>
      </c>
      <c r="H27" s="23">
        <v>0.078</v>
      </c>
      <c r="I27" s="25">
        <v>0.565</v>
      </c>
      <c r="J27" s="23">
        <v>0.049</v>
      </c>
      <c r="K27" s="24">
        <v>0.24</v>
      </c>
      <c r="L27" s="24">
        <v>0.298</v>
      </c>
      <c r="M27" s="24">
        <v>0.282</v>
      </c>
      <c r="N27" s="23">
        <v>0.031</v>
      </c>
      <c r="O27" s="23">
        <v>0.015</v>
      </c>
      <c r="P27" s="23">
        <v>0.018</v>
      </c>
      <c r="Q27" s="23">
        <v>0.025</v>
      </c>
    </row>
    <row r="28" ht="14.25" customHeight="1">
      <c r="A28" s="21" t="s">
        <v>136</v>
      </c>
      <c r="B28" s="22" t="s">
        <v>137</v>
      </c>
      <c r="C28" s="22" t="s">
        <v>138</v>
      </c>
      <c r="D28" s="23">
        <v>0.0</v>
      </c>
      <c r="E28" s="23">
        <v>0.236</v>
      </c>
      <c r="F28" s="23">
        <v>0.191</v>
      </c>
      <c r="G28" s="24">
        <v>5.207</v>
      </c>
      <c r="H28" s="23">
        <v>0.081</v>
      </c>
      <c r="I28" s="23">
        <v>0.586</v>
      </c>
      <c r="J28" s="23">
        <v>0.838</v>
      </c>
      <c r="K28" s="23">
        <v>0.67</v>
      </c>
      <c r="L28" s="23">
        <v>0.386</v>
      </c>
      <c r="M28" s="23">
        <v>0.745</v>
      </c>
      <c r="N28" s="23">
        <v>0.224</v>
      </c>
      <c r="O28" s="23">
        <v>0.108</v>
      </c>
      <c r="P28" s="23">
        <v>0.213</v>
      </c>
      <c r="Q28" s="23">
        <v>0.513</v>
      </c>
    </row>
    <row r="29" ht="14.25" customHeight="1">
      <c r="A29" s="21" t="s">
        <v>139</v>
      </c>
      <c r="B29" s="22">
        <v>1.3</v>
      </c>
      <c r="C29" s="22" t="s">
        <v>140</v>
      </c>
      <c r="D29" s="23">
        <v>0.0</v>
      </c>
      <c r="E29" s="23">
        <v>0.0</v>
      </c>
      <c r="F29" s="23">
        <v>0.001</v>
      </c>
      <c r="G29" s="23">
        <v>0.002</v>
      </c>
      <c r="H29" s="23">
        <v>0.016</v>
      </c>
      <c r="I29" s="24">
        <v>0.114</v>
      </c>
      <c r="J29" s="23">
        <v>0.034</v>
      </c>
      <c r="K29" s="23">
        <v>0.043</v>
      </c>
      <c r="L29" s="23">
        <v>0.036</v>
      </c>
      <c r="M29" s="23">
        <v>0.056</v>
      </c>
      <c r="N29" s="23">
        <v>0.057</v>
      </c>
      <c r="O29" s="23">
        <v>0.05</v>
      </c>
      <c r="P29" s="23">
        <v>0.0</v>
      </c>
      <c r="Q29" s="23">
        <v>0.046</v>
      </c>
    </row>
    <row r="30" ht="14.25" customHeight="1">
      <c r="A30" s="23" t="s">
        <v>141</v>
      </c>
      <c r="B30" s="22" t="s">
        <v>142</v>
      </c>
      <c r="C30" s="22">
        <v>1000.0</v>
      </c>
      <c r="D30" s="23">
        <v>5.0</v>
      </c>
      <c r="E30" s="23">
        <v>0.0</v>
      </c>
      <c r="F30" s="23">
        <v>2.0</v>
      </c>
      <c r="G30" s="23">
        <v>1.0</v>
      </c>
      <c r="H30" s="23">
        <v>1.0</v>
      </c>
      <c r="I30" s="23">
        <v>6.0</v>
      </c>
      <c r="K30" s="23">
        <v>3.0</v>
      </c>
      <c r="L30" s="23">
        <v>11.0</v>
      </c>
      <c r="M30" s="23">
        <v>7.0</v>
      </c>
      <c r="N30" s="23">
        <v>1.0</v>
      </c>
      <c r="O30" s="23">
        <v>1.0</v>
      </c>
      <c r="P30" s="23">
        <v>0.0</v>
      </c>
      <c r="Q30" s="23">
        <v>6.0</v>
      </c>
    </row>
    <row r="31" ht="14.25" customHeight="1">
      <c r="A31" s="21" t="s">
        <v>143</v>
      </c>
      <c r="B31" s="22" t="s">
        <v>144</v>
      </c>
      <c r="C31" s="22" t="s">
        <v>100</v>
      </c>
      <c r="D31" s="23">
        <v>0.0</v>
      </c>
      <c r="E31" s="23">
        <v>0.0</v>
      </c>
      <c r="F31" s="23">
        <v>0.0</v>
      </c>
      <c r="G31" s="23">
        <v>0.0</v>
      </c>
      <c r="H31" s="23">
        <v>0.05</v>
      </c>
      <c r="I31" s="23">
        <v>0.35</v>
      </c>
      <c r="J31" s="23">
        <v>0.18</v>
      </c>
      <c r="K31" s="23">
        <v>0.0</v>
      </c>
      <c r="L31" s="24">
        <v>0.75</v>
      </c>
      <c r="M31" s="24">
        <v>0.56</v>
      </c>
      <c r="N31" s="23">
        <v>0.0</v>
      </c>
      <c r="O31" s="23">
        <v>0.0</v>
      </c>
      <c r="P31" s="23">
        <v>0.0</v>
      </c>
      <c r="Q31" s="23">
        <v>0.02</v>
      </c>
    </row>
    <row r="32" ht="14.25" customHeight="1">
      <c r="A32" s="21" t="s">
        <v>145</v>
      </c>
      <c r="B32" s="22">
        <v>900.0</v>
      </c>
      <c r="C32" s="22">
        <v>3000.0</v>
      </c>
      <c r="D32" s="23">
        <v>0.0</v>
      </c>
      <c r="E32" s="23">
        <v>0.0</v>
      </c>
      <c r="F32" s="23">
        <v>0.0</v>
      </c>
      <c r="G32" s="23">
        <v>0.0</v>
      </c>
      <c r="H32" s="23">
        <v>0.0</v>
      </c>
      <c r="I32" s="23">
        <v>1.0</v>
      </c>
      <c r="J32" s="23">
        <v>3.0</v>
      </c>
      <c r="K32" s="23">
        <v>0.0</v>
      </c>
      <c r="L32" s="24">
        <v>59.0</v>
      </c>
      <c r="M32" s="23">
        <v>9.0</v>
      </c>
      <c r="N32" s="23">
        <v>0.0</v>
      </c>
      <c r="O32" s="23">
        <v>0.0</v>
      </c>
      <c r="P32" s="23">
        <v>0.0</v>
      </c>
      <c r="Q32" s="23">
        <v>0.0</v>
      </c>
    </row>
    <row r="33" ht="14.25" customHeight="1">
      <c r="A33" s="28" t="s">
        <v>146</v>
      </c>
      <c r="B33" s="29"/>
      <c r="C33" s="29"/>
      <c r="D33" s="28">
        <v>0.0</v>
      </c>
      <c r="E33" s="28">
        <v>0.0</v>
      </c>
      <c r="F33" s="28">
        <v>0.0</v>
      </c>
      <c r="G33" s="28">
        <v>0.0</v>
      </c>
      <c r="H33" s="28">
        <v>1.0</v>
      </c>
      <c r="I33" s="28">
        <v>4.0</v>
      </c>
      <c r="J33" s="28">
        <v>50.0</v>
      </c>
      <c r="K33" s="28">
        <v>0.0</v>
      </c>
      <c r="L33" s="28">
        <v>195.0</v>
      </c>
      <c r="M33" s="28">
        <v>30.0</v>
      </c>
      <c r="N33" s="28">
        <v>2.0</v>
      </c>
      <c r="O33" s="28">
        <v>0.0</v>
      </c>
      <c r="P33" s="28">
        <v>0.0</v>
      </c>
      <c r="Q33" s="28">
        <v>0.0</v>
      </c>
      <c r="R33" s="28"/>
      <c r="S33" s="28"/>
      <c r="T33" s="28"/>
      <c r="U33" s="28"/>
      <c r="V33" s="28"/>
      <c r="W33" s="28"/>
      <c r="X33" s="28"/>
      <c r="Y33" s="28"/>
      <c r="Z33" s="28"/>
    </row>
    <row r="34" ht="14.25" customHeight="1">
      <c r="A34" s="21" t="s">
        <v>147</v>
      </c>
      <c r="B34" s="22" t="s">
        <v>148</v>
      </c>
      <c r="C34" s="22">
        <v>1000.0</v>
      </c>
      <c r="D34" s="23">
        <v>0.0</v>
      </c>
      <c r="E34" s="23">
        <v>0.0</v>
      </c>
      <c r="F34" s="23">
        <v>0.01</v>
      </c>
      <c r="G34" s="23">
        <v>0.01</v>
      </c>
      <c r="H34" s="23">
        <v>0.03</v>
      </c>
      <c r="I34" s="23">
        <v>0.19</v>
      </c>
      <c r="J34" s="23">
        <v>0.59</v>
      </c>
      <c r="K34" s="23">
        <v>0.26</v>
      </c>
      <c r="L34" s="23">
        <v>0.51</v>
      </c>
      <c r="M34" s="24">
        <v>0.96</v>
      </c>
      <c r="N34" s="23">
        <v>0.0</v>
      </c>
      <c r="O34" s="23">
        <v>0.0</v>
      </c>
      <c r="P34" s="23">
        <v>0.0</v>
      </c>
      <c r="Q34" s="23">
        <v>0.0</v>
      </c>
    </row>
    <row r="35" ht="14.25" customHeight="1">
      <c r="A35" s="21" t="s">
        <v>149</v>
      </c>
      <c r="B35" s="22" t="s">
        <v>150</v>
      </c>
      <c r="C35" s="22">
        <v>100.0</v>
      </c>
      <c r="D35" s="23">
        <v>0.0</v>
      </c>
      <c r="E35" s="23">
        <v>0.0</v>
      </c>
      <c r="F35" s="23">
        <v>0.0</v>
      </c>
      <c r="G35" s="23">
        <v>0.0</v>
      </c>
      <c r="H35" s="23">
        <v>0.0</v>
      </c>
      <c r="I35" s="23">
        <v>0.0</v>
      </c>
      <c r="J35" s="23">
        <v>0.0</v>
      </c>
      <c r="K35" s="23">
        <v>0.0</v>
      </c>
      <c r="L35" s="23">
        <v>0.0</v>
      </c>
      <c r="M35" s="23">
        <v>0.0</v>
      </c>
      <c r="N35" s="23">
        <v>0.0</v>
      </c>
      <c r="O35" s="23">
        <v>0.0</v>
      </c>
      <c r="P35" s="23">
        <v>0.0</v>
      </c>
      <c r="Q35" s="23">
        <v>0.0</v>
      </c>
    </row>
    <row r="36" ht="14.25" customHeight="1">
      <c r="A36" s="28" t="s">
        <v>151</v>
      </c>
      <c r="B36" s="29"/>
      <c r="C36" s="29"/>
      <c r="D36" s="28">
        <v>0.0</v>
      </c>
      <c r="E36" s="28">
        <v>0.0</v>
      </c>
      <c r="F36" s="28">
        <v>0.0</v>
      </c>
      <c r="G36" s="28">
        <v>0.0</v>
      </c>
      <c r="H36" s="28">
        <v>0.0</v>
      </c>
      <c r="I36" s="28">
        <v>0.0</v>
      </c>
      <c r="J36" s="28">
        <v>0.0</v>
      </c>
      <c r="K36" s="28">
        <v>0.0</v>
      </c>
      <c r="L36" s="28">
        <v>0.0</v>
      </c>
      <c r="M36" s="28">
        <v>0.0</v>
      </c>
      <c r="N36" s="28">
        <v>0.0</v>
      </c>
      <c r="O36" s="28">
        <v>0.0</v>
      </c>
      <c r="P36" s="28">
        <v>0.0</v>
      </c>
      <c r="Q36" s="28">
        <v>0.0</v>
      </c>
      <c r="R36" s="28"/>
      <c r="S36" s="28"/>
      <c r="T36" s="28"/>
      <c r="U36" s="28"/>
      <c r="V36" s="28"/>
      <c r="W36" s="28"/>
      <c r="X36" s="28"/>
      <c r="Y36" s="28"/>
      <c r="Z36" s="28"/>
    </row>
    <row r="37" ht="14.25" customHeight="1">
      <c r="A37" s="21" t="s">
        <v>152</v>
      </c>
      <c r="B37" s="22">
        <v>120.0</v>
      </c>
      <c r="C37" s="22" t="s">
        <v>100</v>
      </c>
      <c r="D37" s="23">
        <v>0.0</v>
      </c>
      <c r="F37" s="23">
        <v>0.1</v>
      </c>
      <c r="G37" s="23">
        <v>0.1</v>
      </c>
      <c r="H37" s="23">
        <v>0.1</v>
      </c>
      <c r="I37" s="23">
        <v>0.9</v>
      </c>
      <c r="J37" s="23">
        <v>7.2</v>
      </c>
      <c r="K37" s="23">
        <v>6.3</v>
      </c>
      <c r="L37" s="23">
        <v>5.7</v>
      </c>
      <c r="M37" s="24">
        <v>9.1</v>
      </c>
      <c r="N37" s="23">
        <v>0.4</v>
      </c>
      <c r="O37" s="23">
        <v>0.4</v>
      </c>
      <c r="P37" s="23">
        <v>0.0</v>
      </c>
      <c r="Q37" s="23">
        <v>0.0</v>
      </c>
    </row>
    <row r="38" ht="14.25" customHeight="1">
      <c r="A38" s="21" t="s">
        <v>153</v>
      </c>
      <c r="B38" s="22" t="s">
        <v>154</v>
      </c>
      <c r="C38" s="22" t="s">
        <v>100</v>
      </c>
      <c r="D38" s="23">
        <v>0.011</v>
      </c>
      <c r="E38" s="23">
        <v>0.001</v>
      </c>
      <c r="F38" s="23">
        <v>0.254</v>
      </c>
      <c r="G38" s="23">
        <v>0.028</v>
      </c>
      <c r="H38" s="23">
        <v>0.123</v>
      </c>
      <c r="I38" s="24">
        <v>0.893</v>
      </c>
      <c r="J38" s="23">
        <v>0.3</v>
      </c>
      <c r="K38" s="23">
        <v>0.071</v>
      </c>
      <c r="L38" s="23">
        <v>0.472</v>
      </c>
      <c r="M38" s="23">
        <v>0.608</v>
      </c>
      <c r="N38" s="23">
        <v>0.03</v>
      </c>
      <c r="O38" s="23">
        <v>0.045</v>
      </c>
      <c r="P38" s="23">
        <v>0.032</v>
      </c>
      <c r="Q38" s="23">
        <v>0.041</v>
      </c>
    </row>
    <row r="39" ht="14.25" customHeight="1">
      <c r="A39" s="21" t="s">
        <v>155</v>
      </c>
      <c r="B39" s="22" t="s">
        <v>156</v>
      </c>
      <c r="C39" s="22">
        <v>3500.0</v>
      </c>
      <c r="D39" s="23">
        <v>0.4</v>
      </c>
      <c r="F39" s="23">
        <v>2.6</v>
      </c>
      <c r="G39" s="23">
        <v>2.6</v>
      </c>
      <c r="H39" s="23">
        <v>4.6</v>
      </c>
      <c r="I39" s="23">
        <v>33.1</v>
      </c>
      <c r="K39" s="23">
        <v>29.9</v>
      </c>
      <c r="L39" s="24">
        <v>46.1</v>
      </c>
      <c r="M39" s="23">
        <v>29.5</v>
      </c>
      <c r="N39" s="23">
        <v>5.7</v>
      </c>
      <c r="O39" s="23">
        <v>4.3</v>
      </c>
      <c r="Q39" s="23">
        <v>10.1</v>
      </c>
    </row>
    <row r="40" ht="14.25" customHeight="1">
      <c r="A40" s="21" t="s">
        <v>157</v>
      </c>
      <c r="B40" s="22"/>
      <c r="C40" s="22"/>
      <c r="L40" s="23">
        <v>2.6</v>
      </c>
      <c r="N40" s="23">
        <v>0.3</v>
      </c>
    </row>
    <row r="41" ht="14.25" customHeight="1">
      <c r="A41" s="80" t="s">
        <v>158</v>
      </c>
      <c r="B41" s="83"/>
      <c r="C41" s="83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</row>
    <row r="42" ht="14.25" customHeight="1">
      <c r="A42" s="21" t="s">
        <v>159</v>
      </c>
      <c r="B42" s="22" t="s">
        <v>160</v>
      </c>
      <c r="C42" s="22" t="s">
        <v>161</v>
      </c>
      <c r="D42" s="23">
        <v>0.002</v>
      </c>
      <c r="E42" s="23">
        <v>0.002</v>
      </c>
      <c r="F42" s="23">
        <v>0.002</v>
      </c>
      <c r="G42" s="23">
        <v>0.092</v>
      </c>
      <c r="H42" s="23">
        <v>0.328</v>
      </c>
      <c r="I42" s="23">
        <v>2.377</v>
      </c>
      <c r="J42" s="23">
        <v>22.031</v>
      </c>
      <c r="K42" s="23">
        <v>20.08</v>
      </c>
      <c r="L42" s="23">
        <v>18.509</v>
      </c>
      <c r="M42" s="23">
        <v>19.412</v>
      </c>
      <c r="N42" s="23">
        <v>0.0</v>
      </c>
      <c r="O42" s="23">
        <v>0.0</v>
      </c>
      <c r="P42" s="23">
        <v>0.0</v>
      </c>
      <c r="Q42" s="23">
        <v>0.0</v>
      </c>
    </row>
    <row r="43" ht="14.25" customHeight="1">
      <c r="A43" s="21" t="s">
        <v>162</v>
      </c>
      <c r="B43" s="22"/>
      <c r="C43" s="22"/>
      <c r="D43" s="23">
        <v>0.001</v>
      </c>
      <c r="E43" s="23">
        <v>0.0</v>
      </c>
      <c r="F43" s="23">
        <v>0.015</v>
      </c>
      <c r="G43" s="23">
        <v>0.0</v>
      </c>
      <c r="H43" s="23">
        <v>0.183</v>
      </c>
      <c r="I43" s="23">
        <v>1.325</v>
      </c>
      <c r="J43" s="23">
        <v>11.522</v>
      </c>
      <c r="K43" s="23">
        <v>11.22</v>
      </c>
      <c r="L43" s="23">
        <v>7.186</v>
      </c>
      <c r="M43" s="23">
        <v>9.097</v>
      </c>
      <c r="N43" s="23">
        <v>0.0</v>
      </c>
      <c r="O43" s="23">
        <v>0.0</v>
      </c>
      <c r="P43" s="23">
        <v>0.0</v>
      </c>
      <c r="Q43" s="23">
        <v>0.0</v>
      </c>
    </row>
    <row r="44" ht="14.25" customHeight="1">
      <c r="A44" s="21" t="s">
        <v>163</v>
      </c>
      <c r="B44" s="22"/>
      <c r="C44" s="22"/>
      <c r="D44" s="23">
        <v>0.004</v>
      </c>
      <c r="E44" s="23">
        <v>0.002</v>
      </c>
      <c r="F44" s="23">
        <v>0.001</v>
      </c>
      <c r="G44" s="23">
        <v>0.092</v>
      </c>
      <c r="H44" s="23">
        <v>0.016</v>
      </c>
      <c r="I44" s="23">
        <v>0.114</v>
      </c>
      <c r="J44" s="23">
        <v>1.221</v>
      </c>
      <c r="K44" s="23">
        <v>0.99</v>
      </c>
      <c r="L44" s="23">
        <v>1.376</v>
      </c>
      <c r="M44" s="23">
        <v>1.013</v>
      </c>
      <c r="N44" s="23">
        <v>0.0</v>
      </c>
      <c r="O44" s="23">
        <v>0.0</v>
      </c>
      <c r="P44" s="23">
        <v>0.0</v>
      </c>
      <c r="Q44" s="23">
        <v>0.0</v>
      </c>
    </row>
    <row r="45" ht="14.25" customHeight="1">
      <c r="A45" s="21" t="s">
        <v>164</v>
      </c>
      <c r="B45" s="22" t="s">
        <v>160</v>
      </c>
      <c r="C45" s="22" t="s">
        <v>165</v>
      </c>
      <c r="D45" s="23">
        <v>0.0</v>
      </c>
      <c r="E45" s="23">
        <v>0.0</v>
      </c>
      <c r="F45" s="23">
        <v>0.0</v>
      </c>
      <c r="G45" s="23">
        <v>0.0</v>
      </c>
      <c r="H45" s="23">
        <v>0.0</v>
      </c>
      <c r="I45" s="23">
        <v>0.0</v>
      </c>
      <c r="J45" s="23">
        <v>6.0</v>
      </c>
      <c r="K45" s="23">
        <v>0.0</v>
      </c>
      <c r="L45" s="23">
        <v>23.0</v>
      </c>
      <c r="M45" s="23">
        <v>21.0</v>
      </c>
      <c r="N45" s="23">
        <v>0.0</v>
      </c>
      <c r="O45" s="23">
        <v>0.0</v>
      </c>
      <c r="P45" s="23">
        <v>0.0</v>
      </c>
      <c r="Q45" s="23">
        <v>0.0</v>
      </c>
    </row>
    <row r="46" ht="14.25" customHeight="1">
      <c r="A46" s="80" t="s">
        <v>166</v>
      </c>
      <c r="B46" s="84" t="s">
        <v>167</v>
      </c>
      <c r="C46" s="83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</row>
    <row r="47" ht="14.25" customHeight="1">
      <c r="A47" s="31" t="s">
        <v>168</v>
      </c>
      <c r="B47" s="32" t="s">
        <v>169</v>
      </c>
      <c r="C47" s="32"/>
      <c r="D47" s="23">
        <v>0.0</v>
      </c>
      <c r="F47" s="23">
        <v>0.0</v>
      </c>
      <c r="K47" s="23">
        <v>0.058</v>
      </c>
      <c r="Q47" s="23">
        <v>0.0</v>
      </c>
    </row>
    <row r="48" ht="14.25" customHeight="1">
      <c r="A48" s="31" t="s">
        <v>170</v>
      </c>
      <c r="B48" s="32" t="s">
        <v>171</v>
      </c>
      <c r="C48" s="32"/>
      <c r="D48" s="23">
        <v>0.0</v>
      </c>
      <c r="F48" s="23">
        <v>0.001</v>
      </c>
      <c r="K48" s="23">
        <v>0.154</v>
      </c>
      <c r="Q48" s="23">
        <v>0.0</v>
      </c>
    </row>
    <row r="49" ht="14.25" customHeight="1">
      <c r="A49" s="31" t="s">
        <v>172</v>
      </c>
      <c r="B49" s="32" t="s">
        <v>173</v>
      </c>
      <c r="C49" s="32"/>
      <c r="D49" s="23">
        <v>0.0</v>
      </c>
      <c r="F49" s="23">
        <v>0.002</v>
      </c>
      <c r="K49" s="23">
        <v>0.151</v>
      </c>
      <c r="Q49" s="23">
        <v>0.0</v>
      </c>
    </row>
    <row r="50" ht="14.25" customHeight="1">
      <c r="A50" s="31" t="s">
        <v>174</v>
      </c>
      <c r="B50" s="32" t="s">
        <v>175</v>
      </c>
      <c r="C50" s="32"/>
      <c r="D50" s="23">
        <v>0.0</v>
      </c>
      <c r="F50" s="23">
        <v>0.005</v>
      </c>
      <c r="K50" s="23">
        <v>0.236</v>
      </c>
      <c r="Q50" s="23">
        <v>0.0</v>
      </c>
    </row>
    <row r="51" ht="14.25" customHeight="1">
      <c r="A51" s="31" t="s">
        <v>176</v>
      </c>
      <c r="B51" s="32" t="s">
        <v>177</v>
      </c>
      <c r="C51" s="32"/>
      <c r="D51" s="23">
        <v>0.0</v>
      </c>
      <c r="F51" s="23">
        <v>0.001</v>
      </c>
      <c r="K51" s="23">
        <v>0.195</v>
      </c>
      <c r="Q51" s="23">
        <v>0.0</v>
      </c>
    </row>
    <row r="52" ht="14.25" customHeight="1">
      <c r="A52" s="31" t="s">
        <v>178</v>
      </c>
      <c r="B52" s="32" t="s">
        <v>179</v>
      </c>
      <c r="C52" s="32"/>
      <c r="D52" s="23">
        <v>0.0</v>
      </c>
      <c r="F52" s="23">
        <v>0.0</v>
      </c>
      <c r="K52" s="23">
        <v>0.04</v>
      </c>
      <c r="Q52" s="23">
        <v>0.0</v>
      </c>
    </row>
    <row r="53" ht="14.25" customHeight="1">
      <c r="A53" s="21" t="s">
        <v>180</v>
      </c>
      <c r="B53" s="22" t="s">
        <v>181</v>
      </c>
      <c r="C53" s="22"/>
      <c r="D53" s="23">
        <v>0.0</v>
      </c>
      <c r="F53" s="23">
        <v>0.002</v>
      </c>
      <c r="K53" s="23">
        <v>0.048</v>
      </c>
      <c r="Q53" s="23">
        <v>0.0</v>
      </c>
    </row>
    <row r="54" ht="14.25" customHeight="1">
      <c r="A54" s="31" t="s">
        <v>182</v>
      </c>
      <c r="B54" s="33" t="s">
        <v>183</v>
      </c>
      <c r="C54" s="32"/>
      <c r="D54" s="23">
        <v>0.0</v>
      </c>
      <c r="F54" s="23">
        <v>0.003</v>
      </c>
      <c r="K54" s="23">
        <v>0.187</v>
      </c>
      <c r="Q54" s="23">
        <v>0.0</v>
      </c>
    </row>
    <row r="55" ht="14.25" customHeight="1">
      <c r="A55" s="21" t="s">
        <v>184</v>
      </c>
      <c r="C55" s="22"/>
      <c r="D55" s="23">
        <v>0.0</v>
      </c>
      <c r="F55" s="23">
        <v>0.002</v>
      </c>
      <c r="K55" s="23">
        <v>0.146</v>
      </c>
      <c r="Q55" s="23">
        <v>0.0</v>
      </c>
    </row>
    <row r="56" ht="14.25" customHeight="1">
      <c r="A56" s="31" t="s">
        <v>185</v>
      </c>
      <c r="B56" s="32" t="s">
        <v>186</v>
      </c>
      <c r="C56" s="32"/>
      <c r="D56" s="23">
        <v>0.0</v>
      </c>
      <c r="F56" s="23">
        <v>0.003</v>
      </c>
      <c r="K56" s="23">
        <v>0.234</v>
      </c>
      <c r="Q56" s="23">
        <v>0.0</v>
      </c>
    </row>
    <row r="57" ht="14.25" customHeight="1">
      <c r="A57" s="34" t="s">
        <v>187</v>
      </c>
      <c r="B57" s="35"/>
      <c r="C57" s="35"/>
      <c r="D57" s="23">
        <v>0.0</v>
      </c>
      <c r="F57" s="23">
        <v>0.001</v>
      </c>
      <c r="K57" s="23">
        <v>0.221</v>
      </c>
      <c r="Q57" s="23">
        <v>0.0</v>
      </c>
    </row>
    <row r="58" ht="14.25" customHeight="1">
      <c r="A58" s="34" t="s">
        <v>188</v>
      </c>
      <c r="B58" s="35" t="s">
        <v>189</v>
      </c>
      <c r="C58" s="35"/>
      <c r="D58" s="23">
        <v>0.0</v>
      </c>
      <c r="F58" s="23">
        <v>0.002</v>
      </c>
      <c r="K58" s="23">
        <v>0.067</v>
      </c>
      <c r="Q58" s="23">
        <v>0.0</v>
      </c>
    </row>
    <row r="59" ht="14.25" customHeight="1">
      <c r="A59" s="21" t="s">
        <v>190</v>
      </c>
      <c r="B59" s="22"/>
      <c r="C59" s="22"/>
      <c r="D59" s="23">
        <v>0.0</v>
      </c>
      <c r="F59" s="23">
        <v>0.003</v>
      </c>
      <c r="K59" s="23">
        <v>0.18</v>
      </c>
      <c r="Q59" s="23">
        <v>0.012</v>
      </c>
    </row>
    <row r="60" ht="14.25" customHeight="1">
      <c r="A60" s="21" t="s">
        <v>191</v>
      </c>
      <c r="B60" s="22"/>
      <c r="C60" s="22"/>
      <c r="D60" s="23">
        <v>0.0</v>
      </c>
      <c r="F60" s="23">
        <v>0.005</v>
      </c>
      <c r="K60" s="23">
        <v>0.388</v>
      </c>
      <c r="Q60" s="23">
        <v>0.016</v>
      </c>
    </row>
    <row r="61" ht="14.25" customHeight="1">
      <c r="A61" s="21" t="s">
        <v>192</v>
      </c>
      <c r="B61" s="22"/>
      <c r="C61" s="22"/>
      <c r="D61" s="23">
        <v>0.0</v>
      </c>
      <c r="F61" s="23">
        <v>0.02</v>
      </c>
      <c r="K61" s="23">
        <v>0.586</v>
      </c>
      <c r="Q61" s="23">
        <v>0.047</v>
      </c>
    </row>
    <row r="62" ht="14.25" customHeight="1">
      <c r="A62" s="21" t="s">
        <v>193</v>
      </c>
      <c r="B62" s="22"/>
      <c r="C62" s="22"/>
      <c r="D62" s="23">
        <v>0.0</v>
      </c>
      <c r="F62" s="23">
        <v>0.004</v>
      </c>
      <c r="K62" s="23">
        <v>0.175</v>
      </c>
      <c r="Q62" s="23">
        <v>0.013</v>
      </c>
    </row>
    <row r="63" ht="14.25" customHeight="1">
      <c r="A63" s="21" t="s">
        <v>194</v>
      </c>
      <c r="B63" s="22"/>
      <c r="C63" s="22"/>
      <c r="D63" s="23">
        <v>0.0</v>
      </c>
      <c r="F63" s="23">
        <v>0.004</v>
      </c>
      <c r="K63" s="23">
        <v>0.167</v>
      </c>
      <c r="Q63" s="23">
        <v>0.035</v>
      </c>
    </row>
    <row r="64" ht="14.25" customHeight="1">
      <c r="A64" s="21" t="s">
        <v>195</v>
      </c>
      <c r="B64" s="22"/>
      <c r="C64" s="22"/>
      <c r="D64" s="23">
        <v>0.0</v>
      </c>
      <c r="F64" s="23">
        <v>0.001</v>
      </c>
      <c r="K64" s="23">
        <v>0.168</v>
      </c>
      <c r="Q64" s="23">
        <v>0.0</v>
      </c>
    </row>
    <row r="65" ht="14.25" customHeight="1">
      <c r="B65" s="22"/>
      <c r="C65" s="22"/>
    </row>
    <row r="66" ht="14.25" customHeight="1">
      <c r="B66" s="22"/>
      <c r="C66" s="22"/>
    </row>
    <row r="67" ht="14.25" customHeight="1">
      <c r="B67" s="22"/>
      <c r="C67" s="22"/>
    </row>
    <row r="68" ht="14.25" customHeight="1">
      <c r="A68" s="85" t="s">
        <v>556</v>
      </c>
      <c r="B68" s="86"/>
      <c r="C68" s="86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5"/>
      <c r="S68" s="85"/>
      <c r="T68" s="85"/>
      <c r="U68" s="85"/>
      <c r="V68" s="85"/>
      <c r="W68" s="85"/>
      <c r="X68" s="85"/>
      <c r="Y68" s="85"/>
      <c r="Z68" s="85"/>
    </row>
    <row r="69" ht="14.25" customHeight="1">
      <c r="A69" s="88" t="s">
        <v>557</v>
      </c>
      <c r="B69" s="89" t="s">
        <v>558</v>
      </c>
      <c r="C69" s="89"/>
      <c r="D69" s="23">
        <v>0.0</v>
      </c>
      <c r="E69" s="23">
        <v>0.0</v>
      </c>
      <c r="F69" s="23">
        <v>0.0</v>
      </c>
      <c r="G69" s="23">
        <v>0.0</v>
      </c>
      <c r="H69" s="23">
        <v>0.0</v>
      </c>
      <c r="I69" s="23">
        <v>0.0</v>
      </c>
      <c r="J69" s="23">
        <v>0.0</v>
      </c>
      <c r="K69" s="23">
        <v>0.0</v>
      </c>
      <c r="L69" s="23">
        <v>0.0</v>
      </c>
      <c r="M69" s="23">
        <v>0.0</v>
      </c>
      <c r="N69" s="23">
        <v>10.6</v>
      </c>
      <c r="O69" s="23">
        <v>10.3</v>
      </c>
      <c r="P69" s="23">
        <v>15.3</v>
      </c>
      <c r="Q69" s="23">
        <v>3.9</v>
      </c>
    </row>
    <row r="70" ht="14.25" customHeight="1">
      <c r="A70" s="88" t="s">
        <v>559</v>
      </c>
      <c r="B70" s="89" t="s">
        <v>558</v>
      </c>
      <c r="C70" s="89"/>
      <c r="D70" s="23">
        <v>20.0</v>
      </c>
      <c r="E70" s="23">
        <v>26.0</v>
      </c>
      <c r="F70" s="23">
        <v>40.0</v>
      </c>
      <c r="G70" s="23">
        <v>212.0</v>
      </c>
      <c r="H70" s="23">
        <v>2.0</v>
      </c>
      <c r="I70" s="23">
        <v>18.0</v>
      </c>
      <c r="J70" s="23">
        <v>86.0</v>
      </c>
      <c r="K70" s="23">
        <v>66.0</v>
      </c>
      <c r="L70" s="23">
        <v>20.0</v>
      </c>
      <c r="M70" s="23">
        <v>0.0</v>
      </c>
      <c r="N70" s="23">
        <v>0.0</v>
      </c>
      <c r="O70" s="23">
        <v>0.0</v>
      </c>
      <c r="P70" s="23">
        <v>0.0</v>
      </c>
      <c r="Q70" s="23">
        <v>0.0</v>
      </c>
    </row>
    <row r="71" ht="14.25" customHeight="1">
      <c r="A71" s="88" t="s">
        <v>560</v>
      </c>
      <c r="B71" s="89" t="s">
        <v>558</v>
      </c>
      <c r="C71" s="89"/>
      <c r="D71" s="23">
        <v>2.0</v>
      </c>
      <c r="E71" s="23">
        <v>0.0</v>
      </c>
      <c r="F71" s="23">
        <v>0.0</v>
      </c>
      <c r="G71" s="23">
        <v>0.0</v>
      </c>
      <c r="H71" s="23">
        <v>44.0</v>
      </c>
      <c r="I71" s="23">
        <v>323.0</v>
      </c>
      <c r="J71" s="23">
        <v>632.0</v>
      </c>
      <c r="K71" s="23">
        <v>426.0</v>
      </c>
      <c r="L71" s="23">
        <v>205.0</v>
      </c>
      <c r="M71" s="23">
        <v>0.0</v>
      </c>
      <c r="N71" s="23">
        <v>0.0</v>
      </c>
      <c r="O71" s="23">
        <v>0.0</v>
      </c>
      <c r="P71" s="23">
        <v>0.0</v>
      </c>
      <c r="Q71" s="23">
        <v>0.0</v>
      </c>
    </row>
    <row r="72" ht="14.25" customHeight="1">
      <c r="B72" s="22"/>
      <c r="C72" s="22"/>
    </row>
    <row r="73" ht="14.25" customHeight="1">
      <c r="A73" s="90" t="s">
        <v>561</v>
      </c>
    </row>
    <row r="74" ht="14.25" customHeight="1"/>
    <row r="75" ht="14.25" customHeight="1"/>
    <row r="76" ht="14.25" customHeight="1"/>
    <row r="77" ht="14.25" customHeight="1">
      <c r="A77" s="91" t="s">
        <v>562</v>
      </c>
    </row>
    <row r="78" ht="14.25" customHeight="1"/>
    <row r="79" ht="14.25" customHeight="1">
      <c r="B79" s="22"/>
      <c r="C79" s="22"/>
    </row>
    <row r="80" ht="14.25" customHeight="1">
      <c r="B80" s="22"/>
      <c r="C80" s="22"/>
    </row>
    <row r="81" ht="14.25" customHeight="1">
      <c r="B81" s="22"/>
      <c r="C81" s="22"/>
    </row>
    <row r="82" ht="14.25" customHeight="1">
      <c r="B82" s="22"/>
      <c r="C82" s="22"/>
    </row>
    <row r="83" ht="14.25" customHeight="1">
      <c r="B83" s="22"/>
      <c r="C83" s="22"/>
    </row>
    <row r="84" ht="14.25" customHeight="1">
      <c r="B84" s="22"/>
      <c r="C84" s="22"/>
    </row>
    <row r="85" ht="14.25" customHeight="1">
      <c r="B85" s="22"/>
      <c r="C85" s="22"/>
    </row>
    <row r="86" ht="14.25" customHeight="1">
      <c r="B86" s="22"/>
      <c r="C86" s="22"/>
    </row>
    <row r="87" ht="14.25" customHeight="1">
      <c r="B87" s="22"/>
      <c r="C87" s="22"/>
    </row>
    <row r="88" ht="14.25" customHeight="1">
      <c r="B88" s="22"/>
      <c r="C88" s="22"/>
    </row>
    <row r="89" ht="14.25" customHeight="1">
      <c r="B89" s="22"/>
      <c r="C89" s="22"/>
    </row>
    <row r="90" ht="14.25" customHeight="1">
      <c r="B90" s="22"/>
      <c r="C90" s="22"/>
    </row>
    <row r="91" ht="14.25" customHeight="1">
      <c r="B91" s="22"/>
      <c r="C91" s="22"/>
    </row>
    <row r="92" ht="14.25" customHeight="1">
      <c r="B92" s="22"/>
      <c r="C92" s="22"/>
    </row>
    <row r="93" ht="14.25" customHeight="1">
      <c r="B93" s="22"/>
      <c r="C93" s="22"/>
    </row>
    <row r="94" ht="14.25" customHeight="1">
      <c r="B94" s="22"/>
      <c r="C94" s="22"/>
    </row>
    <row r="95" ht="14.25" customHeight="1">
      <c r="B95" s="22"/>
      <c r="C95" s="22"/>
    </row>
    <row r="96" ht="14.25" customHeight="1">
      <c r="B96" s="22"/>
      <c r="C96" s="22"/>
    </row>
    <row r="97" ht="14.25" customHeight="1">
      <c r="B97" s="22"/>
      <c r="C97" s="22"/>
    </row>
    <row r="98" ht="14.25" customHeight="1">
      <c r="B98" s="22"/>
      <c r="C98" s="22"/>
    </row>
    <row r="99" ht="14.25" customHeight="1">
      <c r="B99" s="22"/>
      <c r="C99" s="22"/>
    </row>
    <row r="100" ht="14.25" customHeight="1">
      <c r="B100" s="22"/>
      <c r="C100" s="22"/>
    </row>
    <row r="101" ht="14.25" customHeight="1">
      <c r="B101" s="22"/>
      <c r="C101" s="22"/>
    </row>
    <row r="102" ht="14.25" customHeight="1">
      <c r="B102" s="22"/>
      <c r="C102" s="22"/>
    </row>
    <row r="103" ht="14.25" customHeight="1">
      <c r="B103" s="22"/>
      <c r="C103" s="22"/>
    </row>
    <row r="104" ht="14.25" customHeight="1">
      <c r="B104" s="22"/>
      <c r="C104" s="22"/>
    </row>
    <row r="105" ht="14.25" customHeight="1">
      <c r="B105" s="22"/>
      <c r="C105" s="22"/>
    </row>
    <row r="106" ht="14.25" customHeight="1">
      <c r="B106" s="22"/>
      <c r="C106" s="22"/>
    </row>
    <row r="107" ht="14.25" customHeight="1">
      <c r="B107" s="22"/>
      <c r="C107" s="22"/>
    </row>
    <row r="108" ht="14.25" customHeight="1">
      <c r="B108" s="22"/>
      <c r="C108" s="22"/>
    </row>
    <row r="109" ht="14.25" customHeight="1">
      <c r="B109" s="22"/>
      <c r="C109" s="22"/>
    </row>
    <row r="110" ht="14.25" customHeight="1">
      <c r="B110" s="22"/>
      <c r="C110" s="22"/>
    </row>
    <row r="111" ht="14.25" customHeight="1">
      <c r="B111" s="22"/>
      <c r="C111" s="22"/>
    </row>
    <row r="112" ht="14.25" customHeight="1">
      <c r="B112" s="22"/>
      <c r="C112" s="22"/>
    </row>
    <row r="113" ht="14.25" customHeight="1">
      <c r="B113" s="22"/>
      <c r="C113" s="22"/>
    </row>
    <row r="114" ht="14.25" customHeight="1">
      <c r="B114" s="22"/>
      <c r="C114" s="22"/>
    </row>
    <row r="115" ht="14.25" customHeight="1">
      <c r="B115" s="22"/>
      <c r="C115" s="22"/>
    </row>
    <row r="116" ht="14.25" customHeight="1">
      <c r="B116" s="22"/>
      <c r="C116" s="22"/>
    </row>
    <row r="117" ht="14.25" customHeight="1">
      <c r="B117" s="22"/>
      <c r="C117" s="22"/>
    </row>
    <row r="118" ht="14.25" customHeight="1">
      <c r="B118" s="22"/>
      <c r="C118" s="22"/>
    </row>
    <row r="119" ht="14.25" customHeight="1">
      <c r="B119" s="22"/>
      <c r="C119" s="22"/>
    </row>
    <row r="120" ht="14.25" customHeight="1">
      <c r="B120" s="22"/>
      <c r="C120" s="22"/>
    </row>
    <row r="121" ht="14.25" customHeight="1">
      <c r="B121" s="22"/>
      <c r="C121" s="22"/>
    </row>
    <row r="122" ht="14.25" customHeight="1">
      <c r="B122" s="22"/>
      <c r="C122" s="22"/>
    </row>
    <row r="123" ht="14.25" customHeight="1">
      <c r="B123" s="22"/>
      <c r="C123" s="22"/>
    </row>
    <row r="124" ht="14.25" customHeight="1">
      <c r="B124" s="22"/>
      <c r="C124" s="22"/>
    </row>
    <row r="125" ht="14.25" customHeight="1">
      <c r="B125" s="22"/>
      <c r="C125" s="22"/>
    </row>
    <row r="126" ht="14.25" customHeight="1">
      <c r="B126" s="22"/>
      <c r="C126" s="22"/>
    </row>
    <row r="127" ht="14.25" customHeight="1">
      <c r="B127" s="22"/>
      <c r="C127" s="22"/>
    </row>
    <row r="128" ht="14.25" customHeight="1">
      <c r="B128" s="22"/>
      <c r="C128" s="22"/>
    </row>
    <row r="129" ht="14.25" customHeight="1">
      <c r="B129" s="22"/>
      <c r="C129" s="22"/>
    </row>
    <row r="130" ht="14.25" customHeight="1">
      <c r="B130" s="22"/>
      <c r="C130" s="22"/>
    </row>
    <row r="131" ht="14.25" customHeight="1">
      <c r="B131" s="22"/>
      <c r="C131" s="22"/>
    </row>
    <row r="132" ht="14.25" customHeight="1">
      <c r="B132" s="22"/>
      <c r="C132" s="22"/>
    </row>
    <row r="133" ht="14.25" customHeight="1">
      <c r="B133" s="22"/>
      <c r="C133" s="22"/>
    </row>
    <row r="134" ht="14.25" customHeight="1">
      <c r="B134" s="22"/>
      <c r="C134" s="22"/>
    </row>
    <row r="135" ht="14.25" customHeight="1">
      <c r="B135" s="22"/>
      <c r="C135" s="22"/>
    </row>
    <row r="136" ht="14.25" customHeight="1">
      <c r="B136" s="22"/>
      <c r="C136" s="22"/>
    </row>
    <row r="137" ht="14.25" customHeight="1">
      <c r="B137" s="22"/>
      <c r="C137" s="22"/>
    </row>
    <row r="138" ht="14.25" customHeight="1">
      <c r="B138" s="22"/>
      <c r="C138" s="22"/>
    </row>
    <row r="139" ht="14.25" customHeight="1">
      <c r="B139" s="22"/>
      <c r="C139" s="22"/>
    </row>
    <row r="140" ht="14.25" customHeight="1">
      <c r="B140" s="22"/>
      <c r="C140" s="22"/>
    </row>
    <row r="141" ht="14.25" customHeight="1">
      <c r="B141" s="22"/>
      <c r="C141" s="22"/>
    </row>
    <row r="142" ht="14.25" customHeight="1">
      <c r="B142" s="22"/>
      <c r="C142" s="22"/>
    </row>
    <row r="143" ht="14.25" customHeight="1">
      <c r="B143" s="22"/>
      <c r="C143" s="22"/>
    </row>
    <row r="144" ht="14.25" customHeight="1">
      <c r="B144" s="22"/>
      <c r="C144" s="22"/>
    </row>
    <row r="145" ht="14.25" customHeight="1">
      <c r="B145" s="22"/>
      <c r="C145" s="22"/>
    </row>
    <row r="146" ht="14.25" customHeight="1">
      <c r="B146" s="22"/>
      <c r="C146" s="22"/>
    </row>
    <row r="147" ht="14.25" customHeight="1">
      <c r="B147" s="22"/>
      <c r="C147" s="22"/>
    </row>
    <row r="148" ht="14.25" customHeight="1">
      <c r="B148" s="22"/>
      <c r="C148" s="22"/>
    </row>
    <row r="149" ht="14.25" customHeight="1">
      <c r="B149" s="22"/>
      <c r="C149" s="22"/>
    </row>
    <row r="150" ht="14.25" customHeight="1">
      <c r="B150" s="22"/>
      <c r="C150" s="22"/>
    </row>
    <row r="151" ht="14.25" customHeight="1">
      <c r="B151" s="22"/>
      <c r="C151" s="22"/>
    </row>
    <row r="152" ht="14.25" customHeight="1">
      <c r="B152" s="22"/>
      <c r="C152" s="22"/>
    </row>
    <row r="153" ht="14.25" customHeight="1">
      <c r="B153" s="22"/>
      <c r="C153" s="22"/>
    </row>
    <row r="154" ht="14.25" customHeight="1">
      <c r="B154" s="22"/>
      <c r="C154" s="22"/>
    </row>
    <row r="155" ht="14.25" customHeight="1">
      <c r="B155" s="22"/>
      <c r="C155" s="22"/>
    </row>
    <row r="156" ht="14.25" customHeight="1">
      <c r="B156" s="22"/>
      <c r="C156" s="22"/>
    </row>
    <row r="157" ht="14.25" customHeight="1">
      <c r="B157" s="22"/>
      <c r="C157" s="22"/>
    </row>
    <row r="158" ht="14.25" customHeight="1">
      <c r="B158" s="22"/>
      <c r="C158" s="22"/>
    </row>
    <row r="159" ht="14.25" customHeight="1">
      <c r="B159" s="22"/>
      <c r="C159" s="22"/>
    </row>
    <row r="160" ht="14.25" customHeight="1">
      <c r="B160" s="22"/>
      <c r="C160" s="22"/>
    </row>
    <row r="161" ht="14.25" customHeight="1">
      <c r="B161" s="22"/>
      <c r="C161" s="22"/>
    </row>
    <row r="162" ht="14.25" customHeight="1">
      <c r="B162" s="22"/>
      <c r="C162" s="22"/>
    </row>
    <row r="163" ht="14.25" customHeight="1">
      <c r="B163" s="22"/>
      <c r="C163" s="22"/>
    </row>
    <row r="164" ht="14.25" customHeight="1">
      <c r="B164" s="22"/>
      <c r="C164" s="22"/>
    </row>
    <row r="165" ht="14.25" customHeight="1">
      <c r="B165" s="22"/>
      <c r="C165" s="22"/>
    </row>
    <row r="166" ht="14.25" customHeight="1">
      <c r="B166" s="22"/>
      <c r="C166" s="22"/>
    </row>
    <row r="167" ht="14.25" customHeight="1">
      <c r="B167" s="22"/>
      <c r="C167" s="22"/>
    </row>
    <row r="168" ht="14.25" customHeight="1">
      <c r="B168" s="22"/>
      <c r="C168" s="22"/>
    </row>
    <row r="169" ht="14.25" customHeight="1">
      <c r="B169" s="22"/>
      <c r="C169" s="22"/>
    </row>
    <row r="170" ht="14.25" customHeight="1">
      <c r="B170" s="22"/>
      <c r="C170" s="22"/>
    </row>
    <row r="171" ht="14.25" customHeight="1">
      <c r="B171" s="22"/>
      <c r="C171" s="22"/>
    </row>
    <row r="172" ht="14.25" customHeight="1">
      <c r="B172" s="22"/>
      <c r="C172" s="22"/>
    </row>
    <row r="173" ht="14.25" customHeight="1">
      <c r="B173" s="22"/>
      <c r="C173" s="22"/>
    </row>
    <row r="174" ht="14.25" customHeight="1">
      <c r="B174" s="22"/>
      <c r="C174" s="22"/>
    </row>
    <row r="175" ht="14.25" customHeight="1">
      <c r="B175" s="22"/>
      <c r="C175" s="22"/>
    </row>
    <row r="176" ht="14.25" customHeight="1">
      <c r="B176" s="22"/>
      <c r="C176" s="22"/>
    </row>
    <row r="177" ht="14.25" customHeight="1">
      <c r="B177" s="22"/>
      <c r="C177" s="22"/>
    </row>
    <row r="178" ht="14.25" customHeight="1">
      <c r="B178" s="22"/>
      <c r="C178" s="22"/>
    </row>
    <row r="179" ht="14.25" customHeight="1">
      <c r="B179" s="22"/>
      <c r="C179" s="22"/>
    </row>
    <row r="180" ht="14.25" customHeight="1">
      <c r="B180" s="22"/>
      <c r="C180" s="22"/>
    </row>
    <row r="181" ht="14.25" customHeight="1">
      <c r="B181" s="22"/>
      <c r="C181" s="22"/>
    </row>
    <row r="182" ht="14.25" customHeight="1">
      <c r="B182" s="22"/>
      <c r="C182" s="22"/>
    </row>
    <row r="183" ht="14.25" customHeight="1">
      <c r="B183" s="22"/>
      <c r="C183" s="22"/>
    </row>
    <row r="184" ht="14.25" customHeight="1">
      <c r="B184" s="22"/>
      <c r="C184" s="22"/>
    </row>
    <row r="185" ht="14.25" customHeight="1">
      <c r="B185" s="22"/>
      <c r="C185" s="22"/>
    </row>
    <row r="186" ht="14.25" customHeight="1">
      <c r="B186" s="22"/>
      <c r="C186" s="22"/>
    </row>
    <row r="187" ht="14.25" customHeight="1">
      <c r="B187" s="22"/>
      <c r="C187" s="22"/>
    </row>
    <row r="188" ht="14.25" customHeight="1">
      <c r="B188" s="22"/>
      <c r="C188" s="22"/>
    </row>
    <row r="189" ht="14.25" customHeight="1">
      <c r="B189" s="22"/>
      <c r="C189" s="22"/>
    </row>
    <row r="190" ht="14.25" customHeight="1">
      <c r="B190" s="22"/>
      <c r="C190" s="22"/>
    </row>
    <row r="191" ht="14.25" customHeight="1">
      <c r="B191" s="22"/>
      <c r="C191" s="22"/>
    </row>
    <row r="192" ht="14.25" customHeight="1">
      <c r="B192" s="22"/>
      <c r="C192" s="22"/>
    </row>
    <row r="193" ht="14.25" customHeight="1">
      <c r="B193" s="22"/>
      <c r="C193" s="22"/>
    </row>
    <row r="194" ht="14.25" customHeight="1">
      <c r="B194" s="22"/>
      <c r="C194" s="22"/>
    </row>
    <row r="195" ht="14.25" customHeight="1">
      <c r="B195" s="22"/>
      <c r="C195" s="22"/>
    </row>
    <row r="196" ht="14.25" customHeight="1">
      <c r="B196" s="22"/>
      <c r="C196" s="22"/>
    </row>
    <row r="197" ht="14.25" customHeight="1">
      <c r="B197" s="22"/>
      <c r="C197" s="22"/>
    </row>
    <row r="198" ht="14.25" customHeight="1">
      <c r="B198" s="22"/>
      <c r="C198" s="22"/>
    </row>
    <row r="199" ht="14.25" customHeight="1">
      <c r="B199" s="22"/>
      <c r="C199" s="22"/>
    </row>
    <row r="200" ht="14.25" customHeight="1">
      <c r="B200" s="22"/>
      <c r="C200" s="22"/>
    </row>
    <row r="201" ht="14.25" customHeight="1">
      <c r="B201" s="22"/>
      <c r="C201" s="22"/>
    </row>
    <row r="202" ht="14.25" customHeight="1">
      <c r="B202" s="22"/>
      <c r="C202" s="22"/>
    </row>
    <row r="203" ht="14.25" customHeight="1">
      <c r="B203" s="22"/>
      <c r="C203" s="22"/>
    </row>
    <row r="204" ht="14.25" customHeight="1">
      <c r="B204" s="22"/>
      <c r="C204" s="22"/>
    </row>
    <row r="205" ht="14.25" customHeight="1">
      <c r="B205" s="22"/>
      <c r="C205" s="22"/>
    </row>
    <row r="206" ht="14.25" customHeight="1">
      <c r="B206" s="22"/>
      <c r="C206" s="22"/>
    </row>
    <row r="207" ht="14.25" customHeight="1">
      <c r="B207" s="22"/>
      <c r="C207" s="22"/>
    </row>
    <row r="208" ht="14.25" customHeight="1">
      <c r="B208" s="22"/>
      <c r="C208" s="22"/>
    </row>
    <row r="209" ht="14.25" customHeight="1">
      <c r="B209" s="22"/>
      <c r="C209" s="22"/>
    </row>
    <row r="210" ht="14.25" customHeight="1">
      <c r="B210" s="22"/>
      <c r="C210" s="22"/>
    </row>
    <row r="211" ht="14.25" customHeight="1">
      <c r="B211" s="22"/>
      <c r="C211" s="22"/>
    </row>
    <row r="212" ht="14.25" customHeight="1">
      <c r="B212" s="22"/>
      <c r="C212" s="22"/>
    </row>
    <row r="213" ht="14.25" customHeight="1">
      <c r="B213" s="22"/>
      <c r="C213" s="22"/>
    </row>
    <row r="214" ht="14.25" customHeight="1">
      <c r="B214" s="22"/>
      <c r="C214" s="22"/>
    </row>
    <row r="215" ht="14.25" customHeight="1">
      <c r="B215" s="22"/>
      <c r="C215" s="22"/>
    </row>
    <row r="216" ht="14.25" customHeight="1">
      <c r="B216" s="22"/>
      <c r="C216" s="22"/>
    </row>
    <row r="217" ht="14.25" customHeight="1">
      <c r="B217" s="22"/>
      <c r="C217" s="22"/>
    </row>
    <row r="218" ht="14.25" customHeight="1">
      <c r="B218" s="22"/>
      <c r="C218" s="22"/>
    </row>
    <row r="219" ht="14.25" customHeight="1">
      <c r="B219" s="22"/>
      <c r="C219" s="22"/>
    </row>
    <row r="220" ht="14.25" customHeight="1">
      <c r="B220" s="22"/>
      <c r="C220" s="22"/>
    </row>
    <row r="221" ht="14.25" customHeight="1">
      <c r="B221" s="22"/>
      <c r="C221" s="22"/>
    </row>
    <row r="222" ht="14.25" customHeight="1">
      <c r="B222" s="22"/>
      <c r="C222" s="22"/>
    </row>
    <row r="223" ht="14.25" customHeight="1">
      <c r="B223" s="22"/>
      <c r="C223" s="22"/>
    </row>
    <row r="224" ht="14.25" customHeight="1">
      <c r="B224" s="22"/>
      <c r="C224" s="22"/>
    </row>
    <row r="225" ht="14.25" customHeight="1">
      <c r="B225" s="22"/>
      <c r="C225" s="22"/>
    </row>
    <row r="226" ht="14.25" customHeight="1">
      <c r="B226" s="22"/>
      <c r="C226" s="22"/>
    </row>
    <row r="227" ht="14.25" customHeight="1">
      <c r="B227" s="22"/>
      <c r="C227" s="22"/>
    </row>
    <row r="228" ht="14.25" customHeight="1">
      <c r="B228" s="22"/>
      <c r="C228" s="22"/>
    </row>
    <row r="229" ht="14.25" customHeight="1">
      <c r="B229" s="22"/>
      <c r="C229" s="22"/>
    </row>
    <row r="230" ht="14.25" customHeight="1">
      <c r="B230" s="22"/>
      <c r="C230" s="22"/>
    </row>
    <row r="231" ht="14.25" customHeight="1">
      <c r="B231" s="22"/>
      <c r="C231" s="22"/>
    </row>
    <row r="232" ht="14.25" customHeight="1">
      <c r="B232" s="22"/>
      <c r="C232" s="22"/>
    </row>
    <row r="233" ht="14.25" customHeight="1">
      <c r="B233" s="22"/>
      <c r="C233" s="22"/>
    </row>
    <row r="234" ht="14.25" customHeight="1">
      <c r="B234" s="22"/>
      <c r="C234" s="22"/>
    </row>
    <row r="235" ht="14.25" customHeight="1">
      <c r="B235" s="22"/>
      <c r="C235" s="22"/>
    </row>
    <row r="236" ht="14.25" customHeight="1">
      <c r="B236" s="22"/>
      <c r="C236" s="22"/>
    </row>
    <row r="237" ht="14.25" customHeight="1">
      <c r="B237" s="22"/>
      <c r="C237" s="22"/>
    </row>
    <row r="238" ht="14.25" customHeight="1">
      <c r="B238" s="22"/>
      <c r="C238" s="22"/>
    </row>
    <row r="239" ht="14.25" customHeight="1">
      <c r="B239" s="22"/>
      <c r="C239" s="22"/>
    </row>
    <row r="240" ht="14.25" customHeight="1">
      <c r="B240" s="22"/>
      <c r="C240" s="22"/>
    </row>
    <row r="241" ht="14.25" customHeight="1">
      <c r="B241" s="22"/>
      <c r="C241" s="22"/>
    </row>
    <row r="242" ht="14.25" customHeight="1">
      <c r="B242" s="22"/>
      <c r="C242" s="22"/>
    </row>
    <row r="243" ht="14.25" customHeight="1">
      <c r="B243" s="22"/>
      <c r="C243" s="22"/>
    </row>
    <row r="244" ht="14.25" customHeight="1">
      <c r="B244" s="22"/>
      <c r="C244" s="22"/>
    </row>
    <row r="245" ht="14.25" customHeight="1">
      <c r="B245" s="22"/>
      <c r="C245" s="22"/>
    </row>
    <row r="246" ht="14.25" customHeight="1">
      <c r="B246" s="22"/>
      <c r="C246" s="22"/>
    </row>
    <row r="247" ht="14.25" customHeight="1">
      <c r="B247" s="22"/>
      <c r="C247" s="22"/>
    </row>
    <row r="248" ht="14.25" customHeight="1">
      <c r="B248" s="22"/>
      <c r="C248" s="22"/>
    </row>
    <row r="249" ht="14.25" customHeight="1">
      <c r="B249" s="22"/>
      <c r="C249" s="22"/>
    </row>
    <row r="250" ht="14.25" customHeight="1">
      <c r="B250" s="22"/>
      <c r="C250" s="22"/>
    </row>
    <row r="251" ht="14.25" customHeight="1">
      <c r="B251" s="22"/>
      <c r="C251" s="22"/>
    </row>
    <row r="252" ht="14.25" customHeight="1">
      <c r="B252" s="22"/>
      <c r="C252" s="22"/>
    </row>
    <row r="253" ht="14.25" customHeight="1">
      <c r="B253" s="22"/>
      <c r="C253" s="22"/>
    </row>
    <row r="254" ht="14.25" customHeight="1">
      <c r="B254" s="22"/>
      <c r="C254" s="22"/>
    </row>
    <row r="255" ht="14.25" customHeight="1">
      <c r="B255" s="22"/>
      <c r="C255" s="22"/>
    </row>
    <row r="256" ht="14.25" customHeight="1">
      <c r="B256" s="22"/>
      <c r="C256" s="22"/>
    </row>
    <row r="257" ht="14.25" customHeight="1">
      <c r="B257" s="22"/>
      <c r="C257" s="22"/>
    </row>
    <row r="258" ht="14.25" customHeight="1">
      <c r="B258" s="22"/>
      <c r="C258" s="22"/>
    </row>
    <row r="259" ht="14.25" customHeight="1">
      <c r="B259" s="22"/>
      <c r="C259" s="22"/>
    </row>
    <row r="260" ht="14.25" customHeight="1">
      <c r="B260" s="22"/>
      <c r="C260" s="22"/>
    </row>
    <row r="261" ht="14.25" customHeight="1">
      <c r="B261" s="22"/>
      <c r="C261" s="22"/>
    </row>
    <row r="262" ht="14.25" customHeight="1">
      <c r="B262" s="22"/>
      <c r="C262" s="22"/>
    </row>
    <row r="263" ht="14.25" customHeight="1">
      <c r="B263" s="22"/>
      <c r="C263" s="22"/>
    </row>
    <row r="264" ht="14.25" customHeight="1">
      <c r="B264" s="22"/>
      <c r="C264" s="22"/>
    </row>
    <row r="265" ht="14.25" customHeight="1">
      <c r="B265" s="22"/>
      <c r="C265" s="22"/>
    </row>
    <row r="266" ht="14.25" customHeight="1">
      <c r="B266" s="22"/>
      <c r="C266" s="22"/>
    </row>
    <row r="267" ht="14.25" customHeight="1">
      <c r="B267" s="22"/>
      <c r="C267" s="22"/>
    </row>
    <row r="268" ht="14.25" customHeight="1">
      <c r="B268" s="22"/>
      <c r="C268" s="22"/>
    </row>
    <row r="269" ht="14.25" customHeight="1">
      <c r="B269" s="22"/>
      <c r="C269" s="22"/>
    </row>
    <row r="270" ht="14.25" customHeight="1">
      <c r="B270" s="22"/>
      <c r="C270" s="22"/>
    </row>
    <row r="271" ht="14.25" customHeight="1">
      <c r="B271" s="22"/>
      <c r="C271" s="22"/>
    </row>
    <row r="272" ht="14.25" customHeight="1">
      <c r="B272" s="22"/>
      <c r="C272" s="22"/>
    </row>
    <row r="273" ht="14.25" customHeight="1">
      <c r="B273" s="22"/>
      <c r="C273" s="22"/>
    </row>
    <row r="274" ht="14.25" customHeight="1">
      <c r="B274" s="22"/>
      <c r="C274" s="22"/>
    </row>
    <row r="275" ht="14.25" customHeight="1">
      <c r="B275" s="22"/>
      <c r="C275" s="22"/>
    </row>
    <row r="276" ht="14.25" customHeight="1">
      <c r="B276" s="22"/>
      <c r="C276" s="22"/>
    </row>
    <row r="277" ht="14.25" customHeight="1">
      <c r="B277" s="22"/>
      <c r="C277" s="22"/>
    </row>
    <row r="278" ht="14.25" customHeight="1">
      <c r="B278" s="22"/>
      <c r="C278" s="22"/>
    </row>
    <row r="279" ht="14.25" customHeight="1">
      <c r="B279" s="22"/>
      <c r="C279" s="22"/>
    </row>
    <row r="280" ht="14.25" customHeight="1">
      <c r="B280" s="22"/>
      <c r="C280" s="22"/>
    </row>
    <row r="281" ht="14.25" customHeight="1">
      <c r="B281" s="22"/>
      <c r="C281" s="22"/>
    </row>
    <row r="282" ht="14.25" customHeight="1">
      <c r="B282" s="22"/>
      <c r="C282" s="22"/>
    </row>
    <row r="283" ht="14.25" customHeight="1">
      <c r="B283" s="22"/>
      <c r="C283" s="22"/>
    </row>
    <row r="284" ht="14.25" customHeight="1">
      <c r="B284" s="22"/>
      <c r="C284" s="22"/>
    </row>
    <row r="285" ht="14.25" customHeight="1">
      <c r="B285" s="22"/>
      <c r="C285" s="22"/>
    </row>
    <row r="286" ht="14.25" customHeight="1">
      <c r="B286" s="22"/>
      <c r="C286" s="22"/>
    </row>
    <row r="287" ht="14.25" customHeight="1">
      <c r="B287" s="22"/>
      <c r="C287" s="22"/>
    </row>
    <row r="288" ht="14.25" customHeight="1">
      <c r="B288" s="22"/>
      <c r="C288" s="22"/>
    </row>
    <row r="289" ht="14.25" customHeight="1">
      <c r="B289" s="22"/>
      <c r="C289" s="22"/>
    </row>
    <row r="290" ht="14.25" customHeight="1">
      <c r="B290" s="22"/>
      <c r="C290" s="22"/>
    </row>
    <row r="291" ht="14.25" customHeight="1">
      <c r="B291" s="22"/>
      <c r="C291" s="22"/>
    </row>
    <row r="292" ht="14.25" customHeight="1">
      <c r="B292" s="22"/>
      <c r="C292" s="22"/>
    </row>
    <row r="293" ht="14.25" customHeight="1">
      <c r="B293" s="22"/>
      <c r="C293" s="22"/>
    </row>
    <row r="294" ht="14.25" customHeight="1">
      <c r="B294" s="22"/>
      <c r="C294" s="22"/>
    </row>
    <row r="295" ht="14.25" customHeight="1">
      <c r="B295" s="22"/>
      <c r="C295" s="22"/>
    </row>
    <row r="296" ht="14.25" customHeight="1">
      <c r="B296" s="22"/>
      <c r="C296" s="22"/>
    </row>
    <row r="297" ht="14.25" customHeight="1">
      <c r="B297" s="22"/>
      <c r="C297" s="22"/>
    </row>
    <row r="298" ht="14.25" customHeight="1">
      <c r="B298" s="22"/>
      <c r="C298" s="22"/>
    </row>
    <row r="299" ht="14.25" customHeight="1">
      <c r="B299" s="22"/>
      <c r="C299" s="22"/>
    </row>
    <row r="300" ht="14.25" customHeight="1">
      <c r="B300" s="22"/>
      <c r="C300" s="22"/>
    </row>
    <row r="301" ht="14.25" customHeight="1">
      <c r="B301" s="22"/>
      <c r="C301" s="22"/>
    </row>
    <row r="302" ht="14.25" customHeight="1">
      <c r="B302" s="22"/>
      <c r="C302" s="22"/>
    </row>
    <row r="303" ht="14.25" customHeight="1">
      <c r="B303" s="22"/>
      <c r="C303" s="22"/>
    </row>
    <row r="304" ht="14.25" customHeight="1">
      <c r="B304" s="22"/>
      <c r="C304" s="22"/>
    </row>
    <row r="305" ht="14.25" customHeight="1">
      <c r="B305" s="22"/>
      <c r="C305" s="22"/>
    </row>
    <row r="306" ht="14.25" customHeight="1">
      <c r="B306" s="22"/>
      <c r="C306" s="22"/>
    </row>
    <row r="307" ht="14.25" customHeight="1">
      <c r="B307" s="22"/>
      <c r="C307" s="22"/>
    </row>
    <row r="308" ht="14.25" customHeight="1">
      <c r="B308" s="22"/>
      <c r="C308" s="22"/>
    </row>
    <row r="309" ht="14.25" customHeight="1">
      <c r="B309" s="22"/>
      <c r="C309" s="22"/>
    </row>
    <row r="310" ht="14.25" customHeight="1">
      <c r="B310" s="22"/>
      <c r="C310" s="22"/>
    </row>
    <row r="311" ht="14.25" customHeight="1">
      <c r="B311" s="22"/>
      <c r="C311" s="22"/>
    </row>
    <row r="312" ht="14.25" customHeight="1">
      <c r="B312" s="22"/>
      <c r="C312" s="22"/>
    </row>
    <row r="313" ht="14.25" customHeight="1">
      <c r="B313" s="22"/>
      <c r="C313" s="22"/>
    </row>
    <row r="314" ht="14.25" customHeight="1">
      <c r="B314" s="22"/>
      <c r="C314" s="22"/>
    </row>
    <row r="315" ht="14.25" customHeight="1">
      <c r="B315" s="22"/>
      <c r="C315" s="22"/>
    </row>
    <row r="316" ht="14.25" customHeight="1">
      <c r="B316" s="22"/>
      <c r="C316" s="22"/>
    </row>
    <row r="317" ht="14.25" customHeight="1">
      <c r="B317" s="22"/>
      <c r="C317" s="22"/>
    </row>
    <row r="318" ht="14.25" customHeight="1">
      <c r="B318" s="22"/>
      <c r="C318" s="22"/>
    </row>
    <row r="319" ht="14.25" customHeight="1">
      <c r="B319" s="22"/>
      <c r="C319" s="22"/>
    </row>
    <row r="320" ht="14.25" customHeight="1">
      <c r="B320" s="22"/>
      <c r="C320" s="22"/>
    </row>
    <row r="321" ht="14.25" customHeight="1">
      <c r="B321" s="22"/>
      <c r="C321" s="22"/>
    </row>
    <row r="322" ht="14.25" customHeight="1">
      <c r="B322" s="22"/>
      <c r="C322" s="22"/>
    </row>
    <row r="323" ht="14.25" customHeight="1">
      <c r="B323" s="22"/>
      <c r="C323" s="22"/>
    </row>
    <row r="324" ht="14.25" customHeight="1">
      <c r="B324" s="22"/>
      <c r="C324" s="22"/>
    </row>
    <row r="325" ht="14.25" customHeight="1">
      <c r="B325" s="22"/>
      <c r="C325" s="22"/>
    </row>
    <row r="326" ht="14.25" customHeight="1">
      <c r="B326" s="22"/>
      <c r="C326" s="22"/>
    </row>
    <row r="327" ht="14.25" customHeight="1">
      <c r="B327" s="22"/>
      <c r="C327" s="22"/>
    </row>
    <row r="328" ht="14.25" customHeight="1">
      <c r="B328" s="22"/>
      <c r="C328" s="22"/>
    </row>
    <row r="329" ht="14.25" customHeight="1">
      <c r="B329" s="22"/>
      <c r="C329" s="22"/>
    </row>
    <row r="330" ht="14.25" customHeight="1">
      <c r="B330" s="22"/>
      <c r="C330" s="22"/>
    </row>
    <row r="331" ht="14.25" customHeight="1">
      <c r="B331" s="22"/>
      <c r="C331" s="22"/>
    </row>
    <row r="332" ht="14.25" customHeight="1">
      <c r="B332" s="22"/>
      <c r="C332" s="22"/>
    </row>
    <row r="333" ht="14.25" customHeight="1">
      <c r="B333" s="22"/>
      <c r="C333" s="22"/>
    </row>
    <row r="334" ht="14.25" customHeight="1">
      <c r="B334" s="22"/>
      <c r="C334" s="22"/>
    </row>
    <row r="335" ht="14.25" customHeight="1">
      <c r="B335" s="22"/>
      <c r="C335" s="22"/>
    </row>
    <row r="336" ht="14.25" customHeight="1">
      <c r="B336" s="22"/>
      <c r="C336" s="22"/>
    </row>
    <row r="337" ht="14.25" customHeight="1">
      <c r="B337" s="22"/>
      <c r="C337" s="22"/>
    </row>
    <row r="338" ht="14.25" customHeight="1">
      <c r="B338" s="22"/>
      <c r="C338" s="22"/>
    </row>
    <row r="339" ht="14.25" customHeight="1">
      <c r="B339" s="22"/>
      <c r="C339" s="22"/>
    </row>
    <row r="340" ht="14.25" customHeight="1">
      <c r="B340" s="22"/>
      <c r="C340" s="22"/>
    </row>
    <row r="341" ht="14.25" customHeight="1">
      <c r="B341" s="22"/>
      <c r="C341" s="22"/>
    </row>
    <row r="342" ht="14.25" customHeight="1">
      <c r="B342" s="22"/>
      <c r="C342" s="22"/>
    </row>
    <row r="343" ht="14.25" customHeight="1">
      <c r="B343" s="22"/>
      <c r="C343" s="22"/>
    </row>
    <row r="344" ht="14.25" customHeight="1">
      <c r="B344" s="22"/>
      <c r="C344" s="22"/>
    </row>
    <row r="345" ht="14.25" customHeight="1">
      <c r="B345" s="22"/>
      <c r="C345" s="22"/>
    </row>
    <row r="346" ht="14.25" customHeight="1">
      <c r="B346" s="22"/>
      <c r="C346" s="22"/>
    </row>
    <row r="347" ht="14.25" customHeight="1">
      <c r="B347" s="22"/>
      <c r="C347" s="22"/>
    </row>
    <row r="348" ht="14.25" customHeight="1">
      <c r="B348" s="22"/>
      <c r="C348" s="22"/>
    </row>
    <row r="349" ht="14.25" customHeight="1">
      <c r="B349" s="22"/>
      <c r="C349" s="22"/>
    </row>
    <row r="350" ht="14.25" customHeight="1">
      <c r="B350" s="22"/>
      <c r="C350" s="22"/>
    </row>
    <row r="351" ht="14.25" customHeight="1">
      <c r="B351" s="22"/>
      <c r="C351" s="22"/>
    </row>
    <row r="352" ht="14.25" customHeight="1">
      <c r="B352" s="22"/>
      <c r="C352" s="22"/>
    </row>
    <row r="353" ht="14.25" customHeight="1">
      <c r="B353" s="22"/>
      <c r="C353" s="22"/>
    </row>
    <row r="354" ht="14.25" customHeight="1">
      <c r="B354" s="22"/>
      <c r="C354" s="22"/>
    </row>
    <row r="355" ht="14.25" customHeight="1">
      <c r="B355" s="22"/>
      <c r="C355" s="22"/>
    </row>
    <row r="356" ht="14.25" customHeight="1">
      <c r="B356" s="22"/>
      <c r="C356" s="22"/>
    </row>
    <row r="357" ht="14.25" customHeight="1">
      <c r="B357" s="22"/>
      <c r="C357" s="22"/>
    </row>
    <row r="358" ht="14.25" customHeight="1">
      <c r="B358" s="22"/>
      <c r="C358" s="22"/>
    </row>
    <row r="359" ht="14.25" customHeight="1">
      <c r="B359" s="22"/>
      <c r="C359" s="22"/>
    </row>
    <row r="360" ht="14.25" customHeight="1">
      <c r="B360" s="22"/>
      <c r="C360" s="22"/>
    </row>
    <row r="361" ht="14.25" customHeight="1">
      <c r="B361" s="22"/>
      <c r="C361" s="22"/>
    </row>
    <row r="362" ht="14.25" customHeight="1">
      <c r="B362" s="22"/>
      <c r="C362" s="22"/>
    </row>
    <row r="363" ht="14.25" customHeight="1">
      <c r="B363" s="22"/>
      <c r="C363" s="22"/>
    </row>
    <row r="364" ht="14.25" customHeight="1">
      <c r="B364" s="22"/>
      <c r="C364" s="22"/>
    </row>
    <row r="365" ht="14.25" customHeight="1">
      <c r="B365" s="22"/>
      <c r="C365" s="22"/>
    </row>
    <row r="366" ht="14.25" customHeight="1">
      <c r="B366" s="22"/>
      <c r="C366" s="22"/>
    </row>
    <row r="367" ht="14.25" customHeight="1">
      <c r="B367" s="22"/>
      <c r="C367" s="22"/>
    </row>
    <row r="368" ht="14.25" customHeight="1">
      <c r="B368" s="22"/>
      <c r="C368" s="22"/>
    </row>
    <row r="369" ht="14.25" customHeight="1">
      <c r="B369" s="22"/>
      <c r="C369" s="22"/>
    </row>
    <row r="370" ht="14.25" customHeight="1">
      <c r="B370" s="22"/>
      <c r="C370" s="22"/>
    </row>
    <row r="371" ht="14.25" customHeight="1">
      <c r="B371" s="22"/>
      <c r="C371" s="22"/>
    </row>
    <row r="372" ht="14.25" customHeight="1">
      <c r="B372" s="22"/>
      <c r="C372" s="22"/>
    </row>
    <row r="373" ht="14.25" customHeight="1">
      <c r="B373" s="22"/>
      <c r="C373" s="22"/>
    </row>
    <row r="374" ht="14.25" customHeight="1">
      <c r="B374" s="22"/>
      <c r="C374" s="22"/>
    </row>
    <row r="375" ht="14.25" customHeight="1">
      <c r="B375" s="22"/>
      <c r="C375" s="22"/>
    </row>
    <row r="376" ht="14.25" customHeight="1">
      <c r="B376" s="22"/>
      <c r="C376" s="22"/>
    </row>
    <row r="377" ht="14.25" customHeight="1">
      <c r="B377" s="22"/>
      <c r="C377" s="22"/>
    </row>
    <row r="378" ht="14.25" customHeight="1">
      <c r="B378" s="22"/>
      <c r="C378" s="22"/>
    </row>
    <row r="379" ht="14.25" customHeight="1">
      <c r="B379" s="22"/>
      <c r="C379" s="22"/>
    </row>
    <row r="380" ht="14.25" customHeight="1">
      <c r="B380" s="22"/>
      <c r="C380" s="22"/>
    </row>
    <row r="381" ht="14.25" customHeight="1">
      <c r="B381" s="22"/>
      <c r="C381" s="22"/>
    </row>
    <row r="382" ht="14.25" customHeight="1">
      <c r="B382" s="22"/>
      <c r="C382" s="22"/>
    </row>
    <row r="383" ht="14.25" customHeight="1">
      <c r="B383" s="22"/>
      <c r="C383" s="22"/>
    </row>
    <row r="384" ht="14.25" customHeight="1">
      <c r="B384" s="22"/>
      <c r="C384" s="22"/>
    </row>
    <row r="385" ht="14.25" customHeight="1">
      <c r="B385" s="22"/>
      <c r="C385" s="22"/>
    </row>
    <row r="386" ht="14.25" customHeight="1">
      <c r="B386" s="22"/>
      <c r="C386" s="22"/>
    </row>
    <row r="387" ht="14.25" customHeight="1">
      <c r="B387" s="22"/>
      <c r="C387" s="22"/>
    </row>
    <row r="388" ht="14.25" customHeight="1">
      <c r="B388" s="22"/>
      <c r="C388" s="22"/>
    </row>
    <row r="389" ht="14.25" customHeight="1">
      <c r="B389" s="22"/>
      <c r="C389" s="22"/>
    </row>
    <row r="390" ht="14.25" customHeight="1">
      <c r="B390" s="22"/>
      <c r="C390" s="22"/>
    </row>
    <row r="391" ht="14.25" customHeight="1">
      <c r="B391" s="22"/>
      <c r="C391" s="22"/>
    </row>
    <row r="392" ht="14.25" customHeight="1">
      <c r="B392" s="22"/>
      <c r="C392" s="22"/>
    </row>
    <row r="393" ht="14.25" customHeight="1">
      <c r="B393" s="22"/>
      <c r="C393" s="22"/>
    </row>
    <row r="394" ht="14.25" customHeight="1">
      <c r="B394" s="22"/>
      <c r="C394" s="22"/>
    </row>
    <row r="395" ht="14.25" customHeight="1">
      <c r="B395" s="22"/>
      <c r="C395" s="22"/>
    </row>
    <row r="396" ht="14.25" customHeight="1">
      <c r="B396" s="22"/>
      <c r="C396" s="22"/>
    </row>
    <row r="397" ht="14.25" customHeight="1">
      <c r="B397" s="22"/>
      <c r="C397" s="22"/>
    </row>
    <row r="398" ht="14.25" customHeight="1">
      <c r="B398" s="22"/>
      <c r="C398" s="22"/>
    </row>
    <row r="399" ht="14.25" customHeight="1">
      <c r="B399" s="22"/>
      <c r="C399" s="22"/>
    </row>
    <row r="400" ht="14.25" customHeight="1">
      <c r="B400" s="22"/>
      <c r="C400" s="22"/>
    </row>
    <row r="401" ht="14.25" customHeight="1">
      <c r="B401" s="22"/>
      <c r="C401" s="22"/>
    </row>
    <row r="402" ht="14.25" customHeight="1">
      <c r="B402" s="22"/>
      <c r="C402" s="22"/>
    </row>
    <row r="403" ht="14.25" customHeight="1">
      <c r="B403" s="22"/>
      <c r="C403" s="22"/>
    </row>
    <row r="404" ht="14.25" customHeight="1">
      <c r="B404" s="22"/>
      <c r="C404" s="22"/>
    </row>
    <row r="405" ht="14.25" customHeight="1">
      <c r="B405" s="22"/>
      <c r="C405" s="22"/>
    </row>
    <row r="406" ht="14.25" customHeight="1">
      <c r="B406" s="22"/>
      <c r="C406" s="22"/>
    </row>
    <row r="407" ht="14.25" customHeight="1">
      <c r="B407" s="22"/>
      <c r="C407" s="22"/>
    </row>
    <row r="408" ht="14.25" customHeight="1">
      <c r="B408" s="22"/>
      <c r="C408" s="22"/>
    </row>
    <row r="409" ht="14.25" customHeight="1">
      <c r="B409" s="22"/>
      <c r="C409" s="22"/>
    </row>
    <row r="410" ht="14.25" customHeight="1">
      <c r="B410" s="22"/>
      <c r="C410" s="22"/>
    </row>
    <row r="411" ht="14.25" customHeight="1">
      <c r="B411" s="22"/>
      <c r="C411" s="22"/>
    </row>
    <row r="412" ht="14.25" customHeight="1">
      <c r="B412" s="22"/>
      <c r="C412" s="22"/>
    </row>
    <row r="413" ht="14.25" customHeight="1">
      <c r="B413" s="22"/>
      <c r="C413" s="22"/>
    </row>
    <row r="414" ht="14.25" customHeight="1">
      <c r="B414" s="22"/>
      <c r="C414" s="22"/>
    </row>
    <row r="415" ht="14.25" customHeight="1">
      <c r="B415" s="22"/>
      <c r="C415" s="22"/>
    </row>
    <row r="416" ht="14.25" customHeight="1">
      <c r="B416" s="22"/>
      <c r="C416" s="22"/>
    </row>
    <row r="417" ht="14.25" customHeight="1">
      <c r="B417" s="22"/>
      <c r="C417" s="22"/>
    </row>
    <row r="418" ht="14.25" customHeight="1">
      <c r="B418" s="22"/>
      <c r="C418" s="22"/>
    </row>
    <row r="419" ht="14.25" customHeight="1">
      <c r="B419" s="22"/>
      <c r="C419" s="22"/>
    </row>
    <row r="420" ht="14.25" customHeight="1">
      <c r="B420" s="22"/>
      <c r="C420" s="22"/>
    </row>
    <row r="421" ht="14.25" customHeight="1">
      <c r="B421" s="22"/>
      <c r="C421" s="22"/>
    </row>
    <row r="422" ht="14.25" customHeight="1">
      <c r="B422" s="22"/>
      <c r="C422" s="22"/>
    </row>
    <row r="423" ht="14.25" customHeight="1">
      <c r="B423" s="22"/>
      <c r="C423" s="22"/>
    </row>
    <row r="424" ht="14.25" customHeight="1">
      <c r="B424" s="22"/>
      <c r="C424" s="22"/>
    </row>
    <row r="425" ht="14.25" customHeight="1">
      <c r="B425" s="22"/>
      <c r="C425" s="22"/>
    </row>
    <row r="426" ht="14.25" customHeight="1">
      <c r="B426" s="22"/>
      <c r="C426" s="22"/>
    </row>
    <row r="427" ht="14.25" customHeight="1">
      <c r="B427" s="22"/>
      <c r="C427" s="22"/>
    </row>
    <row r="428" ht="14.25" customHeight="1">
      <c r="B428" s="22"/>
      <c r="C428" s="22"/>
    </row>
    <row r="429" ht="14.25" customHeight="1">
      <c r="B429" s="22"/>
      <c r="C429" s="22"/>
    </row>
    <row r="430" ht="14.25" customHeight="1">
      <c r="B430" s="22"/>
      <c r="C430" s="22"/>
    </row>
    <row r="431" ht="14.25" customHeight="1">
      <c r="B431" s="22"/>
      <c r="C431" s="22"/>
    </row>
    <row r="432" ht="14.25" customHeight="1">
      <c r="B432" s="22"/>
      <c r="C432" s="22"/>
    </row>
    <row r="433" ht="14.25" customHeight="1">
      <c r="B433" s="22"/>
      <c r="C433" s="22"/>
    </row>
    <row r="434" ht="14.25" customHeight="1">
      <c r="B434" s="22"/>
      <c r="C434" s="22"/>
    </row>
    <row r="435" ht="14.25" customHeight="1">
      <c r="B435" s="22"/>
      <c r="C435" s="22"/>
    </row>
    <row r="436" ht="14.25" customHeight="1">
      <c r="B436" s="22"/>
      <c r="C436" s="22"/>
    </row>
    <row r="437" ht="14.25" customHeight="1">
      <c r="B437" s="22"/>
      <c r="C437" s="22"/>
    </row>
    <row r="438" ht="14.25" customHeight="1">
      <c r="B438" s="22"/>
      <c r="C438" s="22"/>
    </row>
    <row r="439" ht="14.25" customHeight="1">
      <c r="B439" s="22"/>
      <c r="C439" s="22"/>
    </row>
    <row r="440" ht="14.25" customHeight="1">
      <c r="B440" s="22"/>
      <c r="C440" s="22"/>
    </row>
    <row r="441" ht="14.25" customHeight="1">
      <c r="B441" s="22"/>
      <c r="C441" s="22"/>
    </row>
    <row r="442" ht="14.25" customHeight="1">
      <c r="B442" s="22"/>
      <c r="C442" s="22"/>
    </row>
    <row r="443" ht="14.25" customHeight="1">
      <c r="B443" s="22"/>
      <c r="C443" s="22"/>
    </row>
    <row r="444" ht="14.25" customHeight="1">
      <c r="B444" s="22"/>
      <c r="C444" s="22"/>
    </row>
    <row r="445" ht="14.25" customHeight="1">
      <c r="B445" s="22"/>
      <c r="C445" s="22"/>
    </row>
    <row r="446" ht="14.25" customHeight="1">
      <c r="B446" s="22"/>
      <c r="C446" s="22"/>
    </row>
    <row r="447" ht="14.25" customHeight="1">
      <c r="B447" s="22"/>
      <c r="C447" s="22"/>
    </row>
    <row r="448" ht="14.25" customHeight="1">
      <c r="B448" s="22"/>
      <c r="C448" s="22"/>
    </row>
    <row r="449" ht="14.25" customHeight="1">
      <c r="B449" s="22"/>
      <c r="C449" s="22"/>
    </row>
    <row r="450" ht="14.25" customHeight="1">
      <c r="B450" s="22"/>
      <c r="C450" s="22"/>
    </row>
    <row r="451" ht="14.25" customHeight="1">
      <c r="B451" s="22"/>
      <c r="C451" s="22"/>
    </row>
    <row r="452" ht="14.25" customHeight="1">
      <c r="B452" s="22"/>
      <c r="C452" s="22"/>
    </row>
    <row r="453" ht="14.25" customHeight="1">
      <c r="B453" s="22"/>
      <c r="C453" s="22"/>
    </row>
    <row r="454" ht="14.25" customHeight="1">
      <c r="B454" s="22"/>
      <c r="C454" s="22"/>
    </row>
    <row r="455" ht="14.25" customHeight="1">
      <c r="B455" s="22"/>
      <c r="C455" s="22"/>
    </row>
    <row r="456" ht="14.25" customHeight="1">
      <c r="B456" s="22"/>
      <c r="C456" s="22"/>
    </row>
    <row r="457" ht="14.25" customHeight="1">
      <c r="B457" s="22"/>
      <c r="C457" s="22"/>
    </row>
    <row r="458" ht="14.25" customHeight="1">
      <c r="B458" s="22"/>
      <c r="C458" s="22"/>
    </row>
    <row r="459" ht="14.25" customHeight="1">
      <c r="B459" s="22"/>
      <c r="C459" s="22"/>
    </row>
    <row r="460" ht="14.25" customHeight="1">
      <c r="B460" s="22"/>
      <c r="C460" s="22"/>
    </row>
    <row r="461" ht="14.25" customHeight="1">
      <c r="B461" s="22"/>
      <c r="C461" s="22"/>
    </row>
    <row r="462" ht="14.25" customHeight="1">
      <c r="B462" s="22"/>
      <c r="C462" s="22"/>
    </row>
    <row r="463" ht="14.25" customHeight="1">
      <c r="B463" s="22"/>
      <c r="C463" s="22"/>
    </row>
    <row r="464" ht="14.25" customHeight="1">
      <c r="B464" s="22"/>
      <c r="C464" s="22"/>
    </row>
    <row r="465" ht="14.25" customHeight="1">
      <c r="B465" s="22"/>
      <c r="C465" s="22"/>
    </row>
    <row r="466" ht="14.25" customHeight="1">
      <c r="B466" s="22"/>
      <c r="C466" s="22"/>
    </row>
    <row r="467" ht="14.25" customHeight="1">
      <c r="B467" s="22"/>
      <c r="C467" s="22"/>
    </row>
    <row r="468" ht="14.25" customHeight="1">
      <c r="B468" s="22"/>
      <c r="C468" s="22"/>
    </row>
    <row r="469" ht="14.25" customHeight="1">
      <c r="B469" s="22"/>
      <c r="C469" s="22"/>
    </row>
    <row r="470" ht="14.25" customHeight="1">
      <c r="B470" s="22"/>
      <c r="C470" s="22"/>
    </row>
    <row r="471" ht="14.25" customHeight="1">
      <c r="B471" s="22"/>
      <c r="C471" s="22"/>
    </row>
    <row r="472" ht="14.25" customHeight="1">
      <c r="B472" s="22"/>
      <c r="C472" s="22"/>
    </row>
    <row r="473" ht="14.25" customHeight="1">
      <c r="B473" s="22"/>
      <c r="C473" s="22"/>
    </row>
    <row r="474" ht="14.25" customHeight="1">
      <c r="B474" s="22"/>
      <c r="C474" s="22"/>
    </row>
    <row r="475" ht="14.25" customHeight="1">
      <c r="B475" s="22"/>
      <c r="C475" s="22"/>
    </row>
    <row r="476" ht="14.25" customHeight="1">
      <c r="B476" s="22"/>
      <c r="C476" s="22"/>
    </row>
    <row r="477" ht="14.25" customHeight="1">
      <c r="B477" s="22"/>
      <c r="C477" s="22"/>
    </row>
    <row r="478" ht="14.25" customHeight="1">
      <c r="B478" s="22"/>
      <c r="C478" s="22"/>
    </row>
    <row r="479" ht="14.25" customHeight="1">
      <c r="B479" s="22"/>
      <c r="C479" s="22"/>
    </row>
    <row r="480" ht="14.25" customHeight="1">
      <c r="B480" s="22"/>
      <c r="C480" s="22"/>
    </row>
    <row r="481" ht="14.25" customHeight="1">
      <c r="B481" s="22"/>
      <c r="C481" s="22"/>
    </row>
    <row r="482" ht="14.25" customHeight="1">
      <c r="B482" s="22"/>
      <c r="C482" s="22"/>
    </row>
    <row r="483" ht="14.25" customHeight="1">
      <c r="B483" s="22"/>
      <c r="C483" s="22"/>
    </row>
    <row r="484" ht="14.25" customHeight="1">
      <c r="B484" s="22"/>
      <c r="C484" s="22"/>
    </row>
    <row r="485" ht="14.25" customHeight="1">
      <c r="B485" s="22"/>
      <c r="C485" s="22"/>
    </row>
    <row r="486" ht="14.25" customHeight="1">
      <c r="B486" s="22"/>
      <c r="C486" s="22"/>
    </row>
    <row r="487" ht="14.25" customHeight="1">
      <c r="B487" s="22"/>
      <c r="C487" s="22"/>
    </row>
    <row r="488" ht="14.25" customHeight="1">
      <c r="B488" s="22"/>
      <c r="C488" s="22"/>
    </row>
    <row r="489" ht="14.25" customHeight="1">
      <c r="B489" s="22"/>
      <c r="C489" s="22"/>
    </row>
    <row r="490" ht="14.25" customHeight="1">
      <c r="B490" s="22"/>
      <c r="C490" s="22"/>
    </row>
    <row r="491" ht="14.25" customHeight="1">
      <c r="B491" s="22"/>
      <c r="C491" s="22"/>
    </row>
    <row r="492" ht="14.25" customHeight="1">
      <c r="B492" s="22"/>
      <c r="C492" s="22"/>
    </row>
    <row r="493" ht="14.25" customHeight="1">
      <c r="B493" s="22"/>
      <c r="C493" s="22"/>
    </row>
    <row r="494" ht="14.25" customHeight="1">
      <c r="B494" s="22"/>
      <c r="C494" s="22"/>
    </row>
    <row r="495" ht="14.25" customHeight="1">
      <c r="B495" s="22"/>
      <c r="C495" s="22"/>
    </row>
    <row r="496" ht="14.25" customHeight="1">
      <c r="B496" s="22"/>
      <c r="C496" s="22"/>
    </row>
    <row r="497" ht="14.25" customHeight="1">
      <c r="B497" s="22"/>
      <c r="C497" s="22"/>
    </row>
    <row r="498" ht="14.25" customHeight="1">
      <c r="B498" s="22"/>
      <c r="C498" s="22"/>
    </row>
    <row r="499" ht="14.25" customHeight="1">
      <c r="B499" s="22"/>
      <c r="C499" s="22"/>
    </row>
    <row r="500" ht="14.25" customHeight="1">
      <c r="B500" s="22"/>
      <c r="C500" s="22"/>
    </row>
    <row r="501" ht="14.25" customHeight="1">
      <c r="B501" s="22"/>
      <c r="C501" s="22"/>
    </row>
    <row r="502" ht="14.25" customHeight="1">
      <c r="B502" s="22"/>
      <c r="C502" s="22"/>
    </row>
    <row r="503" ht="14.25" customHeight="1">
      <c r="B503" s="22"/>
      <c r="C503" s="22"/>
    </row>
    <row r="504" ht="14.25" customHeight="1">
      <c r="B504" s="22"/>
      <c r="C504" s="22"/>
    </row>
    <row r="505" ht="14.25" customHeight="1">
      <c r="B505" s="22"/>
      <c r="C505" s="22"/>
    </row>
    <row r="506" ht="14.25" customHeight="1">
      <c r="B506" s="22"/>
      <c r="C506" s="22"/>
    </row>
    <row r="507" ht="14.25" customHeight="1">
      <c r="B507" s="22"/>
      <c r="C507" s="22"/>
    </row>
    <row r="508" ht="14.25" customHeight="1">
      <c r="B508" s="22"/>
      <c r="C508" s="22"/>
    </row>
    <row r="509" ht="14.25" customHeight="1">
      <c r="B509" s="22"/>
      <c r="C509" s="22"/>
    </row>
    <row r="510" ht="14.25" customHeight="1">
      <c r="B510" s="22"/>
      <c r="C510" s="22"/>
    </row>
    <row r="511" ht="14.25" customHeight="1">
      <c r="B511" s="22"/>
      <c r="C511" s="22"/>
    </row>
    <row r="512" ht="14.25" customHeight="1">
      <c r="B512" s="22"/>
      <c r="C512" s="22"/>
    </row>
    <row r="513" ht="14.25" customHeight="1">
      <c r="B513" s="22"/>
      <c r="C513" s="22"/>
    </row>
    <row r="514" ht="14.25" customHeight="1">
      <c r="B514" s="22"/>
      <c r="C514" s="22"/>
    </row>
    <row r="515" ht="14.25" customHeight="1">
      <c r="B515" s="22"/>
      <c r="C515" s="22"/>
    </row>
    <row r="516" ht="14.25" customHeight="1">
      <c r="B516" s="22"/>
      <c r="C516" s="22"/>
    </row>
    <row r="517" ht="14.25" customHeight="1">
      <c r="B517" s="22"/>
      <c r="C517" s="22"/>
    </row>
    <row r="518" ht="14.25" customHeight="1">
      <c r="B518" s="22"/>
      <c r="C518" s="22"/>
    </row>
    <row r="519" ht="14.25" customHeight="1">
      <c r="B519" s="22"/>
      <c r="C519" s="22"/>
    </row>
    <row r="520" ht="14.25" customHeight="1">
      <c r="B520" s="22"/>
      <c r="C520" s="22"/>
    </row>
    <row r="521" ht="14.25" customHeight="1">
      <c r="B521" s="22"/>
      <c r="C521" s="22"/>
    </row>
    <row r="522" ht="14.25" customHeight="1">
      <c r="B522" s="22"/>
      <c r="C522" s="22"/>
    </row>
    <row r="523" ht="14.25" customHeight="1">
      <c r="B523" s="22"/>
      <c r="C523" s="22"/>
    </row>
    <row r="524" ht="14.25" customHeight="1">
      <c r="B524" s="22"/>
      <c r="C524" s="22"/>
    </row>
    <row r="525" ht="14.25" customHeight="1">
      <c r="B525" s="22"/>
      <c r="C525" s="22"/>
    </row>
    <row r="526" ht="14.25" customHeight="1">
      <c r="B526" s="22"/>
      <c r="C526" s="22"/>
    </row>
    <row r="527" ht="14.25" customHeight="1">
      <c r="B527" s="22"/>
      <c r="C527" s="22"/>
    </row>
    <row r="528" ht="14.25" customHeight="1">
      <c r="B528" s="22"/>
      <c r="C528" s="22"/>
    </row>
    <row r="529" ht="14.25" customHeight="1">
      <c r="B529" s="22"/>
      <c r="C529" s="22"/>
    </row>
    <row r="530" ht="14.25" customHeight="1">
      <c r="B530" s="22"/>
      <c r="C530" s="22"/>
    </row>
    <row r="531" ht="14.25" customHeight="1">
      <c r="B531" s="22"/>
      <c r="C531" s="22"/>
    </row>
    <row r="532" ht="14.25" customHeight="1">
      <c r="B532" s="22"/>
      <c r="C532" s="22"/>
    </row>
    <row r="533" ht="14.25" customHeight="1">
      <c r="B533" s="22"/>
      <c r="C533" s="22"/>
    </row>
    <row r="534" ht="14.25" customHeight="1">
      <c r="B534" s="22"/>
      <c r="C534" s="22"/>
    </row>
    <row r="535" ht="14.25" customHeight="1">
      <c r="B535" s="22"/>
      <c r="C535" s="22"/>
    </row>
    <row r="536" ht="14.25" customHeight="1">
      <c r="B536" s="22"/>
      <c r="C536" s="22"/>
    </row>
    <row r="537" ht="14.25" customHeight="1">
      <c r="B537" s="22"/>
      <c r="C537" s="22"/>
    </row>
    <row r="538" ht="14.25" customHeight="1">
      <c r="B538" s="22"/>
      <c r="C538" s="22"/>
    </row>
    <row r="539" ht="14.25" customHeight="1">
      <c r="B539" s="22"/>
      <c r="C539" s="22"/>
    </row>
    <row r="540" ht="14.25" customHeight="1">
      <c r="B540" s="22"/>
      <c r="C540" s="22"/>
    </row>
    <row r="541" ht="14.25" customHeight="1">
      <c r="B541" s="22"/>
      <c r="C541" s="22"/>
    </row>
    <row r="542" ht="14.25" customHeight="1">
      <c r="B542" s="22"/>
      <c r="C542" s="22"/>
    </row>
    <row r="543" ht="14.25" customHeight="1">
      <c r="B543" s="22"/>
      <c r="C543" s="22"/>
    </row>
    <row r="544" ht="14.25" customHeight="1">
      <c r="B544" s="22"/>
      <c r="C544" s="22"/>
    </row>
    <row r="545" ht="14.25" customHeight="1">
      <c r="B545" s="22"/>
      <c r="C545" s="22"/>
    </row>
    <row r="546" ht="14.25" customHeight="1">
      <c r="B546" s="22"/>
      <c r="C546" s="22"/>
    </row>
    <row r="547" ht="14.25" customHeight="1">
      <c r="B547" s="22"/>
      <c r="C547" s="22"/>
    </row>
    <row r="548" ht="14.25" customHeight="1">
      <c r="B548" s="22"/>
      <c r="C548" s="22"/>
    </row>
    <row r="549" ht="14.25" customHeight="1">
      <c r="B549" s="22"/>
      <c r="C549" s="22"/>
    </row>
    <row r="550" ht="14.25" customHeight="1">
      <c r="B550" s="22"/>
      <c r="C550" s="22"/>
    </row>
    <row r="551" ht="14.25" customHeight="1">
      <c r="B551" s="22"/>
      <c r="C551" s="22"/>
    </row>
    <row r="552" ht="14.25" customHeight="1">
      <c r="B552" s="22"/>
      <c r="C552" s="22"/>
    </row>
    <row r="553" ht="14.25" customHeight="1">
      <c r="B553" s="22"/>
      <c r="C553" s="22"/>
    </row>
    <row r="554" ht="14.25" customHeight="1">
      <c r="B554" s="22"/>
      <c r="C554" s="22"/>
    </row>
    <row r="555" ht="14.25" customHeight="1">
      <c r="B555" s="22"/>
      <c r="C555" s="22"/>
    </row>
    <row r="556" ht="14.25" customHeight="1">
      <c r="B556" s="22"/>
      <c r="C556" s="22"/>
    </row>
    <row r="557" ht="14.25" customHeight="1">
      <c r="B557" s="22"/>
      <c r="C557" s="22"/>
    </row>
    <row r="558" ht="14.25" customHeight="1">
      <c r="B558" s="22"/>
      <c r="C558" s="22"/>
    </row>
    <row r="559" ht="14.25" customHeight="1">
      <c r="B559" s="22"/>
      <c r="C559" s="22"/>
    </row>
    <row r="560" ht="14.25" customHeight="1">
      <c r="B560" s="22"/>
      <c r="C560" s="22"/>
    </row>
    <row r="561" ht="14.25" customHeight="1">
      <c r="B561" s="22"/>
      <c r="C561" s="22"/>
    </row>
    <row r="562" ht="14.25" customHeight="1">
      <c r="B562" s="22"/>
      <c r="C562" s="22"/>
    </row>
    <row r="563" ht="14.25" customHeight="1">
      <c r="B563" s="22"/>
      <c r="C563" s="22"/>
    </row>
    <row r="564" ht="14.25" customHeight="1">
      <c r="B564" s="22"/>
      <c r="C564" s="22"/>
    </row>
    <row r="565" ht="14.25" customHeight="1">
      <c r="B565" s="22"/>
      <c r="C565" s="22"/>
    </row>
    <row r="566" ht="14.25" customHeight="1">
      <c r="B566" s="22"/>
      <c r="C566" s="22"/>
    </row>
    <row r="567" ht="14.25" customHeight="1">
      <c r="B567" s="22"/>
      <c r="C567" s="22"/>
    </row>
    <row r="568" ht="14.25" customHeight="1">
      <c r="B568" s="22"/>
      <c r="C568" s="22"/>
    </row>
    <row r="569" ht="14.25" customHeight="1">
      <c r="B569" s="22"/>
      <c r="C569" s="22"/>
    </row>
    <row r="570" ht="14.25" customHeight="1">
      <c r="B570" s="22"/>
      <c r="C570" s="22"/>
    </row>
    <row r="571" ht="14.25" customHeight="1">
      <c r="B571" s="22"/>
      <c r="C571" s="22"/>
    </row>
    <row r="572" ht="14.25" customHeight="1">
      <c r="B572" s="22"/>
      <c r="C572" s="22"/>
    </row>
    <row r="573" ht="14.25" customHeight="1">
      <c r="B573" s="22"/>
      <c r="C573" s="22"/>
    </row>
    <row r="574" ht="14.25" customHeight="1">
      <c r="B574" s="22"/>
      <c r="C574" s="22"/>
    </row>
    <row r="575" ht="14.25" customHeight="1">
      <c r="B575" s="22"/>
      <c r="C575" s="22"/>
    </row>
    <row r="576" ht="14.25" customHeight="1">
      <c r="B576" s="22"/>
      <c r="C576" s="22"/>
    </row>
    <row r="577" ht="14.25" customHeight="1">
      <c r="B577" s="22"/>
      <c r="C577" s="22"/>
    </row>
    <row r="578" ht="14.25" customHeight="1">
      <c r="B578" s="22"/>
      <c r="C578" s="22"/>
    </row>
    <row r="579" ht="14.25" customHeight="1">
      <c r="B579" s="22"/>
      <c r="C579" s="22"/>
    </row>
    <row r="580" ht="14.25" customHeight="1">
      <c r="B580" s="22"/>
      <c r="C580" s="22"/>
    </row>
    <row r="581" ht="14.25" customHeight="1">
      <c r="B581" s="22"/>
      <c r="C581" s="22"/>
    </row>
    <row r="582" ht="14.25" customHeight="1">
      <c r="B582" s="22"/>
      <c r="C582" s="22"/>
    </row>
    <row r="583" ht="14.25" customHeight="1">
      <c r="B583" s="22"/>
      <c r="C583" s="22"/>
    </row>
    <row r="584" ht="14.25" customHeight="1">
      <c r="B584" s="22"/>
      <c r="C584" s="22"/>
    </row>
    <row r="585" ht="14.25" customHeight="1">
      <c r="B585" s="22"/>
      <c r="C585" s="22"/>
    </row>
    <row r="586" ht="14.25" customHeight="1">
      <c r="B586" s="22"/>
      <c r="C586" s="22"/>
    </row>
    <row r="587" ht="14.25" customHeight="1">
      <c r="B587" s="22"/>
      <c r="C587" s="22"/>
    </row>
    <row r="588" ht="14.25" customHeight="1">
      <c r="B588" s="22"/>
      <c r="C588" s="22"/>
    </row>
    <row r="589" ht="14.25" customHeight="1">
      <c r="B589" s="22"/>
      <c r="C589" s="22"/>
    </row>
    <row r="590" ht="14.25" customHeight="1">
      <c r="B590" s="22"/>
      <c r="C590" s="22"/>
    </row>
    <row r="591" ht="14.25" customHeight="1">
      <c r="B591" s="22"/>
      <c r="C591" s="22"/>
    </row>
    <row r="592" ht="14.25" customHeight="1">
      <c r="B592" s="22"/>
      <c r="C592" s="22"/>
    </row>
    <row r="593" ht="14.25" customHeight="1">
      <c r="B593" s="22"/>
      <c r="C593" s="22"/>
    </row>
    <row r="594" ht="14.25" customHeight="1">
      <c r="B594" s="22"/>
      <c r="C594" s="22"/>
    </row>
    <row r="595" ht="14.25" customHeight="1">
      <c r="B595" s="22"/>
      <c r="C595" s="22"/>
    </row>
    <row r="596" ht="14.25" customHeight="1">
      <c r="B596" s="22"/>
      <c r="C596" s="22"/>
    </row>
    <row r="597" ht="14.25" customHeight="1">
      <c r="B597" s="22"/>
      <c r="C597" s="22"/>
    </row>
    <row r="598" ht="14.25" customHeight="1">
      <c r="B598" s="22"/>
      <c r="C598" s="22"/>
    </row>
    <row r="599" ht="14.25" customHeight="1">
      <c r="B599" s="22"/>
      <c r="C599" s="22"/>
    </row>
    <row r="600" ht="14.25" customHeight="1">
      <c r="B600" s="22"/>
      <c r="C600" s="22"/>
    </row>
    <row r="601" ht="14.25" customHeight="1">
      <c r="B601" s="22"/>
      <c r="C601" s="22"/>
    </row>
    <row r="602" ht="14.25" customHeight="1">
      <c r="B602" s="22"/>
      <c r="C602" s="22"/>
    </row>
    <row r="603" ht="14.25" customHeight="1">
      <c r="B603" s="22"/>
      <c r="C603" s="22"/>
    </row>
    <row r="604" ht="14.25" customHeight="1">
      <c r="B604" s="22"/>
      <c r="C604" s="22"/>
    </row>
    <row r="605" ht="14.25" customHeight="1">
      <c r="B605" s="22"/>
      <c r="C605" s="22"/>
    </row>
    <row r="606" ht="14.25" customHeight="1">
      <c r="B606" s="22"/>
      <c r="C606" s="22"/>
    </row>
    <row r="607" ht="14.25" customHeight="1">
      <c r="B607" s="22"/>
      <c r="C607" s="22"/>
    </row>
    <row r="608" ht="14.25" customHeight="1">
      <c r="B608" s="22"/>
      <c r="C608" s="22"/>
    </row>
    <row r="609" ht="14.25" customHeight="1">
      <c r="B609" s="22"/>
      <c r="C609" s="22"/>
    </row>
    <row r="610" ht="14.25" customHeight="1">
      <c r="B610" s="22"/>
      <c r="C610" s="22"/>
    </row>
    <row r="611" ht="14.25" customHeight="1">
      <c r="B611" s="22"/>
      <c r="C611" s="22"/>
    </row>
    <row r="612" ht="14.25" customHeight="1">
      <c r="B612" s="22"/>
      <c r="C612" s="22"/>
    </row>
    <row r="613" ht="14.25" customHeight="1">
      <c r="B613" s="22"/>
      <c r="C613" s="22"/>
    </row>
    <row r="614" ht="14.25" customHeight="1">
      <c r="B614" s="22"/>
      <c r="C614" s="22"/>
    </row>
    <row r="615" ht="14.25" customHeight="1">
      <c r="B615" s="22"/>
      <c r="C615" s="22"/>
    </row>
    <row r="616" ht="14.25" customHeight="1">
      <c r="B616" s="22"/>
      <c r="C616" s="22"/>
    </row>
    <row r="617" ht="14.25" customHeight="1">
      <c r="B617" s="22"/>
      <c r="C617" s="22"/>
    </row>
    <row r="618" ht="14.25" customHeight="1">
      <c r="B618" s="22"/>
      <c r="C618" s="22"/>
    </row>
    <row r="619" ht="14.25" customHeight="1">
      <c r="B619" s="22"/>
      <c r="C619" s="22"/>
    </row>
    <row r="620" ht="14.25" customHeight="1">
      <c r="B620" s="22"/>
      <c r="C620" s="22"/>
    </row>
    <row r="621" ht="14.25" customHeight="1">
      <c r="B621" s="22"/>
      <c r="C621" s="22"/>
    </row>
    <row r="622" ht="14.25" customHeight="1">
      <c r="B622" s="22"/>
      <c r="C622" s="22"/>
    </row>
    <row r="623" ht="14.25" customHeight="1">
      <c r="B623" s="22"/>
      <c r="C623" s="22"/>
    </row>
    <row r="624" ht="14.25" customHeight="1">
      <c r="B624" s="22"/>
      <c r="C624" s="22"/>
    </row>
    <row r="625" ht="14.25" customHeight="1">
      <c r="B625" s="22"/>
      <c r="C625" s="22"/>
    </row>
    <row r="626" ht="14.25" customHeight="1">
      <c r="B626" s="22"/>
      <c r="C626" s="22"/>
    </row>
    <row r="627" ht="14.25" customHeight="1">
      <c r="B627" s="22"/>
      <c r="C627" s="22"/>
    </row>
    <row r="628" ht="14.25" customHeight="1">
      <c r="B628" s="22"/>
      <c r="C628" s="22"/>
    </row>
    <row r="629" ht="14.25" customHeight="1">
      <c r="B629" s="22"/>
      <c r="C629" s="22"/>
    </row>
    <row r="630" ht="14.25" customHeight="1">
      <c r="B630" s="22"/>
      <c r="C630" s="22"/>
    </row>
    <row r="631" ht="14.25" customHeight="1">
      <c r="B631" s="22"/>
      <c r="C631" s="22"/>
    </row>
    <row r="632" ht="14.25" customHeight="1">
      <c r="B632" s="22"/>
      <c r="C632" s="22"/>
    </row>
    <row r="633" ht="14.25" customHeight="1">
      <c r="B633" s="22"/>
      <c r="C633" s="22"/>
    </row>
    <row r="634" ht="14.25" customHeight="1">
      <c r="B634" s="22"/>
      <c r="C634" s="22"/>
    </row>
    <row r="635" ht="14.25" customHeight="1">
      <c r="B635" s="22"/>
      <c r="C635" s="22"/>
    </row>
    <row r="636" ht="14.25" customHeight="1">
      <c r="B636" s="22"/>
      <c r="C636" s="22"/>
    </row>
    <row r="637" ht="14.25" customHeight="1">
      <c r="B637" s="22"/>
      <c r="C637" s="22"/>
    </row>
    <row r="638" ht="14.25" customHeight="1">
      <c r="B638" s="22"/>
      <c r="C638" s="22"/>
    </row>
    <row r="639" ht="14.25" customHeight="1">
      <c r="B639" s="22"/>
      <c r="C639" s="22"/>
    </row>
    <row r="640" ht="14.25" customHeight="1">
      <c r="B640" s="22"/>
      <c r="C640" s="22"/>
    </row>
    <row r="641" ht="14.25" customHeight="1">
      <c r="B641" s="22"/>
      <c r="C641" s="22"/>
    </row>
    <row r="642" ht="14.25" customHeight="1">
      <c r="B642" s="22"/>
      <c r="C642" s="22"/>
    </row>
    <row r="643" ht="14.25" customHeight="1">
      <c r="B643" s="22"/>
      <c r="C643" s="22"/>
    </row>
    <row r="644" ht="14.25" customHeight="1">
      <c r="B644" s="22"/>
      <c r="C644" s="22"/>
    </row>
    <row r="645" ht="14.25" customHeight="1">
      <c r="B645" s="22"/>
      <c r="C645" s="22"/>
    </row>
    <row r="646" ht="14.25" customHeight="1">
      <c r="B646" s="22"/>
      <c r="C646" s="22"/>
    </row>
    <row r="647" ht="14.25" customHeight="1">
      <c r="B647" s="22"/>
      <c r="C647" s="22"/>
    </row>
    <row r="648" ht="14.25" customHeight="1">
      <c r="B648" s="22"/>
      <c r="C648" s="22"/>
    </row>
    <row r="649" ht="14.25" customHeight="1">
      <c r="B649" s="22"/>
      <c r="C649" s="22"/>
    </row>
    <row r="650" ht="14.25" customHeight="1">
      <c r="B650" s="22"/>
      <c r="C650" s="22"/>
    </row>
    <row r="651" ht="14.25" customHeight="1">
      <c r="B651" s="22"/>
      <c r="C651" s="22"/>
    </row>
    <row r="652" ht="14.25" customHeight="1">
      <c r="B652" s="22"/>
      <c r="C652" s="22"/>
    </row>
    <row r="653" ht="14.25" customHeight="1">
      <c r="B653" s="22"/>
      <c r="C653" s="22"/>
    </row>
    <row r="654" ht="14.25" customHeight="1">
      <c r="B654" s="22"/>
      <c r="C654" s="22"/>
    </row>
    <row r="655" ht="14.25" customHeight="1">
      <c r="B655" s="22"/>
      <c r="C655" s="22"/>
    </row>
    <row r="656" ht="14.25" customHeight="1">
      <c r="B656" s="22"/>
      <c r="C656" s="22"/>
    </row>
    <row r="657" ht="14.25" customHeight="1">
      <c r="B657" s="22"/>
      <c r="C657" s="22"/>
    </row>
    <row r="658" ht="14.25" customHeight="1">
      <c r="B658" s="22"/>
      <c r="C658" s="22"/>
    </row>
    <row r="659" ht="14.25" customHeight="1">
      <c r="B659" s="22"/>
      <c r="C659" s="22"/>
    </row>
    <row r="660" ht="14.25" customHeight="1">
      <c r="B660" s="22"/>
      <c r="C660" s="22"/>
    </row>
    <row r="661" ht="14.25" customHeight="1">
      <c r="B661" s="22"/>
      <c r="C661" s="22"/>
    </row>
    <row r="662" ht="14.25" customHeight="1">
      <c r="B662" s="22"/>
      <c r="C662" s="22"/>
    </row>
    <row r="663" ht="14.25" customHeight="1">
      <c r="B663" s="22"/>
      <c r="C663" s="22"/>
    </row>
    <row r="664" ht="14.25" customHeight="1">
      <c r="B664" s="22"/>
      <c r="C664" s="22"/>
    </row>
    <row r="665" ht="14.25" customHeight="1">
      <c r="B665" s="22"/>
      <c r="C665" s="22"/>
    </row>
    <row r="666" ht="14.25" customHeight="1">
      <c r="B666" s="22"/>
      <c r="C666" s="22"/>
    </row>
    <row r="667" ht="14.25" customHeight="1">
      <c r="B667" s="22"/>
      <c r="C667" s="22"/>
    </row>
    <row r="668" ht="14.25" customHeight="1">
      <c r="B668" s="22"/>
      <c r="C668" s="22"/>
    </row>
    <row r="669" ht="14.25" customHeight="1">
      <c r="B669" s="22"/>
      <c r="C669" s="22"/>
    </row>
    <row r="670" ht="14.25" customHeight="1">
      <c r="B670" s="22"/>
      <c r="C670" s="22"/>
    </row>
    <row r="671" ht="14.25" customHeight="1">
      <c r="B671" s="22"/>
      <c r="C671" s="22"/>
    </row>
    <row r="672" ht="14.25" customHeight="1">
      <c r="B672" s="22"/>
      <c r="C672" s="22"/>
    </row>
    <row r="673" ht="14.25" customHeight="1">
      <c r="B673" s="22"/>
      <c r="C673" s="22"/>
    </row>
    <row r="674" ht="14.25" customHeight="1">
      <c r="B674" s="22"/>
      <c r="C674" s="22"/>
    </row>
    <row r="675" ht="14.25" customHeight="1">
      <c r="B675" s="22"/>
      <c r="C675" s="22"/>
    </row>
    <row r="676" ht="14.25" customHeight="1">
      <c r="B676" s="22"/>
      <c r="C676" s="22"/>
    </row>
    <row r="677" ht="14.25" customHeight="1">
      <c r="B677" s="22"/>
      <c r="C677" s="22"/>
    </row>
    <row r="678" ht="14.25" customHeight="1">
      <c r="B678" s="22"/>
      <c r="C678" s="22"/>
    </row>
    <row r="679" ht="14.25" customHeight="1">
      <c r="B679" s="22"/>
      <c r="C679" s="22"/>
    </row>
    <row r="680" ht="14.25" customHeight="1">
      <c r="B680" s="22"/>
      <c r="C680" s="22"/>
    </row>
    <row r="681" ht="14.25" customHeight="1">
      <c r="B681" s="22"/>
      <c r="C681" s="22"/>
    </row>
    <row r="682" ht="14.25" customHeight="1">
      <c r="B682" s="22"/>
      <c r="C682" s="22"/>
    </row>
    <row r="683" ht="14.25" customHeight="1">
      <c r="B683" s="22"/>
      <c r="C683" s="22"/>
    </row>
    <row r="684" ht="14.25" customHeight="1">
      <c r="B684" s="22"/>
      <c r="C684" s="22"/>
    </row>
    <row r="685" ht="14.25" customHeight="1">
      <c r="B685" s="22"/>
      <c r="C685" s="22"/>
    </row>
    <row r="686" ht="14.25" customHeight="1">
      <c r="B686" s="22"/>
      <c r="C686" s="22"/>
    </row>
    <row r="687" ht="14.25" customHeight="1">
      <c r="B687" s="22"/>
      <c r="C687" s="22"/>
    </row>
    <row r="688" ht="14.25" customHeight="1">
      <c r="B688" s="22"/>
      <c r="C688" s="22"/>
    </row>
    <row r="689" ht="14.25" customHeight="1">
      <c r="B689" s="22"/>
      <c r="C689" s="22"/>
    </row>
    <row r="690" ht="14.25" customHeight="1">
      <c r="B690" s="22"/>
      <c r="C690" s="22"/>
    </row>
    <row r="691" ht="14.25" customHeight="1">
      <c r="B691" s="22"/>
      <c r="C691" s="22"/>
    </row>
    <row r="692" ht="14.25" customHeight="1">
      <c r="B692" s="22"/>
      <c r="C692" s="22"/>
    </row>
    <row r="693" ht="14.25" customHeight="1">
      <c r="B693" s="22"/>
      <c r="C693" s="22"/>
    </row>
    <row r="694" ht="14.25" customHeight="1">
      <c r="B694" s="22"/>
      <c r="C694" s="22"/>
    </row>
    <row r="695" ht="14.25" customHeight="1">
      <c r="B695" s="22"/>
      <c r="C695" s="22"/>
    </row>
    <row r="696" ht="14.25" customHeight="1">
      <c r="B696" s="22"/>
      <c r="C696" s="22"/>
    </row>
    <row r="697" ht="14.25" customHeight="1">
      <c r="B697" s="22"/>
      <c r="C697" s="22"/>
    </row>
    <row r="698" ht="14.25" customHeight="1">
      <c r="B698" s="22"/>
      <c r="C698" s="22"/>
    </row>
    <row r="699" ht="14.25" customHeight="1">
      <c r="B699" s="22"/>
      <c r="C699" s="22"/>
    </row>
    <row r="700" ht="14.25" customHeight="1">
      <c r="B700" s="22"/>
      <c r="C700" s="22"/>
    </row>
    <row r="701" ht="14.25" customHeight="1">
      <c r="B701" s="22"/>
      <c r="C701" s="22"/>
    </row>
    <row r="702" ht="14.25" customHeight="1">
      <c r="B702" s="22"/>
      <c r="C702" s="22"/>
    </row>
    <row r="703" ht="14.25" customHeight="1">
      <c r="B703" s="22"/>
      <c r="C703" s="22"/>
    </row>
    <row r="704" ht="14.25" customHeight="1">
      <c r="B704" s="22"/>
      <c r="C704" s="22"/>
    </row>
    <row r="705" ht="14.25" customHeight="1">
      <c r="B705" s="22"/>
      <c r="C705" s="22"/>
    </row>
    <row r="706" ht="14.25" customHeight="1">
      <c r="B706" s="22"/>
      <c r="C706" s="22"/>
    </row>
    <row r="707" ht="14.25" customHeight="1">
      <c r="B707" s="22"/>
      <c r="C707" s="22"/>
    </row>
    <row r="708" ht="14.25" customHeight="1">
      <c r="B708" s="22"/>
      <c r="C708" s="22"/>
    </row>
    <row r="709" ht="14.25" customHeight="1">
      <c r="B709" s="22"/>
      <c r="C709" s="22"/>
    </row>
    <row r="710" ht="14.25" customHeight="1">
      <c r="B710" s="22"/>
      <c r="C710" s="22"/>
    </row>
    <row r="711" ht="14.25" customHeight="1">
      <c r="B711" s="22"/>
      <c r="C711" s="22"/>
    </row>
    <row r="712" ht="14.25" customHeight="1">
      <c r="B712" s="22"/>
      <c r="C712" s="22"/>
    </row>
    <row r="713" ht="14.25" customHeight="1">
      <c r="B713" s="22"/>
      <c r="C713" s="22"/>
    </row>
    <row r="714" ht="14.25" customHeight="1">
      <c r="B714" s="22"/>
      <c r="C714" s="22"/>
    </row>
    <row r="715" ht="14.25" customHeight="1">
      <c r="B715" s="22"/>
      <c r="C715" s="22"/>
    </row>
    <row r="716" ht="14.25" customHeight="1">
      <c r="B716" s="22"/>
      <c r="C716" s="22"/>
    </row>
    <row r="717" ht="14.25" customHeight="1">
      <c r="B717" s="22"/>
      <c r="C717" s="22"/>
    </row>
    <row r="718" ht="14.25" customHeight="1">
      <c r="B718" s="22"/>
      <c r="C718" s="22"/>
    </row>
    <row r="719" ht="14.25" customHeight="1">
      <c r="B719" s="22"/>
      <c r="C719" s="22"/>
    </row>
    <row r="720" ht="14.25" customHeight="1">
      <c r="B720" s="22"/>
      <c r="C720" s="22"/>
    </row>
    <row r="721" ht="14.25" customHeight="1">
      <c r="B721" s="22"/>
      <c r="C721" s="22"/>
    </row>
    <row r="722" ht="14.25" customHeight="1">
      <c r="B722" s="22"/>
      <c r="C722" s="22"/>
    </row>
    <row r="723" ht="14.25" customHeight="1">
      <c r="B723" s="22"/>
      <c r="C723" s="22"/>
    </row>
    <row r="724" ht="14.25" customHeight="1">
      <c r="B724" s="22"/>
      <c r="C724" s="22"/>
    </row>
    <row r="725" ht="14.25" customHeight="1">
      <c r="B725" s="22"/>
      <c r="C725" s="22"/>
    </row>
    <row r="726" ht="14.25" customHeight="1">
      <c r="B726" s="22"/>
      <c r="C726" s="22"/>
    </row>
    <row r="727" ht="14.25" customHeight="1">
      <c r="B727" s="22"/>
      <c r="C727" s="22"/>
    </row>
    <row r="728" ht="14.25" customHeight="1">
      <c r="B728" s="22"/>
      <c r="C728" s="22"/>
    </row>
    <row r="729" ht="14.25" customHeight="1">
      <c r="B729" s="22"/>
      <c r="C729" s="22"/>
    </row>
    <row r="730" ht="14.25" customHeight="1">
      <c r="B730" s="22"/>
      <c r="C730" s="22"/>
    </row>
    <row r="731" ht="14.25" customHeight="1">
      <c r="B731" s="22"/>
      <c r="C731" s="22"/>
    </row>
    <row r="732" ht="14.25" customHeight="1">
      <c r="B732" s="22"/>
      <c r="C732" s="22"/>
    </row>
    <row r="733" ht="14.25" customHeight="1">
      <c r="B733" s="22"/>
      <c r="C733" s="22"/>
    </row>
    <row r="734" ht="14.25" customHeight="1">
      <c r="B734" s="22"/>
      <c r="C734" s="22"/>
    </row>
    <row r="735" ht="14.25" customHeight="1">
      <c r="B735" s="22"/>
      <c r="C735" s="22"/>
    </row>
    <row r="736" ht="14.25" customHeight="1">
      <c r="B736" s="22"/>
      <c r="C736" s="22"/>
    </row>
    <row r="737" ht="14.25" customHeight="1">
      <c r="B737" s="22"/>
      <c r="C737" s="22"/>
    </row>
    <row r="738" ht="14.25" customHeight="1">
      <c r="B738" s="22"/>
      <c r="C738" s="22"/>
    </row>
    <row r="739" ht="14.25" customHeight="1">
      <c r="B739" s="22"/>
      <c r="C739" s="22"/>
    </row>
    <row r="740" ht="14.25" customHeight="1">
      <c r="B740" s="22"/>
      <c r="C740" s="22"/>
    </row>
    <row r="741" ht="14.25" customHeight="1">
      <c r="B741" s="22"/>
      <c r="C741" s="22"/>
    </row>
    <row r="742" ht="14.25" customHeight="1">
      <c r="B742" s="22"/>
      <c r="C742" s="22"/>
    </row>
    <row r="743" ht="14.25" customHeight="1">
      <c r="B743" s="22"/>
      <c r="C743" s="22"/>
    </row>
    <row r="744" ht="14.25" customHeight="1">
      <c r="B744" s="22"/>
      <c r="C744" s="22"/>
    </row>
    <row r="745" ht="14.25" customHeight="1">
      <c r="B745" s="22"/>
      <c r="C745" s="22"/>
    </row>
    <row r="746" ht="14.25" customHeight="1">
      <c r="B746" s="22"/>
      <c r="C746" s="22"/>
    </row>
    <row r="747" ht="14.25" customHeight="1">
      <c r="B747" s="22"/>
      <c r="C747" s="22"/>
    </row>
    <row r="748" ht="14.25" customHeight="1">
      <c r="B748" s="22"/>
      <c r="C748" s="22"/>
    </row>
    <row r="749" ht="14.25" customHeight="1">
      <c r="B749" s="22"/>
      <c r="C749" s="22"/>
    </row>
    <row r="750" ht="14.25" customHeight="1">
      <c r="B750" s="22"/>
      <c r="C750" s="22"/>
    </row>
    <row r="751" ht="14.25" customHeight="1">
      <c r="B751" s="22"/>
      <c r="C751" s="22"/>
    </row>
    <row r="752" ht="14.25" customHeight="1">
      <c r="B752" s="22"/>
      <c r="C752" s="22"/>
    </row>
    <row r="753" ht="14.25" customHeight="1">
      <c r="B753" s="22"/>
      <c r="C753" s="22"/>
    </row>
    <row r="754" ht="14.25" customHeight="1">
      <c r="B754" s="22"/>
      <c r="C754" s="22"/>
    </row>
    <row r="755" ht="14.25" customHeight="1">
      <c r="B755" s="22"/>
      <c r="C755" s="22"/>
    </row>
    <row r="756" ht="14.25" customHeight="1">
      <c r="B756" s="22"/>
      <c r="C756" s="22"/>
    </row>
    <row r="757" ht="14.25" customHeight="1">
      <c r="B757" s="22"/>
      <c r="C757" s="22"/>
    </row>
    <row r="758" ht="14.25" customHeight="1">
      <c r="B758" s="22"/>
      <c r="C758" s="22"/>
    </row>
    <row r="759" ht="14.25" customHeight="1">
      <c r="B759" s="22"/>
      <c r="C759" s="22"/>
    </row>
    <row r="760" ht="14.25" customHeight="1">
      <c r="B760" s="22"/>
      <c r="C760" s="22"/>
    </row>
    <row r="761" ht="14.25" customHeight="1">
      <c r="B761" s="22"/>
      <c r="C761" s="22"/>
    </row>
    <row r="762" ht="14.25" customHeight="1">
      <c r="B762" s="22"/>
      <c r="C762" s="22"/>
    </row>
    <row r="763" ht="14.25" customHeight="1">
      <c r="B763" s="22"/>
      <c r="C763" s="22"/>
    </row>
    <row r="764" ht="14.25" customHeight="1">
      <c r="B764" s="22"/>
      <c r="C764" s="22"/>
    </row>
    <row r="765" ht="14.25" customHeight="1">
      <c r="B765" s="22"/>
      <c r="C765" s="22"/>
    </row>
    <row r="766" ht="14.25" customHeight="1">
      <c r="B766" s="22"/>
      <c r="C766" s="22"/>
    </row>
    <row r="767" ht="14.25" customHeight="1">
      <c r="B767" s="22"/>
      <c r="C767" s="22"/>
    </row>
    <row r="768" ht="14.25" customHeight="1">
      <c r="B768" s="22"/>
      <c r="C768" s="22"/>
    </row>
    <row r="769" ht="14.25" customHeight="1">
      <c r="B769" s="22"/>
      <c r="C769" s="22"/>
    </row>
    <row r="770" ht="14.25" customHeight="1">
      <c r="B770" s="22"/>
      <c r="C770" s="22"/>
    </row>
    <row r="771" ht="14.25" customHeight="1">
      <c r="B771" s="22"/>
      <c r="C771" s="22"/>
    </row>
    <row r="772" ht="14.25" customHeight="1">
      <c r="B772" s="22"/>
      <c r="C772" s="22"/>
    </row>
    <row r="773" ht="14.25" customHeight="1">
      <c r="B773" s="22"/>
      <c r="C773" s="22"/>
    </row>
    <row r="774" ht="14.25" customHeight="1">
      <c r="B774" s="22"/>
      <c r="C774" s="22"/>
    </row>
    <row r="775" ht="14.25" customHeight="1">
      <c r="B775" s="22"/>
      <c r="C775" s="22"/>
    </row>
    <row r="776" ht="14.25" customHeight="1">
      <c r="B776" s="22"/>
      <c r="C776" s="22"/>
    </row>
    <row r="777" ht="14.25" customHeight="1">
      <c r="B777" s="22"/>
      <c r="C777" s="22"/>
    </row>
    <row r="778" ht="14.25" customHeight="1">
      <c r="B778" s="22"/>
      <c r="C778" s="22"/>
    </row>
    <row r="779" ht="14.25" customHeight="1">
      <c r="B779" s="22"/>
      <c r="C779" s="22"/>
    </row>
    <row r="780" ht="14.25" customHeight="1">
      <c r="B780" s="22"/>
      <c r="C780" s="22"/>
    </row>
    <row r="781" ht="14.25" customHeight="1">
      <c r="B781" s="22"/>
      <c r="C781" s="22"/>
    </row>
    <row r="782" ht="14.25" customHeight="1">
      <c r="B782" s="22"/>
      <c r="C782" s="22"/>
    </row>
    <row r="783" ht="14.25" customHeight="1">
      <c r="B783" s="22"/>
      <c r="C783" s="22"/>
    </row>
    <row r="784" ht="14.25" customHeight="1">
      <c r="B784" s="22"/>
      <c r="C784" s="22"/>
    </row>
    <row r="785" ht="14.25" customHeight="1">
      <c r="B785" s="22"/>
      <c r="C785" s="22"/>
    </row>
    <row r="786" ht="14.25" customHeight="1">
      <c r="B786" s="22"/>
      <c r="C786" s="22"/>
    </row>
    <row r="787" ht="14.25" customHeight="1">
      <c r="B787" s="22"/>
      <c r="C787" s="22"/>
    </row>
    <row r="788" ht="14.25" customHeight="1">
      <c r="B788" s="22"/>
      <c r="C788" s="22"/>
    </row>
    <row r="789" ht="14.25" customHeight="1">
      <c r="B789" s="22"/>
      <c r="C789" s="22"/>
    </row>
    <row r="790" ht="14.25" customHeight="1">
      <c r="B790" s="22"/>
      <c r="C790" s="22"/>
    </row>
    <row r="791" ht="14.25" customHeight="1">
      <c r="B791" s="22"/>
      <c r="C791" s="22"/>
    </row>
    <row r="792" ht="14.25" customHeight="1">
      <c r="B792" s="22"/>
      <c r="C792" s="22"/>
    </row>
    <row r="793" ht="14.25" customHeight="1">
      <c r="B793" s="22"/>
      <c r="C793" s="22"/>
    </row>
    <row r="794" ht="14.25" customHeight="1">
      <c r="B794" s="22"/>
      <c r="C794" s="22"/>
    </row>
    <row r="795" ht="14.25" customHeight="1">
      <c r="B795" s="22"/>
      <c r="C795" s="22"/>
    </row>
    <row r="796" ht="14.25" customHeight="1">
      <c r="B796" s="22"/>
      <c r="C796" s="22"/>
    </row>
    <row r="797" ht="14.25" customHeight="1">
      <c r="B797" s="22"/>
      <c r="C797" s="22"/>
    </row>
    <row r="798" ht="14.25" customHeight="1">
      <c r="B798" s="22"/>
      <c r="C798" s="22"/>
    </row>
    <row r="799" ht="14.25" customHeight="1">
      <c r="B799" s="22"/>
      <c r="C799" s="22"/>
    </row>
    <row r="800" ht="14.25" customHeight="1">
      <c r="B800" s="22"/>
      <c r="C800" s="22"/>
    </row>
    <row r="801" ht="14.25" customHeight="1">
      <c r="B801" s="22"/>
      <c r="C801" s="22"/>
    </row>
    <row r="802" ht="14.25" customHeight="1">
      <c r="B802" s="22"/>
      <c r="C802" s="22"/>
    </row>
    <row r="803" ht="14.25" customHeight="1">
      <c r="B803" s="22"/>
      <c r="C803" s="22"/>
    </row>
    <row r="804" ht="14.25" customHeight="1">
      <c r="B804" s="22"/>
      <c r="C804" s="22"/>
    </row>
    <row r="805" ht="14.25" customHeight="1">
      <c r="B805" s="22"/>
      <c r="C805" s="22"/>
    </row>
    <row r="806" ht="14.25" customHeight="1">
      <c r="B806" s="22"/>
      <c r="C806" s="22"/>
    </row>
    <row r="807" ht="14.25" customHeight="1">
      <c r="B807" s="22"/>
      <c r="C807" s="22"/>
    </row>
    <row r="808" ht="14.25" customHeight="1">
      <c r="B808" s="22"/>
      <c r="C808" s="22"/>
    </row>
    <row r="809" ht="14.25" customHeight="1">
      <c r="B809" s="22"/>
      <c r="C809" s="22"/>
    </row>
    <row r="810" ht="14.25" customHeight="1">
      <c r="B810" s="22"/>
      <c r="C810" s="22"/>
    </row>
    <row r="811" ht="14.25" customHeight="1">
      <c r="B811" s="22"/>
      <c r="C811" s="22"/>
    </row>
    <row r="812" ht="14.25" customHeight="1">
      <c r="B812" s="22"/>
      <c r="C812" s="22"/>
    </row>
    <row r="813" ht="14.25" customHeight="1">
      <c r="B813" s="22"/>
      <c r="C813" s="22"/>
    </row>
    <row r="814" ht="14.25" customHeight="1">
      <c r="B814" s="22"/>
      <c r="C814" s="22"/>
    </row>
    <row r="815" ht="14.25" customHeight="1">
      <c r="B815" s="22"/>
      <c r="C815" s="22"/>
    </row>
    <row r="816" ht="14.25" customHeight="1">
      <c r="B816" s="22"/>
      <c r="C816" s="22"/>
    </row>
    <row r="817" ht="14.25" customHeight="1">
      <c r="B817" s="22"/>
      <c r="C817" s="22"/>
    </row>
    <row r="818" ht="14.25" customHeight="1">
      <c r="B818" s="22"/>
      <c r="C818" s="22"/>
    </row>
    <row r="819" ht="14.25" customHeight="1">
      <c r="B819" s="22"/>
      <c r="C819" s="22"/>
    </row>
    <row r="820" ht="14.25" customHeight="1">
      <c r="B820" s="22"/>
      <c r="C820" s="22"/>
    </row>
    <row r="821" ht="14.25" customHeight="1">
      <c r="B821" s="22"/>
      <c r="C821" s="22"/>
    </row>
    <row r="822" ht="14.25" customHeight="1">
      <c r="B822" s="22"/>
      <c r="C822" s="22"/>
    </row>
    <row r="823" ht="14.25" customHeight="1">
      <c r="B823" s="22"/>
      <c r="C823" s="22"/>
    </row>
    <row r="824" ht="14.25" customHeight="1">
      <c r="B824" s="22"/>
      <c r="C824" s="22"/>
    </row>
    <row r="825" ht="14.25" customHeight="1">
      <c r="B825" s="22"/>
      <c r="C825" s="22"/>
    </row>
    <row r="826" ht="14.25" customHeight="1">
      <c r="B826" s="22"/>
      <c r="C826" s="22"/>
    </row>
    <row r="827" ht="14.25" customHeight="1">
      <c r="B827" s="22"/>
      <c r="C827" s="22"/>
    </row>
    <row r="828" ht="14.25" customHeight="1">
      <c r="B828" s="22"/>
      <c r="C828" s="22"/>
    </row>
    <row r="829" ht="14.25" customHeight="1">
      <c r="B829" s="22"/>
      <c r="C829" s="22"/>
    </row>
    <row r="830" ht="14.25" customHeight="1">
      <c r="B830" s="22"/>
      <c r="C830" s="22"/>
    </row>
    <row r="831" ht="14.25" customHeight="1">
      <c r="B831" s="22"/>
      <c r="C831" s="22"/>
    </row>
    <row r="832" ht="14.25" customHeight="1">
      <c r="B832" s="22"/>
      <c r="C832" s="22"/>
    </row>
    <row r="833" ht="14.25" customHeight="1">
      <c r="B833" s="22"/>
      <c r="C833" s="22"/>
    </row>
    <row r="834" ht="14.25" customHeight="1">
      <c r="B834" s="22"/>
      <c r="C834" s="22"/>
    </row>
    <row r="835" ht="14.25" customHeight="1">
      <c r="B835" s="22"/>
      <c r="C835" s="22"/>
    </row>
    <row r="836" ht="14.25" customHeight="1">
      <c r="B836" s="22"/>
      <c r="C836" s="22"/>
    </row>
    <row r="837" ht="14.25" customHeight="1">
      <c r="B837" s="22"/>
      <c r="C837" s="22"/>
    </row>
    <row r="838" ht="14.25" customHeight="1">
      <c r="B838" s="22"/>
      <c r="C838" s="22"/>
    </row>
    <row r="839" ht="14.25" customHeight="1">
      <c r="B839" s="22"/>
      <c r="C839" s="22"/>
    </row>
    <row r="840" ht="14.25" customHeight="1">
      <c r="B840" s="22"/>
      <c r="C840" s="22"/>
    </row>
    <row r="841" ht="14.25" customHeight="1">
      <c r="B841" s="22"/>
      <c r="C841" s="22"/>
    </row>
    <row r="842" ht="14.25" customHeight="1">
      <c r="B842" s="22"/>
      <c r="C842" s="22"/>
    </row>
    <row r="843" ht="14.25" customHeight="1">
      <c r="B843" s="22"/>
      <c r="C843" s="22"/>
    </row>
    <row r="844" ht="14.25" customHeight="1">
      <c r="B844" s="22"/>
      <c r="C844" s="22"/>
    </row>
    <row r="845" ht="14.25" customHeight="1">
      <c r="B845" s="22"/>
      <c r="C845" s="22"/>
    </row>
    <row r="846" ht="14.25" customHeight="1">
      <c r="B846" s="22"/>
      <c r="C846" s="22"/>
    </row>
    <row r="847" ht="14.25" customHeight="1">
      <c r="B847" s="22"/>
      <c r="C847" s="22"/>
    </row>
    <row r="848" ht="14.25" customHeight="1">
      <c r="B848" s="22"/>
      <c r="C848" s="22"/>
    </row>
    <row r="849" ht="14.25" customHeight="1">
      <c r="B849" s="22"/>
      <c r="C849" s="22"/>
    </row>
    <row r="850" ht="14.25" customHeight="1">
      <c r="B850" s="22"/>
      <c r="C850" s="22"/>
    </row>
    <row r="851" ht="14.25" customHeight="1">
      <c r="B851" s="22"/>
      <c r="C851" s="22"/>
    </row>
    <row r="852" ht="14.25" customHeight="1">
      <c r="B852" s="22"/>
      <c r="C852" s="22"/>
    </row>
    <row r="853" ht="14.25" customHeight="1">
      <c r="B853" s="22"/>
      <c r="C853" s="22"/>
    </row>
    <row r="854" ht="14.25" customHeight="1">
      <c r="B854" s="22"/>
      <c r="C854" s="22"/>
    </row>
    <row r="855" ht="14.25" customHeight="1">
      <c r="B855" s="22"/>
      <c r="C855" s="22"/>
    </row>
    <row r="856" ht="14.25" customHeight="1">
      <c r="B856" s="22"/>
      <c r="C856" s="22"/>
    </row>
    <row r="857" ht="14.25" customHeight="1">
      <c r="B857" s="22"/>
      <c r="C857" s="22"/>
    </row>
    <row r="858" ht="14.25" customHeight="1">
      <c r="B858" s="22"/>
      <c r="C858" s="22"/>
    </row>
    <row r="859" ht="14.25" customHeight="1">
      <c r="B859" s="22"/>
      <c r="C859" s="22"/>
    </row>
    <row r="860" ht="14.25" customHeight="1">
      <c r="B860" s="22"/>
      <c r="C860" s="22"/>
    </row>
    <row r="861" ht="14.25" customHeight="1">
      <c r="B861" s="22"/>
      <c r="C861" s="22"/>
    </row>
    <row r="862" ht="14.25" customHeight="1">
      <c r="B862" s="22"/>
      <c r="C862" s="22"/>
    </row>
    <row r="863" ht="14.25" customHeight="1">
      <c r="B863" s="22"/>
      <c r="C863" s="22"/>
    </row>
    <row r="864" ht="14.25" customHeight="1">
      <c r="B864" s="22"/>
      <c r="C864" s="22"/>
    </row>
    <row r="865" ht="14.25" customHeight="1">
      <c r="B865" s="22"/>
      <c r="C865" s="22"/>
    </row>
    <row r="866" ht="14.25" customHeight="1">
      <c r="B866" s="22"/>
      <c r="C866" s="22"/>
    </row>
    <row r="867" ht="14.25" customHeight="1">
      <c r="B867" s="22"/>
      <c r="C867" s="22"/>
    </row>
    <row r="868" ht="14.25" customHeight="1">
      <c r="B868" s="22"/>
      <c r="C868" s="22"/>
    </row>
    <row r="869" ht="14.25" customHeight="1">
      <c r="B869" s="22"/>
      <c r="C869" s="22"/>
    </row>
    <row r="870" ht="14.25" customHeight="1">
      <c r="B870" s="22"/>
      <c r="C870" s="22"/>
    </row>
    <row r="871" ht="14.25" customHeight="1">
      <c r="B871" s="22"/>
      <c r="C871" s="22"/>
    </row>
    <row r="872" ht="14.25" customHeight="1">
      <c r="B872" s="22"/>
      <c r="C872" s="22"/>
    </row>
    <row r="873" ht="14.25" customHeight="1">
      <c r="B873" s="22"/>
      <c r="C873" s="22"/>
    </row>
    <row r="874" ht="14.25" customHeight="1">
      <c r="B874" s="22"/>
      <c r="C874" s="22"/>
    </row>
    <row r="875" ht="14.25" customHeight="1">
      <c r="B875" s="22"/>
      <c r="C875" s="22"/>
    </row>
    <row r="876" ht="14.25" customHeight="1">
      <c r="B876" s="22"/>
      <c r="C876" s="22"/>
    </row>
    <row r="877" ht="14.25" customHeight="1">
      <c r="B877" s="22"/>
      <c r="C877" s="22"/>
    </row>
    <row r="878" ht="14.25" customHeight="1">
      <c r="B878" s="22"/>
      <c r="C878" s="22"/>
    </row>
    <row r="879" ht="14.25" customHeight="1">
      <c r="B879" s="22"/>
      <c r="C879" s="22"/>
    </row>
    <row r="880" ht="14.25" customHeight="1">
      <c r="B880" s="22"/>
      <c r="C880" s="22"/>
    </row>
    <row r="881" ht="14.25" customHeight="1">
      <c r="B881" s="22"/>
      <c r="C881" s="22"/>
    </row>
    <row r="882" ht="14.25" customHeight="1">
      <c r="B882" s="22"/>
      <c r="C882" s="22"/>
    </row>
    <row r="883" ht="14.25" customHeight="1">
      <c r="B883" s="22"/>
      <c r="C883" s="22"/>
    </row>
    <row r="884" ht="14.25" customHeight="1">
      <c r="B884" s="22"/>
      <c r="C884" s="22"/>
    </row>
    <row r="885" ht="14.25" customHeight="1">
      <c r="B885" s="22"/>
      <c r="C885" s="22"/>
    </row>
    <row r="886" ht="14.25" customHeight="1">
      <c r="B886" s="22"/>
      <c r="C886" s="22"/>
    </row>
    <row r="887" ht="14.25" customHeight="1">
      <c r="B887" s="22"/>
      <c r="C887" s="22"/>
    </row>
    <row r="888" ht="14.25" customHeight="1">
      <c r="B888" s="22"/>
      <c r="C888" s="22"/>
    </row>
    <row r="889" ht="14.25" customHeight="1">
      <c r="B889" s="22"/>
      <c r="C889" s="22"/>
    </row>
    <row r="890" ht="14.25" customHeight="1">
      <c r="B890" s="22"/>
      <c r="C890" s="22"/>
    </row>
    <row r="891" ht="14.25" customHeight="1">
      <c r="B891" s="22"/>
      <c r="C891" s="22"/>
    </row>
    <row r="892" ht="14.25" customHeight="1">
      <c r="B892" s="22"/>
      <c r="C892" s="22"/>
    </row>
    <row r="893" ht="14.25" customHeight="1">
      <c r="B893" s="22"/>
      <c r="C893" s="22"/>
    </row>
    <row r="894" ht="14.25" customHeight="1">
      <c r="B894" s="22"/>
      <c r="C894" s="22"/>
    </row>
    <row r="895" ht="14.25" customHeight="1">
      <c r="B895" s="22"/>
      <c r="C895" s="22"/>
    </row>
    <row r="896" ht="14.25" customHeight="1">
      <c r="B896" s="22"/>
      <c r="C896" s="22"/>
    </row>
    <row r="897" ht="14.25" customHeight="1">
      <c r="B897" s="22"/>
      <c r="C897" s="22"/>
    </row>
    <row r="898" ht="14.25" customHeight="1">
      <c r="B898" s="22"/>
      <c r="C898" s="22"/>
    </row>
    <row r="899" ht="14.25" customHeight="1">
      <c r="B899" s="22"/>
      <c r="C899" s="22"/>
    </row>
    <row r="900" ht="14.25" customHeight="1">
      <c r="B900" s="22"/>
      <c r="C900" s="22"/>
    </row>
    <row r="901" ht="14.25" customHeight="1">
      <c r="B901" s="22"/>
      <c r="C901" s="22"/>
    </row>
    <row r="902" ht="14.25" customHeight="1">
      <c r="B902" s="22"/>
      <c r="C902" s="22"/>
    </row>
    <row r="903" ht="14.25" customHeight="1">
      <c r="B903" s="22"/>
      <c r="C903" s="22"/>
    </row>
    <row r="904" ht="14.25" customHeight="1">
      <c r="B904" s="22"/>
      <c r="C904" s="22"/>
    </row>
    <row r="905" ht="14.25" customHeight="1">
      <c r="B905" s="22"/>
      <c r="C905" s="22"/>
    </row>
    <row r="906" ht="14.25" customHeight="1">
      <c r="B906" s="22"/>
      <c r="C906" s="22"/>
    </row>
    <row r="907" ht="14.25" customHeight="1">
      <c r="B907" s="22"/>
      <c r="C907" s="22"/>
    </row>
    <row r="908" ht="14.25" customHeight="1">
      <c r="B908" s="22"/>
      <c r="C908" s="22"/>
    </row>
    <row r="909" ht="14.25" customHeight="1">
      <c r="B909" s="22"/>
      <c r="C909" s="22"/>
    </row>
    <row r="910" ht="14.25" customHeight="1">
      <c r="B910" s="22"/>
      <c r="C910" s="22"/>
    </row>
    <row r="911" ht="14.25" customHeight="1">
      <c r="B911" s="22"/>
      <c r="C911" s="22"/>
    </row>
    <row r="912" ht="14.25" customHeight="1">
      <c r="B912" s="22"/>
      <c r="C912" s="22"/>
    </row>
    <row r="913" ht="14.25" customHeight="1">
      <c r="B913" s="22"/>
      <c r="C913" s="22"/>
    </row>
    <row r="914" ht="14.25" customHeight="1">
      <c r="B914" s="22"/>
      <c r="C914" s="22"/>
    </row>
    <row r="915" ht="14.25" customHeight="1">
      <c r="B915" s="22"/>
      <c r="C915" s="22"/>
    </row>
    <row r="916" ht="14.25" customHeight="1">
      <c r="B916" s="22"/>
      <c r="C916" s="22"/>
    </row>
    <row r="917" ht="14.25" customHeight="1">
      <c r="B917" s="22"/>
      <c r="C917" s="22"/>
    </row>
    <row r="918" ht="14.25" customHeight="1">
      <c r="B918" s="22"/>
      <c r="C918" s="22"/>
    </row>
    <row r="919" ht="14.25" customHeight="1">
      <c r="B919" s="22"/>
      <c r="C919" s="22"/>
    </row>
    <row r="920" ht="14.25" customHeight="1">
      <c r="B920" s="22"/>
      <c r="C920" s="22"/>
    </row>
    <row r="921" ht="14.25" customHeight="1">
      <c r="B921" s="22"/>
      <c r="C921" s="22"/>
    </row>
    <row r="922" ht="14.25" customHeight="1">
      <c r="B922" s="22"/>
      <c r="C922" s="22"/>
    </row>
    <row r="923" ht="14.25" customHeight="1">
      <c r="B923" s="22"/>
      <c r="C923" s="22"/>
    </row>
    <row r="924" ht="14.25" customHeight="1">
      <c r="B924" s="22"/>
      <c r="C924" s="22"/>
    </row>
    <row r="925" ht="14.25" customHeight="1">
      <c r="B925" s="22"/>
      <c r="C925" s="22"/>
    </row>
    <row r="926" ht="14.25" customHeight="1">
      <c r="B926" s="22"/>
      <c r="C926" s="22"/>
    </row>
    <row r="927" ht="14.25" customHeight="1">
      <c r="B927" s="22"/>
      <c r="C927" s="22"/>
    </row>
    <row r="928" ht="14.25" customHeight="1">
      <c r="B928" s="22"/>
      <c r="C928" s="22"/>
    </row>
    <row r="929" ht="14.25" customHeight="1">
      <c r="B929" s="22"/>
      <c r="C929" s="22"/>
    </row>
    <row r="930" ht="14.25" customHeight="1">
      <c r="B930" s="22"/>
      <c r="C930" s="22"/>
    </row>
    <row r="931" ht="14.25" customHeight="1">
      <c r="B931" s="22"/>
      <c r="C931" s="22"/>
    </row>
    <row r="932" ht="14.25" customHeight="1">
      <c r="B932" s="22"/>
      <c r="C932" s="22"/>
    </row>
    <row r="933" ht="14.25" customHeight="1">
      <c r="B933" s="22"/>
      <c r="C933" s="22"/>
    </row>
    <row r="934" ht="14.25" customHeight="1">
      <c r="B934" s="22"/>
      <c r="C934" s="22"/>
    </row>
    <row r="935" ht="14.25" customHeight="1">
      <c r="B935" s="22"/>
      <c r="C935" s="22"/>
    </row>
    <row r="936" ht="14.25" customHeight="1">
      <c r="B936" s="22"/>
      <c r="C936" s="22"/>
    </row>
    <row r="937" ht="14.25" customHeight="1">
      <c r="B937" s="22"/>
      <c r="C937" s="22"/>
    </row>
    <row r="938" ht="14.25" customHeight="1">
      <c r="B938" s="22"/>
      <c r="C938" s="22"/>
    </row>
    <row r="939" ht="14.25" customHeight="1">
      <c r="B939" s="22"/>
      <c r="C939" s="22"/>
    </row>
    <row r="940" ht="14.25" customHeight="1">
      <c r="B940" s="22"/>
      <c r="C940" s="22"/>
    </row>
    <row r="941" ht="14.25" customHeight="1">
      <c r="B941" s="22"/>
      <c r="C941" s="22"/>
    </row>
    <row r="942" ht="14.25" customHeight="1">
      <c r="B942" s="22"/>
      <c r="C942" s="22"/>
    </row>
    <row r="943" ht="14.25" customHeight="1">
      <c r="B943" s="22"/>
      <c r="C943" s="22"/>
    </row>
    <row r="944" ht="14.25" customHeight="1">
      <c r="B944" s="22"/>
      <c r="C944" s="22"/>
    </row>
    <row r="945" ht="14.25" customHeight="1">
      <c r="B945" s="22"/>
      <c r="C945" s="22"/>
    </row>
    <row r="946" ht="14.25" customHeight="1">
      <c r="B946" s="22"/>
      <c r="C946" s="22"/>
    </row>
    <row r="947" ht="14.25" customHeight="1">
      <c r="B947" s="22"/>
      <c r="C947" s="22"/>
    </row>
    <row r="948" ht="14.25" customHeight="1">
      <c r="B948" s="22"/>
      <c r="C948" s="22"/>
    </row>
    <row r="949" ht="14.25" customHeight="1">
      <c r="B949" s="22"/>
      <c r="C949" s="22"/>
    </row>
    <row r="950" ht="14.25" customHeight="1">
      <c r="B950" s="22"/>
      <c r="C950" s="22"/>
    </row>
    <row r="951" ht="14.25" customHeight="1">
      <c r="B951" s="22"/>
      <c r="C951" s="22"/>
    </row>
    <row r="952" ht="14.25" customHeight="1">
      <c r="B952" s="22"/>
      <c r="C952" s="22"/>
    </row>
    <row r="953" ht="14.25" customHeight="1">
      <c r="B953" s="22"/>
      <c r="C953" s="22"/>
    </row>
    <row r="954" ht="14.25" customHeight="1">
      <c r="B954" s="22"/>
      <c r="C954" s="22"/>
    </row>
    <row r="955" ht="14.25" customHeight="1">
      <c r="B955" s="22"/>
      <c r="C955" s="22"/>
    </row>
    <row r="956" ht="14.25" customHeight="1">
      <c r="B956" s="22"/>
      <c r="C956" s="22"/>
    </row>
    <row r="957" ht="14.25" customHeight="1">
      <c r="B957" s="22"/>
      <c r="C957" s="22"/>
    </row>
    <row r="958" ht="14.25" customHeight="1">
      <c r="B958" s="22"/>
      <c r="C958" s="22"/>
    </row>
    <row r="959" ht="14.25" customHeight="1">
      <c r="B959" s="22"/>
      <c r="C959" s="22"/>
    </row>
    <row r="960" ht="14.25" customHeight="1">
      <c r="B960" s="22"/>
      <c r="C960" s="22"/>
    </row>
    <row r="961" ht="14.25" customHeight="1">
      <c r="B961" s="22"/>
      <c r="C961" s="22"/>
    </row>
    <row r="962" ht="14.25" customHeight="1">
      <c r="B962" s="22"/>
      <c r="C962" s="22"/>
    </row>
    <row r="963" ht="14.25" customHeight="1">
      <c r="B963" s="22"/>
      <c r="C963" s="22"/>
    </row>
    <row r="964" ht="14.25" customHeight="1">
      <c r="B964" s="22"/>
      <c r="C964" s="22"/>
    </row>
    <row r="965" ht="14.25" customHeight="1">
      <c r="B965" s="22"/>
      <c r="C965" s="22"/>
    </row>
    <row r="966" ht="14.25" customHeight="1">
      <c r="B966" s="22"/>
      <c r="C966" s="22"/>
    </row>
    <row r="967" ht="14.25" customHeight="1">
      <c r="B967" s="22"/>
      <c r="C967" s="22"/>
    </row>
    <row r="968" ht="14.25" customHeight="1">
      <c r="B968" s="22"/>
      <c r="C968" s="22"/>
    </row>
    <row r="969" ht="14.25" customHeight="1">
      <c r="B969" s="22"/>
      <c r="C969" s="22"/>
    </row>
    <row r="970" ht="14.25" customHeight="1">
      <c r="B970" s="22"/>
      <c r="C970" s="22"/>
    </row>
    <row r="971" ht="14.25" customHeight="1">
      <c r="B971" s="22"/>
      <c r="C971" s="22"/>
    </row>
    <row r="972" ht="14.25" customHeight="1">
      <c r="B972" s="22"/>
      <c r="C972" s="22"/>
    </row>
    <row r="973" ht="14.25" customHeight="1">
      <c r="B973" s="22"/>
      <c r="C973" s="22"/>
    </row>
    <row r="974" ht="14.25" customHeight="1">
      <c r="B974" s="22"/>
      <c r="C974" s="22"/>
    </row>
    <row r="975" ht="14.25" customHeight="1">
      <c r="B975" s="22"/>
      <c r="C975" s="22"/>
    </row>
    <row r="976" ht="14.25" customHeight="1">
      <c r="B976" s="22"/>
      <c r="C976" s="22"/>
    </row>
    <row r="977" ht="14.25" customHeight="1">
      <c r="B977" s="22"/>
      <c r="C977" s="22"/>
    </row>
    <row r="978" ht="14.25" customHeight="1">
      <c r="B978" s="22"/>
      <c r="C978" s="22"/>
    </row>
    <row r="979" ht="14.25" customHeight="1">
      <c r="B979" s="22"/>
      <c r="C979" s="22"/>
    </row>
    <row r="980" ht="14.25" customHeight="1">
      <c r="B980" s="22"/>
      <c r="C980" s="22"/>
    </row>
    <row r="981" ht="14.25" customHeight="1">
      <c r="B981" s="22"/>
      <c r="C981" s="22"/>
    </row>
    <row r="982" ht="14.25" customHeight="1">
      <c r="B982" s="22"/>
      <c r="C982" s="22"/>
    </row>
    <row r="983" ht="14.25" customHeight="1">
      <c r="B983" s="22"/>
      <c r="C983" s="22"/>
    </row>
    <row r="984" ht="14.25" customHeight="1">
      <c r="B984" s="22"/>
      <c r="C984" s="22"/>
    </row>
    <row r="985" ht="14.25" customHeight="1">
      <c r="B985" s="22"/>
      <c r="C985" s="22"/>
    </row>
    <row r="986" ht="14.25" customHeight="1">
      <c r="B986" s="22"/>
      <c r="C986" s="22"/>
    </row>
    <row r="987" ht="14.25" customHeight="1">
      <c r="B987" s="22"/>
      <c r="C987" s="22"/>
    </row>
    <row r="988" ht="14.25" customHeight="1">
      <c r="B988" s="22"/>
      <c r="C988" s="22"/>
    </row>
    <row r="989" ht="14.25" customHeight="1">
      <c r="B989" s="22"/>
      <c r="C989" s="22"/>
    </row>
    <row r="990" ht="14.25" customHeight="1">
      <c r="B990" s="22"/>
      <c r="C990" s="22"/>
    </row>
    <row r="991" ht="14.25" customHeight="1">
      <c r="B991" s="22"/>
      <c r="C991" s="22"/>
    </row>
    <row r="992" ht="14.25" customHeight="1">
      <c r="B992" s="22"/>
      <c r="C992" s="22"/>
    </row>
    <row r="993" ht="14.25" customHeight="1">
      <c r="B993" s="22"/>
      <c r="C993" s="22"/>
    </row>
    <row r="994" ht="14.25" customHeight="1">
      <c r="B994" s="22"/>
      <c r="C994" s="22"/>
    </row>
    <row r="995" ht="14.25" customHeight="1">
      <c r="B995" s="22"/>
      <c r="C995" s="22"/>
    </row>
    <row r="996" ht="14.25" customHeight="1">
      <c r="B996" s="22"/>
      <c r="C996" s="22"/>
    </row>
    <row r="997" ht="14.25" customHeight="1">
      <c r="B997" s="22"/>
      <c r="C997" s="22"/>
    </row>
    <row r="998" ht="14.25" customHeight="1">
      <c r="B998" s="22"/>
      <c r="C998" s="22"/>
    </row>
    <row r="999" ht="14.25" customHeight="1">
      <c r="B999" s="22"/>
      <c r="C999" s="22"/>
    </row>
    <row r="1000" ht="14.25" customHeight="1">
      <c r="B1000" s="22"/>
      <c r="C1000" s="22"/>
    </row>
  </sheetData>
  <mergeCells count="7">
    <mergeCell ref="A1:A2"/>
    <mergeCell ref="B1:C1"/>
    <mergeCell ref="B2:C2"/>
    <mergeCell ref="A3:C3"/>
    <mergeCell ref="B54:B55"/>
    <mergeCell ref="A73:C76"/>
    <mergeCell ref="A77:C78"/>
  </mergeCells>
  <printOptions/>
  <pageMargins bottom="0.75" footer="0.0" header="0.0" left="0.7" right="0.7" top="0.75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5.86"/>
    <col customWidth="1" min="2" max="2" width="11.0"/>
    <col customWidth="1" min="3" max="4" width="9.14"/>
    <col customWidth="1" min="5" max="66" width="8.71"/>
  </cols>
  <sheetData>
    <row r="1" ht="14.25" customHeight="1">
      <c r="A1" s="1"/>
      <c r="B1" s="2" t="s">
        <v>0</v>
      </c>
      <c r="D1" s="92" t="s">
        <v>563</v>
      </c>
      <c r="E1" s="93" t="s">
        <v>564</v>
      </c>
      <c r="G1" s="93" t="s">
        <v>565</v>
      </c>
      <c r="L1" s="93" t="s">
        <v>566</v>
      </c>
      <c r="T1" s="93" t="s">
        <v>567</v>
      </c>
      <c r="Z1" s="93" t="s">
        <v>568</v>
      </c>
      <c r="AE1" s="93" t="s">
        <v>569</v>
      </c>
      <c r="AI1" s="93" t="s">
        <v>570</v>
      </c>
      <c r="AO1" s="93" t="s">
        <v>571</v>
      </c>
      <c r="AS1" s="93" t="s">
        <v>572</v>
      </c>
      <c r="AV1" s="93" t="s">
        <v>573</v>
      </c>
      <c r="AX1" s="93" t="s">
        <v>574</v>
      </c>
      <c r="AY1" s="93" t="s">
        <v>575</v>
      </c>
      <c r="AZ1" s="93" t="s">
        <v>576</v>
      </c>
      <c r="BA1" s="93" t="s">
        <v>577</v>
      </c>
      <c r="BE1" s="93" t="s">
        <v>578</v>
      </c>
      <c r="BI1" s="93" t="s">
        <v>579</v>
      </c>
      <c r="BJ1" s="93" t="s">
        <v>580</v>
      </c>
      <c r="BK1" s="93" t="s">
        <v>581</v>
      </c>
      <c r="BL1" s="93" t="s">
        <v>582</v>
      </c>
      <c r="BM1" s="93" t="s">
        <v>583</v>
      </c>
    </row>
    <row r="2" ht="14.25" customHeight="1">
      <c r="A2" s="4"/>
      <c r="B2" s="5" t="s">
        <v>44</v>
      </c>
      <c r="C2" s="4"/>
      <c r="D2" s="94" t="s">
        <v>584</v>
      </c>
      <c r="E2" s="77" t="s">
        <v>585</v>
      </c>
      <c r="F2" s="77" t="s">
        <v>586</v>
      </c>
      <c r="G2" s="77" t="s">
        <v>587</v>
      </c>
      <c r="H2" s="77" t="s">
        <v>588</v>
      </c>
      <c r="I2" s="77" t="s">
        <v>554</v>
      </c>
      <c r="J2" s="77" t="s">
        <v>589</v>
      </c>
      <c r="K2" s="77" t="s">
        <v>590</v>
      </c>
      <c r="L2" s="77" t="s">
        <v>591</v>
      </c>
      <c r="M2" s="77" t="s">
        <v>592</v>
      </c>
      <c r="N2" s="77" t="s">
        <v>593</v>
      </c>
      <c r="O2" s="77" t="s">
        <v>594</v>
      </c>
      <c r="P2" s="77" t="s">
        <v>595</v>
      </c>
      <c r="Q2" s="77" t="s">
        <v>596</v>
      </c>
      <c r="R2" s="77" t="s">
        <v>597</v>
      </c>
      <c r="S2" s="77" t="s">
        <v>598</v>
      </c>
      <c r="T2" s="77" t="s">
        <v>599</v>
      </c>
      <c r="U2" s="77" t="s">
        <v>600</v>
      </c>
      <c r="V2" s="77" t="s">
        <v>601</v>
      </c>
      <c r="W2" s="77" t="s">
        <v>602</v>
      </c>
      <c r="X2" s="77" t="s">
        <v>603</v>
      </c>
      <c r="Y2" s="77" t="s">
        <v>604</v>
      </c>
      <c r="Z2" s="77" t="s">
        <v>45</v>
      </c>
      <c r="AA2" s="77" t="s">
        <v>605</v>
      </c>
      <c r="AB2" s="77" t="s">
        <v>606</v>
      </c>
      <c r="AC2" s="77" t="s">
        <v>607</v>
      </c>
      <c r="AD2" s="77" t="s">
        <v>608</v>
      </c>
      <c r="AE2" s="77" t="s">
        <v>609</v>
      </c>
      <c r="AF2" s="77" t="s">
        <v>610</v>
      </c>
      <c r="AG2" s="77" t="s">
        <v>611</v>
      </c>
      <c r="AH2" s="77" t="s">
        <v>612</v>
      </c>
      <c r="AI2" s="77" t="s">
        <v>613</v>
      </c>
      <c r="AJ2" s="77" t="s">
        <v>614</v>
      </c>
      <c r="AK2" s="77" t="s">
        <v>615</v>
      </c>
      <c r="AL2" s="77" t="s">
        <v>616</v>
      </c>
      <c r="AM2" s="77" t="s">
        <v>617</v>
      </c>
      <c r="AN2" s="77" t="s">
        <v>618</v>
      </c>
      <c r="AO2" s="77" t="s">
        <v>619</v>
      </c>
      <c r="AP2" s="77" t="s">
        <v>620</v>
      </c>
      <c r="AQ2" s="77" t="s">
        <v>621</v>
      </c>
      <c r="AR2" s="77" t="s">
        <v>622</v>
      </c>
      <c r="AS2" s="77" t="s">
        <v>623</v>
      </c>
      <c r="AT2" s="77" t="s">
        <v>624</v>
      </c>
      <c r="AU2" s="77" t="s">
        <v>625</v>
      </c>
      <c r="AV2" s="77" t="s">
        <v>623</v>
      </c>
      <c r="AW2" s="77" t="s">
        <v>626</v>
      </c>
      <c r="AX2" s="77" t="s">
        <v>627</v>
      </c>
      <c r="AY2" s="77" t="s">
        <v>628</v>
      </c>
      <c r="AZ2" s="77" t="s">
        <v>628</v>
      </c>
      <c r="BA2" s="77" t="s">
        <v>629</v>
      </c>
      <c r="BB2" s="77" t="s">
        <v>630</v>
      </c>
      <c r="BC2" s="77" t="s">
        <v>631</v>
      </c>
      <c r="BD2" s="77" t="s">
        <v>632</v>
      </c>
      <c r="BE2" s="77" t="s">
        <v>633</v>
      </c>
      <c r="BF2" s="77" t="s">
        <v>634</v>
      </c>
      <c r="BG2" s="77" t="s">
        <v>635</v>
      </c>
      <c r="BH2" s="77" t="s">
        <v>636</v>
      </c>
      <c r="BI2" s="77" t="s">
        <v>637</v>
      </c>
      <c r="BJ2" s="77" t="s">
        <v>638</v>
      </c>
      <c r="BK2" s="77" t="s">
        <v>639</v>
      </c>
      <c r="BL2" s="77" t="s">
        <v>640</v>
      </c>
      <c r="BM2" s="77" t="s">
        <v>452</v>
      </c>
      <c r="BN2" s="77" t="s">
        <v>641</v>
      </c>
    </row>
    <row r="3" ht="14.25" customHeight="1">
      <c r="A3" s="95" t="s">
        <v>88</v>
      </c>
      <c r="B3" s="16"/>
      <c r="C3" s="17"/>
      <c r="D3" s="96"/>
      <c r="E3" s="97"/>
      <c r="F3" s="97"/>
      <c r="G3" s="97"/>
      <c r="H3" s="97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  <c r="AA3" s="97"/>
      <c r="AB3" s="97"/>
      <c r="AC3" s="97"/>
      <c r="AD3" s="97"/>
      <c r="AE3" s="97"/>
      <c r="AF3" s="97"/>
      <c r="AG3" s="97"/>
      <c r="AH3" s="97"/>
      <c r="AI3" s="97"/>
      <c r="AJ3" s="97"/>
      <c r="AK3" s="97"/>
      <c r="AL3" s="97"/>
      <c r="AM3" s="97"/>
      <c r="AN3" s="97"/>
      <c r="AO3" s="97"/>
      <c r="AP3" s="97"/>
      <c r="AQ3" s="97"/>
      <c r="AR3" s="97"/>
      <c r="AS3" s="97"/>
      <c r="AT3" s="97"/>
      <c r="AU3" s="97"/>
      <c r="AV3" s="97"/>
      <c r="AW3" s="97"/>
      <c r="AX3" s="97"/>
      <c r="AY3" s="97"/>
      <c r="AZ3" s="97"/>
      <c r="BA3" s="97"/>
      <c r="BB3" s="97"/>
      <c r="BC3" s="97"/>
      <c r="BD3" s="97"/>
      <c r="BE3" s="97"/>
      <c r="BF3" s="97"/>
      <c r="BG3" s="97"/>
      <c r="BH3" s="97"/>
      <c r="BI3" s="97"/>
      <c r="BJ3" s="97"/>
      <c r="BK3" s="97"/>
      <c r="BL3" s="97"/>
      <c r="BM3" s="97"/>
      <c r="BN3" s="97"/>
    </row>
    <row r="4" ht="14.25" customHeight="1">
      <c r="A4" s="98" t="s">
        <v>89</v>
      </c>
      <c r="B4" s="99" t="s">
        <v>90</v>
      </c>
      <c r="C4" s="99" t="s">
        <v>91</v>
      </c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  <c r="AK4" s="100"/>
      <c r="AL4" s="100"/>
      <c r="AM4" s="100"/>
      <c r="AN4" s="100"/>
      <c r="AO4" s="100"/>
      <c r="AP4" s="100"/>
      <c r="AQ4" s="100"/>
      <c r="AR4" s="100"/>
      <c r="AS4" s="100"/>
      <c r="AT4" s="100"/>
      <c r="AU4" s="100"/>
      <c r="AV4" s="100"/>
      <c r="AW4" s="100"/>
      <c r="AX4" s="100"/>
      <c r="AY4" s="100"/>
      <c r="AZ4" s="100"/>
      <c r="BA4" s="100"/>
      <c r="BB4" s="100"/>
      <c r="BC4" s="100"/>
      <c r="BD4" s="100"/>
      <c r="BE4" s="100"/>
      <c r="BF4" s="100"/>
      <c r="BG4" s="100"/>
      <c r="BH4" s="100"/>
      <c r="BI4" s="100"/>
      <c r="BJ4" s="100"/>
      <c r="BK4" s="100"/>
      <c r="BL4" s="100"/>
      <c r="BM4" s="100"/>
      <c r="BN4" s="100"/>
    </row>
    <row r="5" ht="14.25" customHeight="1">
      <c r="A5" s="21" t="s">
        <v>92</v>
      </c>
      <c r="B5" s="22" t="s">
        <v>93</v>
      </c>
      <c r="C5" s="22"/>
      <c r="D5" s="21">
        <v>17.1</v>
      </c>
      <c r="E5" s="23">
        <v>87.5</v>
      </c>
      <c r="F5" s="23">
        <v>80.7</v>
      </c>
      <c r="G5" s="23">
        <v>88.13</v>
      </c>
      <c r="H5" s="23">
        <v>90.84</v>
      </c>
      <c r="I5" s="23">
        <v>2.47</v>
      </c>
      <c r="J5" s="23">
        <v>74.04</v>
      </c>
      <c r="K5" s="23">
        <v>28.71</v>
      </c>
      <c r="L5" s="23">
        <v>17.94</v>
      </c>
      <c r="M5" s="23">
        <v>79.79</v>
      </c>
      <c r="N5" s="23">
        <v>73.75</v>
      </c>
      <c r="O5" s="23">
        <v>57.71</v>
      </c>
      <c r="P5" s="23">
        <v>93.12</v>
      </c>
      <c r="Q5" s="23">
        <v>93.42</v>
      </c>
      <c r="R5" s="23">
        <v>87.91</v>
      </c>
      <c r="S5" s="23">
        <v>87.9</v>
      </c>
      <c r="T5" s="23">
        <v>37.12</v>
      </c>
      <c r="U5" s="23">
        <v>54.44</v>
      </c>
      <c r="V5" s="23">
        <v>36.75</v>
      </c>
      <c r="W5" s="23">
        <v>50.01</v>
      </c>
      <c r="X5" s="23">
        <v>42.41</v>
      </c>
      <c r="Y5" s="23">
        <v>55.22</v>
      </c>
      <c r="Z5" s="23">
        <v>76.15</v>
      </c>
      <c r="AA5" s="23">
        <v>74.62</v>
      </c>
      <c r="AB5" s="23">
        <v>87.57</v>
      </c>
      <c r="AC5" s="23">
        <v>52.31</v>
      </c>
      <c r="AD5" s="23">
        <v>74.35</v>
      </c>
      <c r="AE5" s="23">
        <v>47.67</v>
      </c>
      <c r="AF5" s="23">
        <v>51.54</v>
      </c>
      <c r="AG5" s="23">
        <v>35.72</v>
      </c>
      <c r="AH5" s="23">
        <v>58.36</v>
      </c>
      <c r="AI5" s="23">
        <v>74.86</v>
      </c>
      <c r="AJ5" s="23">
        <v>65.67</v>
      </c>
      <c r="AK5" s="23">
        <v>66.88</v>
      </c>
      <c r="AL5" s="23">
        <v>58.81</v>
      </c>
      <c r="AM5" s="23">
        <v>76.4</v>
      </c>
      <c r="AN5" s="23">
        <v>57.87</v>
      </c>
      <c r="AO5" s="23">
        <v>61.4</v>
      </c>
      <c r="AP5" s="23">
        <v>60.03</v>
      </c>
      <c r="AQ5" s="23">
        <v>12.32</v>
      </c>
      <c r="AR5" s="23">
        <v>58.4</v>
      </c>
      <c r="AS5" s="23">
        <v>51.87</v>
      </c>
      <c r="AT5" s="23">
        <v>55.25</v>
      </c>
      <c r="AU5" s="23">
        <v>45.37</v>
      </c>
      <c r="AV5" s="23">
        <v>45.19</v>
      </c>
      <c r="AW5" s="23">
        <v>34.6</v>
      </c>
      <c r="AX5" s="23">
        <v>49.78</v>
      </c>
      <c r="AY5" s="23">
        <v>49.39</v>
      </c>
      <c r="AZ5" s="23">
        <v>61.7</v>
      </c>
      <c r="BA5" s="23">
        <v>59.09</v>
      </c>
      <c r="BB5" s="23">
        <v>68.98</v>
      </c>
      <c r="BC5" s="23">
        <v>62.28</v>
      </c>
      <c r="BD5" s="23">
        <v>64.02</v>
      </c>
      <c r="BE5" s="23">
        <v>64.75</v>
      </c>
      <c r="BF5" s="23">
        <v>59.61</v>
      </c>
      <c r="BG5" s="23">
        <v>67.0</v>
      </c>
      <c r="BH5" s="23">
        <v>70.77</v>
      </c>
      <c r="BI5" s="23">
        <v>50.3</v>
      </c>
      <c r="BJ5" s="23">
        <v>68.72</v>
      </c>
      <c r="BK5" s="23">
        <v>59.61</v>
      </c>
      <c r="BL5" s="23">
        <v>53.27</v>
      </c>
      <c r="BM5" s="23">
        <v>64.16</v>
      </c>
      <c r="BN5" s="23">
        <v>55.22</v>
      </c>
    </row>
    <row r="6" ht="14.25" customHeight="1">
      <c r="A6" s="21" t="s">
        <v>94</v>
      </c>
      <c r="B6" s="22" t="s">
        <v>95</v>
      </c>
      <c r="C6" s="22"/>
      <c r="D6" s="21">
        <v>304.0</v>
      </c>
      <c r="E6" s="23">
        <v>70.0</v>
      </c>
      <c r="F6" s="23">
        <v>108.0</v>
      </c>
      <c r="G6" s="23">
        <v>61.0</v>
      </c>
      <c r="H6" s="23">
        <v>34.0</v>
      </c>
      <c r="I6" s="23">
        <v>496.0</v>
      </c>
      <c r="J6" s="23">
        <v>135.0</v>
      </c>
      <c r="K6" s="23">
        <v>315.0</v>
      </c>
      <c r="L6" s="23">
        <v>717.0</v>
      </c>
      <c r="M6" s="23">
        <v>98.0</v>
      </c>
      <c r="N6" s="23">
        <v>195.0</v>
      </c>
      <c r="O6" s="23">
        <v>345.0</v>
      </c>
      <c r="P6" s="23">
        <v>27.0</v>
      </c>
      <c r="Q6" s="23">
        <v>24.0</v>
      </c>
      <c r="R6" s="23">
        <v>62.0</v>
      </c>
      <c r="S6" s="23">
        <v>61.0</v>
      </c>
      <c r="T6" s="23">
        <v>380.0</v>
      </c>
      <c r="U6" s="23">
        <v>342.0</v>
      </c>
      <c r="V6" s="23">
        <v>403.0</v>
      </c>
      <c r="W6" s="23">
        <v>300.0</v>
      </c>
      <c r="X6" s="23">
        <v>353.0</v>
      </c>
      <c r="Y6" s="23">
        <v>264.0</v>
      </c>
      <c r="Z6" s="23">
        <v>143.0</v>
      </c>
      <c r="AA6" s="23">
        <v>155.0</v>
      </c>
      <c r="AB6" s="23">
        <v>52.0</v>
      </c>
      <c r="AC6" s="23">
        <v>322.0</v>
      </c>
      <c r="AD6" s="23">
        <v>158.0</v>
      </c>
      <c r="AE6" s="23">
        <v>341.0</v>
      </c>
      <c r="AF6" s="23">
        <v>291.0</v>
      </c>
      <c r="AG6" s="23">
        <v>471.0</v>
      </c>
      <c r="AH6" s="23">
        <v>243.0</v>
      </c>
      <c r="AI6" s="23">
        <v>151.0</v>
      </c>
      <c r="AJ6" s="23">
        <v>165.0</v>
      </c>
      <c r="AK6" s="23">
        <v>158.0</v>
      </c>
      <c r="AL6" s="23">
        <v>191.0</v>
      </c>
      <c r="AM6" s="23">
        <v>120.0</v>
      </c>
      <c r="AN6" s="23">
        <v>284.0</v>
      </c>
      <c r="AO6" s="23">
        <v>204.0</v>
      </c>
      <c r="AP6" s="23">
        <v>235.0</v>
      </c>
      <c r="AQ6" s="23">
        <v>541.0</v>
      </c>
      <c r="AR6" s="23">
        <v>243.0</v>
      </c>
      <c r="AS6" s="23">
        <v>308.0</v>
      </c>
      <c r="AT6" s="23">
        <v>298.0</v>
      </c>
      <c r="AU6" s="23">
        <v>336.0</v>
      </c>
      <c r="AV6" s="23">
        <v>336.0</v>
      </c>
      <c r="AW6" s="23">
        <v>425.0</v>
      </c>
      <c r="AX6" s="23">
        <v>339.0</v>
      </c>
      <c r="AY6" s="23">
        <v>289.0</v>
      </c>
      <c r="AZ6" s="23">
        <v>208.0</v>
      </c>
      <c r="BA6" s="23">
        <v>184.0</v>
      </c>
      <c r="BB6" s="23">
        <v>130.0</v>
      </c>
      <c r="BC6" s="23">
        <v>132.0</v>
      </c>
      <c r="BD6" s="23">
        <v>186.0</v>
      </c>
      <c r="BE6" s="23">
        <v>206.0</v>
      </c>
      <c r="BF6" s="23">
        <v>208.0</v>
      </c>
      <c r="BG6" s="23">
        <v>178.0</v>
      </c>
      <c r="BH6" s="23">
        <v>141.0</v>
      </c>
      <c r="BI6" s="23">
        <v>210.0</v>
      </c>
      <c r="BJ6" s="23">
        <v>168.0</v>
      </c>
      <c r="BK6" s="23">
        <v>208.0</v>
      </c>
      <c r="BL6" s="23">
        <v>262.0</v>
      </c>
      <c r="BM6" s="23">
        <v>203.0</v>
      </c>
      <c r="BN6" s="23">
        <v>262.0</v>
      </c>
    </row>
    <row r="7" ht="14.25" customHeight="1">
      <c r="A7" s="21" t="s">
        <v>96</v>
      </c>
      <c r="B7" s="22" t="s">
        <v>97</v>
      </c>
      <c r="C7" s="22" t="s">
        <v>98</v>
      </c>
      <c r="D7" s="21">
        <v>0.3</v>
      </c>
      <c r="E7" s="23">
        <v>1.03</v>
      </c>
      <c r="F7" s="23">
        <v>5.98</v>
      </c>
      <c r="G7" s="23">
        <v>3.15</v>
      </c>
      <c r="H7" s="23">
        <v>3.37</v>
      </c>
      <c r="I7" s="26">
        <v>26.32</v>
      </c>
      <c r="J7" s="23">
        <v>6.81</v>
      </c>
      <c r="K7" s="23">
        <v>6.84</v>
      </c>
      <c r="L7" s="23">
        <v>0.85</v>
      </c>
      <c r="M7" s="23">
        <v>11.12</v>
      </c>
      <c r="N7" s="23">
        <v>2.7</v>
      </c>
      <c r="O7" s="23">
        <v>2.05</v>
      </c>
      <c r="P7" s="23">
        <v>0.85</v>
      </c>
      <c r="Q7" s="23">
        <v>0.76</v>
      </c>
      <c r="R7" s="23">
        <v>3.21</v>
      </c>
      <c r="S7" s="23">
        <v>3.47</v>
      </c>
      <c r="T7" s="26">
        <v>26.93</v>
      </c>
      <c r="U7" s="23">
        <v>5.93</v>
      </c>
      <c r="V7" s="93">
        <v>24.9</v>
      </c>
      <c r="W7" s="93">
        <v>22.17</v>
      </c>
      <c r="X7" s="93">
        <v>21.4</v>
      </c>
      <c r="Y7" s="31">
        <v>14.21</v>
      </c>
      <c r="Z7" s="23">
        <v>12.56</v>
      </c>
      <c r="AA7" s="23">
        <v>12.58</v>
      </c>
      <c r="AB7" s="23">
        <v>10.9</v>
      </c>
      <c r="AC7" s="31">
        <v>15.86</v>
      </c>
      <c r="AD7" s="23">
        <v>13.05</v>
      </c>
      <c r="AE7" s="26">
        <v>26.78</v>
      </c>
      <c r="AF7" s="26">
        <v>26.79</v>
      </c>
      <c r="AG7" s="93">
        <v>21.57</v>
      </c>
      <c r="AH7" s="26">
        <v>26.96</v>
      </c>
      <c r="AI7" s="23">
        <v>11.67</v>
      </c>
      <c r="AJ7" s="26">
        <v>28.48</v>
      </c>
      <c r="AK7" s="26">
        <v>27.27</v>
      </c>
      <c r="AL7" s="26">
        <v>29.08</v>
      </c>
      <c r="AM7" s="93">
        <v>20.4</v>
      </c>
      <c r="AN7" s="93">
        <v>19.29</v>
      </c>
      <c r="AO7" s="26">
        <v>28.57</v>
      </c>
      <c r="AP7" s="93">
        <v>24.88</v>
      </c>
      <c r="AQ7" s="26">
        <v>37.04</v>
      </c>
      <c r="AR7" s="93">
        <v>21.57</v>
      </c>
      <c r="AS7" s="31">
        <v>15.2</v>
      </c>
      <c r="AT7" s="23">
        <v>9.88</v>
      </c>
      <c r="AU7" s="23">
        <v>11.56</v>
      </c>
      <c r="AV7" s="93">
        <v>21.85</v>
      </c>
      <c r="AW7" s="93">
        <v>21.7</v>
      </c>
      <c r="AX7" s="93">
        <v>19.43</v>
      </c>
      <c r="AY7" s="93">
        <v>22.54</v>
      </c>
      <c r="AZ7" s="26">
        <v>28.1</v>
      </c>
      <c r="BA7" s="26">
        <v>29.91</v>
      </c>
      <c r="BB7" s="26">
        <v>29.15</v>
      </c>
      <c r="BC7" s="26">
        <v>28.21</v>
      </c>
      <c r="BD7" s="26">
        <v>26.53</v>
      </c>
      <c r="BE7" s="93">
        <v>22.1</v>
      </c>
      <c r="BF7" s="93">
        <v>24.62</v>
      </c>
      <c r="BG7" s="93">
        <v>24.3</v>
      </c>
      <c r="BH7" s="93">
        <v>21.43</v>
      </c>
      <c r="BI7" s="26">
        <v>28.89</v>
      </c>
      <c r="BJ7" s="93">
        <v>23.8</v>
      </c>
      <c r="BK7" s="93">
        <v>24.62</v>
      </c>
      <c r="BL7" s="93">
        <v>23.85</v>
      </c>
      <c r="BM7" s="93">
        <v>23.03</v>
      </c>
      <c r="BN7" s="31">
        <v>14.19</v>
      </c>
    </row>
    <row r="8" ht="14.25" customHeight="1">
      <c r="A8" s="21" t="s">
        <v>99</v>
      </c>
      <c r="B8" s="22" t="s">
        <v>100</v>
      </c>
      <c r="C8" s="22"/>
      <c r="D8" s="21">
        <v>0.0</v>
      </c>
      <c r="E8" s="23">
        <v>4.38</v>
      </c>
      <c r="F8" s="23">
        <v>7.0</v>
      </c>
      <c r="G8" s="23">
        <v>3.27</v>
      </c>
      <c r="H8" s="23">
        <v>0.08</v>
      </c>
      <c r="I8" s="23">
        <v>26.71</v>
      </c>
      <c r="J8" s="23">
        <v>7.56</v>
      </c>
      <c r="K8" s="23">
        <v>7.35</v>
      </c>
      <c r="L8" s="23">
        <v>81.11</v>
      </c>
      <c r="M8" s="23">
        <v>4.3</v>
      </c>
      <c r="N8" s="23">
        <v>19.31</v>
      </c>
      <c r="O8" s="23">
        <v>37.0</v>
      </c>
      <c r="P8" s="23">
        <v>0.36</v>
      </c>
      <c r="Q8" s="23">
        <v>0.09</v>
      </c>
      <c r="R8" s="23">
        <v>3.31</v>
      </c>
      <c r="S8" s="23">
        <v>3.25</v>
      </c>
      <c r="T8" s="23">
        <v>27.8</v>
      </c>
      <c r="U8" s="23">
        <v>34.24</v>
      </c>
      <c r="V8" s="23">
        <v>33.14</v>
      </c>
      <c r="W8" s="23">
        <v>22.35</v>
      </c>
      <c r="X8" s="23">
        <v>28.74</v>
      </c>
      <c r="Y8" s="23">
        <v>21.28</v>
      </c>
      <c r="Z8" s="23">
        <v>9.51</v>
      </c>
      <c r="AA8" s="23">
        <v>10.61</v>
      </c>
      <c r="AB8" s="23">
        <v>0.17</v>
      </c>
      <c r="AC8" s="23">
        <v>26.54</v>
      </c>
      <c r="AD8" s="23">
        <v>11.09</v>
      </c>
      <c r="AE8" s="23">
        <v>25.12</v>
      </c>
      <c r="AF8" s="23">
        <v>19.52</v>
      </c>
      <c r="AG8" s="23">
        <v>41.98</v>
      </c>
      <c r="AH8" s="23">
        <v>14.23</v>
      </c>
      <c r="AI8" s="23">
        <v>10.53</v>
      </c>
      <c r="AJ8" s="23">
        <v>4.73</v>
      </c>
      <c r="AK8" s="23">
        <v>4.65</v>
      </c>
      <c r="AL8" s="23">
        <v>5.26</v>
      </c>
      <c r="AM8" s="23">
        <v>3.7</v>
      </c>
      <c r="AN8" s="23">
        <v>22.3</v>
      </c>
      <c r="AO8" s="23">
        <v>9.12</v>
      </c>
      <c r="AP8" s="23">
        <v>14.33</v>
      </c>
      <c r="AQ8" s="23">
        <v>41.78</v>
      </c>
      <c r="AR8" s="23">
        <v>16.77</v>
      </c>
      <c r="AS8" s="23">
        <v>24.59</v>
      </c>
      <c r="AT8" s="23">
        <v>26.18</v>
      </c>
      <c r="AU8" s="23">
        <v>29.25</v>
      </c>
      <c r="AV8" s="23">
        <v>25.9</v>
      </c>
      <c r="AW8" s="23">
        <v>37.0</v>
      </c>
      <c r="AX8" s="23">
        <v>28.36</v>
      </c>
      <c r="AY8" s="23">
        <v>17.35</v>
      </c>
      <c r="AZ8" s="23">
        <v>9.73</v>
      </c>
      <c r="BA8" s="23">
        <v>6.28</v>
      </c>
      <c r="BB8" s="23">
        <v>0.59</v>
      </c>
      <c r="BC8" s="23">
        <v>1.29</v>
      </c>
      <c r="BD8" s="23">
        <v>8.08</v>
      </c>
      <c r="BE8" s="23">
        <v>12.35</v>
      </c>
      <c r="BF8" s="23">
        <v>11.45</v>
      </c>
      <c r="BG8" s="23">
        <v>8.23</v>
      </c>
      <c r="BH8" s="23">
        <v>5.5</v>
      </c>
      <c r="BI8" s="23">
        <v>9.71</v>
      </c>
      <c r="BJ8" s="23">
        <v>7.38</v>
      </c>
      <c r="BK8" s="23">
        <v>11.45</v>
      </c>
      <c r="BL8" s="23">
        <v>17.81</v>
      </c>
      <c r="BM8" s="23">
        <v>11.59</v>
      </c>
      <c r="BN8" s="23">
        <v>18.0</v>
      </c>
    </row>
    <row r="9" ht="14.25" customHeight="1">
      <c r="A9" s="21" t="s">
        <v>101</v>
      </c>
      <c r="B9" s="22" t="s">
        <v>102</v>
      </c>
      <c r="C9" s="22"/>
      <c r="D9" s="21">
        <v>82.4</v>
      </c>
      <c r="E9" s="23">
        <v>6.89</v>
      </c>
      <c r="F9" s="23">
        <v>5.36</v>
      </c>
      <c r="G9" s="23">
        <v>4.78</v>
      </c>
      <c r="H9" s="23">
        <v>4.96</v>
      </c>
      <c r="I9" s="23">
        <v>38.42</v>
      </c>
      <c r="J9" s="23">
        <v>10.04</v>
      </c>
      <c r="K9" s="23">
        <v>55.35</v>
      </c>
      <c r="L9" s="23">
        <v>0.06</v>
      </c>
      <c r="M9" s="23">
        <v>3.38</v>
      </c>
      <c r="N9" s="23">
        <v>3.66</v>
      </c>
      <c r="O9" s="23">
        <v>2.79</v>
      </c>
      <c r="P9" s="23">
        <v>5.14</v>
      </c>
      <c r="Q9" s="23">
        <v>5.12</v>
      </c>
      <c r="R9" s="23">
        <v>4.88</v>
      </c>
      <c r="S9" s="23">
        <v>4.66</v>
      </c>
      <c r="T9" s="23">
        <v>5.38</v>
      </c>
      <c r="U9" s="23">
        <v>4.07</v>
      </c>
      <c r="V9" s="23">
        <v>1.28</v>
      </c>
      <c r="W9" s="23">
        <v>2.19</v>
      </c>
      <c r="X9" s="23">
        <v>2.34</v>
      </c>
      <c r="Y9" s="23">
        <v>4.09</v>
      </c>
      <c r="Z9" s="23">
        <v>0.72</v>
      </c>
      <c r="AA9" s="23">
        <v>1.12</v>
      </c>
      <c r="AB9" s="23">
        <v>0.73</v>
      </c>
      <c r="AC9" s="23">
        <v>3.59</v>
      </c>
      <c r="AD9" s="23">
        <v>0.41</v>
      </c>
      <c r="AE9" s="23">
        <v>0.0</v>
      </c>
      <c r="AF9" s="23">
        <v>0.0</v>
      </c>
      <c r="AG9" s="23">
        <v>0.0</v>
      </c>
      <c r="AH9" s="23">
        <v>0.0</v>
      </c>
      <c r="AI9" s="23">
        <v>1.48</v>
      </c>
      <c r="AJ9" s="23">
        <v>0.15</v>
      </c>
      <c r="AK9" s="23">
        <v>0.0</v>
      </c>
      <c r="AL9" s="23">
        <v>5.13</v>
      </c>
      <c r="AM9" s="23">
        <v>0.0</v>
      </c>
      <c r="AN9" s="23">
        <v>0.0</v>
      </c>
      <c r="AO9" s="23">
        <v>0.0</v>
      </c>
      <c r="AP9" s="23">
        <v>0.0</v>
      </c>
      <c r="AQ9" s="23">
        <v>1.43</v>
      </c>
      <c r="AR9" s="23">
        <v>0.0</v>
      </c>
      <c r="AS9" s="23">
        <v>5.49</v>
      </c>
      <c r="AT9" s="23">
        <v>5.65</v>
      </c>
      <c r="AU9" s="23">
        <v>6.66</v>
      </c>
      <c r="AV9" s="23">
        <v>2.4</v>
      </c>
      <c r="AW9" s="23">
        <v>1.2</v>
      </c>
      <c r="AX9" s="23">
        <v>0.0</v>
      </c>
      <c r="AY9" s="23">
        <v>9.42</v>
      </c>
      <c r="AZ9" s="23">
        <v>0.0</v>
      </c>
      <c r="BA9" s="23">
        <v>0.0</v>
      </c>
      <c r="BB9" s="23">
        <v>0.0</v>
      </c>
      <c r="BC9" s="23">
        <v>0.0</v>
      </c>
      <c r="BD9" s="23">
        <v>0.0</v>
      </c>
      <c r="BE9" s="23">
        <v>0.0</v>
      </c>
      <c r="BF9" s="23">
        <v>0.0</v>
      </c>
      <c r="BG9" s="23">
        <v>0.0</v>
      </c>
      <c r="BH9" s="23">
        <v>0.0</v>
      </c>
      <c r="BI9" s="23">
        <v>0.0</v>
      </c>
      <c r="BJ9" s="23">
        <v>0.0</v>
      </c>
      <c r="BK9" s="23">
        <v>0.0</v>
      </c>
      <c r="BL9" s="23">
        <v>0.0</v>
      </c>
      <c r="BM9" s="23">
        <v>0.0</v>
      </c>
      <c r="BN9" s="23">
        <v>9.64</v>
      </c>
    </row>
    <row r="10" ht="14.25" customHeight="1">
      <c r="A10" s="21" t="s">
        <v>103</v>
      </c>
      <c r="B10" s="22" t="s">
        <v>104</v>
      </c>
      <c r="C10" s="22"/>
      <c r="D10" s="21">
        <v>0.2</v>
      </c>
      <c r="E10" s="23">
        <v>0.0</v>
      </c>
      <c r="F10" s="23">
        <v>0.0</v>
      </c>
      <c r="G10" s="23">
        <v>0.0</v>
      </c>
      <c r="H10" s="23">
        <v>0.0</v>
      </c>
      <c r="I10" s="23">
        <v>0.0</v>
      </c>
      <c r="J10" s="23">
        <v>0.0</v>
      </c>
      <c r="K10" s="23">
        <v>0.0</v>
      </c>
      <c r="L10" s="23">
        <v>0.0</v>
      </c>
      <c r="M10" s="23">
        <v>0.0</v>
      </c>
      <c r="N10" s="23">
        <v>0.0</v>
      </c>
      <c r="O10" s="23">
        <v>0.0</v>
      </c>
      <c r="P10" s="23">
        <v>0.0</v>
      </c>
      <c r="Q10" s="23">
        <v>0.0</v>
      </c>
      <c r="R10" s="23">
        <v>0.0</v>
      </c>
      <c r="S10" s="23">
        <v>0.0</v>
      </c>
      <c r="T10" s="23">
        <v>0.0</v>
      </c>
      <c r="U10" s="23">
        <v>0.0</v>
      </c>
      <c r="V10" s="23">
        <v>0.0</v>
      </c>
      <c r="W10" s="23">
        <v>0.0</v>
      </c>
      <c r="X10" s="23">
        <v>0.0</v>
      </c>
      <c r="Y10" s="23">
        <v>0.0</v>
      </c>
      <c r="Z10" s="23">
        <v>0.0</v>
      </c>
      <c r="AA10" s="23">
        <v>0.0</v>
      </c>
      <c r="AB10" s="23">
        <v>0.0</v>
      </c>
      <c r="AC10" s="23">
        <v>0.0</v>
      </c>
      <c r="AD10" s="23">
        <v>0.0</v>
      </c>
      <c r="AE10" s="23">
        <v>0.0</v>
      </c>
      <c r="AF10" s="23">
        <v>0.0</v>
      </c>
      <c r="AG10" s="23">
        <v>0.0</v>
      </c>
      <c r="AH10" s="23">
        <v>0.0</v>
      </c>
      <c r="AI10" s="23">
        <v>0.0</v>
      </c>
      <c r="AJ10" s="23">
        <v>0.0</v>
      </c>
      <c r="AK10" s="23">
        <v>0.0</v>
      </c>
      <c r="AL10" s="23">
        <v>0.0</v>
      </c>
      <c r="AM10" s="23">
        <v>0.0</v>
      </c>
      <c r="AN10" s="23">
        <v>0.0</v>
      </c>
      <c r="AO10" s="23">
        <v>0.0</v>
      </c>
      <c r="AP10" s="23">
        <v>0.0</v>
      </c>
      <c r="AQ10" s="23">
        <v>0.0</v>
      </c>
      <c r="AR10" s="23">
        <v>0.0</v>
      </c>
      <c r="AS10" s="23">
        <v>0.0</v>
      </c>
      <c r="AT10" s="23">
        <v>0.0</v>
      </c>
      <c r="AU10" s="23">
        <v>0.0</v>
      </c>
      <c r="AV10" s="23">
        <v>0.0</v>
      </c>
      <c r="AW10" s="23">
        <v>0.0</v>
      </c>
      <c r="AX10" s="23">
        <v>0.0</v>
      </c>
      <c r="AY10" s="23">
        <v>0.3</v>
      </c>
      <c r="AZ10" s="23">
        <v>0.0</v>
      </c>
      <c r="BA10" s="23">
        <v>0.0</v>
      </c>
      <c r="BB10" s="23">
        <v>0.0</v>
      </c>
      <c r="BC10" s="23">
        <v>0.0</v>
      </c>
      <c r="BD10" s="23">
        <v>0.0</v>
      </c>
      <c r="BE10" s="23">
        <v>0.0</v>
      </c>
      <c r="BF10" s="23">
        <v>0.0</v>
      </c>
      <c r="BG10" s="23">
        <v>0.0</v>
      </c>
      <c r="BH10" s="23">
        <v>0.0</v>
      </c>
      <c r="BI10" s="23">
        <v>0.0</v>
      </c>
      <c r="BJ10" s="23">
        <v>0.0</v>
      </c>
      <c r="BK10" s="23">
        <v>0.0</v>
      </c>
      <c r="BL10" s="23">
        <v>0.0</v>
      </c>
      <c r="BM10" s="23">
        <v>0.0</v>
      </c>
      <c r="BN10" s="23">
        <v>0.0</v>
      </c>
    </row>
    <row r="11" ht="14.25" customHeight="1">
      <c r="A11" s="21" t="s">
        <v>105</v>
      </c>
      <c r="B11" s="22"/>
      <c r="C11" s="22"/>
      <c r="D11" s="21">
        <v>82.12</v>
      </c>
      <c r="E11" s="23">
        <v>6.89</v>
      </c>
      <c r="G11" s="23">
        <v>5.05</v>
      </c>
      <c r="H11" s="23">
        <v>5.09</v>
      </c>
      <c r="I11" s="23">
        <v>38.42</v>
      </c>
      <c r="J11" s="23">
        <v>10.04</v>
      </c>
      <c r="K11" s="23">
        <v>49.74</v>
      </c>
      <c r="L11" s="23">
        <v>0.06</v>
      </c>
      <c r="M11" s="23">
        <v>2.67</v>
      </c>
      <c r="N11" s="23">
        <v>0.14</v>
      </c>
      <c r="O11" s="23">
        <v>0.11</v>
      </c>
      <c r="P11" s="23">
        <v>5.14</v>
      </c>
      <c r="Q11" s="23">
        <v>5.12</v>
      </c>
      <c r="R11" s="23">
        <v>4.88</v>
      </c>
      <c r="S11" s="23">
        <v>4.66</v>
      </c>
      <c r="T11" s="23">
        <v>1.32</v>
      </c>
      <c r="U11" s="23">
        <v>3.21</v>
      </c>
      <c r="V11" s="23">
        <v>0.52</v>
      </c>
      <c r="W11" s="23">
        <v>1.03</v>
      </c>
      <c r="X11" s="23">
        <v>0.5</v>
      </c>
      <c r="Y11" s="23">
        <v>4.09</v>
      </c>
      <c r="Z11" s="23">
        <v>0.37</v>
      </c>
      <c r="AA11" s="23">
        <v>1.12</v>
      </c>
      <c r="AB11" s="23">
        <v>0.71</v>
      </c>
      <c r="AC11" s="23">
        <v>0.56</v>
      </c>
      <c r="AD11" s="23">
        <v>0.4</v>
      </c>
      <c r="AE11" s="23">
        <v>0.0</v>
      </c>
      <c r="AF11" s="23">
        <v>0.0</v>
      </c>
      <c r="AG11" s="23">
        <v>0.0</v>
      </c>
      <c r="AH11" s="23">
        <v>0.0</v>
      </c>
      <c r="AI11" s="23">
        <v>0.0</v>
      </c>
      <c r="AJ11" s="23">
        <v>0.0</v>
      </c>
      <c r="AK11" s="23">
        <v>0.0</v>
      </c>
      <c r="AL11" s="23">
        <v>0.0</v>
      </c>
      <c r="AM11" s="23">
        <v>0.0</v>
      </c>
      <c r="AN11" s="23">
        <v>0.0</v>
      </c>
      <c r="AO11" s="23">
        <v>0.0</v>
      </c>
      <c r="AP11" s="23">
        <v>0.0</v>
      </c>
      <c r="AQ11" s="23">
        <v>0.0</v>
      </c>
      <c r="AR11" s="23">
        <v>0.0</v>
      </c>
      <c r="AS11" s="23">
        <v>4.42</v>
      </c>
      <c r="AT11" s="23">
        <v>0.0</v>
      </c>
      <c r="AU11" s="23">
        <v>1.35</v>
      </c>
      <c r="AV11" s="23">
        <v>0.96</v>
      </c>
      <c r="AW11" s="23">
        <v>1.2</v>
      </c>
      <c r="AX11" s="23">
        <v>0.0</v>
      </c>
      <c r="AY11" s="23">
        <v>0.0</v>
      </c>
      <c r="AZ11" s="23">
        <v>0.0</v>
      </c>
      <c r="BA11" s="23">
        <v>0.0</v>
      </c>
      <c r="BB11" s="23">
        <v>0.0</v>
      </c>
      <c r="BC11" s="23">
        <v>0.0</v>
      </c>
      <c r="BD11" s="23">
        <v>0.0</v>
      </c>
      <c r="BE11" s="23">
        <v>0.0</v>
      </c>
      <c r="BF11" s="23">
        <v>0.0</v>
      </c>
      <c r="BG11" s="23">
        <v>0.0</v>
      </c>
      <c r="BH11" s="23">
        <v>0.0</v>
      </c>
      <c r="BI11" s="23">
        <v>0.0</v>
      </c>
      <c r="BJ11" s="23">
        <v>0.0</v>
      </c>
      <c r="BK11" s="23">
        <v>0.0</v>
      </c>
      <c r="BL11" s="23">
        <v>0.0</v>
      </c>
      <c r="BM11" s="23">
        <v>0.0</v>
      </c>
      <c r="BN11" s="23">
        <v>7.71</v>
      </c>
    </row>
    <row r="12" ht="14.25" customHeight="1">
      <c r="A12" s="98" t="s">
        <v>106</v>
      </c>
      <c r="B12" s="101"/>
      <c r="C12" s="101"/>
      <c r="D12" s="100"/>
      <c r="E12" s="100"/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/>
      <c r="AK12" s="100"/>
      <c r="AL12" s="100"/>
      <c r="AM12" s="100"/>
      <c r="AN12" s="100"/>
      <c r="AO12" s="100"/>
      <c r="AP12" s="100"/>
      <c r="AQ12" s="100"/>
      <c r="AR12" s="100"/>
      <c r="AS12" s="100"/>
      <c r="AT12" s="100"/>
      <c r="AU12" s="100"/>
      <c r="AV12" s="100"/>
      <c r="AW12" s="100"/>
      <c r="AX12" s="100"/>
      <c r="AY12" s="100"/>
      <c r="AZ12" s="100"/>
      <c r="BA12" s="100"/>
      <c r="BB12" s="100"/>
      <c r="BC12" s="100"/>
      <c r="BD12" s="100"/>
      <c r="BE12" s="100"/>
      <c r="BF12" s="100"/>
      <c r="BG12" s="100"/>
      <c r="BH12" s="100"/>
      <c r="BI12" s="100"/>
      <c r="BJ12" s="100"/>
      <c r="BK12" s="100"/>
      <c r="BL12" s="100"/>
      <c r="BM12" s="100"/>
      <c r="BN12" s="100"/>
    </row>
    <row r="13" ht="14.25" customHeight="1">
      <c r="A13" s="21" t="s">
        <v>107</v>
      </c>
      <c r="B13" s="22">
        <v>1000.0</v>
      </c>
      <c r="C13" s="22">
        <v>2500.0</v>
      </c>
      <c r="D13" s="21">
        <v>6.0</v>
      </c>
      <c r="E13" s="23">
        <v>32.0</v>
      </c>
      <c r="F13" s="23">
        <v>193.0</v>
      </c>
      <c r="G13" s="23">
        <v>113.0</v>
      </c>
      <c r="H13" s="23">
        <v>122.0</v>
      </c>
      <c r="I13" s="93">
        <v>912.0</v>
      </c>
      <c r="J13" s="23">
        <v>261.0</v>
      </c>
      <c r="K13" s="23">
        <v>251.0</v>
      </c>
      <c r="L13" s="23">
        <v>24.0</v>
      </c>
      <c r="M13" s="23">
        <v>83.0</v>
      </c>
      <c r="N13" s="23">
        <v>96.0</v>
      </c>
      <c r="O13" s="23">
        <v>65.0</v>
      </c>
      <c r="P13" s="23">
        <v>47.0</v>
      </c>
      <c r="Q13" s="23">
        <v>103.0</v>
      </c>
      <c r="R13" s="23">
        <v>115.0</v>
      </c>
      <c r="S13" s="23">
        <v>121.0</v>
      </c>
      <c r="T13" s="93">
        <v>791.0</v>
      </c>
      <c r="U13" s="23">
        <v>98.0</v>
      </c>
      <c r="V13" s="93">
        <v>721.0</v>
      </c>
      <c r="W13" s="31">
        <v>505.0</v>
      </c>
      <c r="X13" s="31">
        <v>528.0</v>
      </c>
      <c r="Y13" s="31">
        <v>493.0</v>
      </c>
      <c r="Z13" s="23">
        <v>56.0</v>
      </c>
      <c r="AA13" s="23">
        <v>50.0</v>
      </c>
      <c r="AB13" s="23">
        <v>7.0</v>
      </c>
      <c r="AC13" s="23">
        <v>129.0</v>
      </c>
      <c r="AD13" s="23">
        <v>64.0</v>
      </c>
      <c r="AE13" s="23">
        <v>13.0</v>
      </c>
      <c r="AF13" s="23">
        <v>7.0</v>
      </c>
      <c r="AG13" s="23">
        <v>12.0</v>
      </c>
      <c r="AH13" s="23">
        <v>20.0</v>
      </c>
      <c r="AI13" s="23">
        <v>9.0</v>
      </c>
      <c r="AJ13" s="23">
        <v>5.0</v>
      </c>
      <c r="AK13" s="23">
        <v>19.0</v>
      </c>
      <c r="AL13" s="23">
        <v>6.0</v>
      </c>
      <c r="AM13" s="23">
        <v>11.0</v>
      </c>
      <c r="AN13" s="23">
        <v>5.0</v>
      </c>
      <c r="AO13" s="23">
        <v>18.0</v>
      </c>
      <c r="AP13" s="23">
        <v>16.0</v>
      </c>
      <c r="AQ13" s="23">
        <v>11.0</v>
      </c>
      <c r="AR13" s="23">
        <v>7.0</v>
      </c>
      <c r="AS13" s="23">
        <v>85.0</v>
      </c>
      <c r="AT13" s="23">
        <v>82.0</v>
      </c>
      <c r="AU13" s="23">
        <v>31.0</v>
      </c>
      <c r="AV13" s="23">
        <v>15.0</v>
      </c>
      <c r="AW13" s="23">
        <v>10.0</v>
      </c>
      <c r="AX13" s="23">
        <v>13.0</v>
      </c>
      <c r="AY13" s="23">
        <v>21.0</v>
      </c>
      <c r="AZ13" s="23">
        <v>26.0</v>
      </c>
      <c r="BA13" s="23">
        <v>10.0</v>
      </c>
      <c r="BB13" s="23">
        <v>4.0</v>
      </c>
      <c r="BC13" s="23">
        <v>37.0</v>
      </c>
      <c r="BD13" s="23">
        <v>4.0</v>
      </c>
      <c r="BE13" s="23">
        <v>15.0</v>
      </c>
      <c r="BF13" s="31">
        <v>382.0</v>
      </c>
      <c r="BG13" s="23">
        <v>12.0</v>
      </c>
      <c r="BH13" s="23">
        <v>249.0</v>
      </c>
      <c r="BI13" s="23">
        <v>232.0</v>
      </c>
      <c r="BJ13" s="23">
        <v>30.0</v>
      </c>
      <c r="BK13" s="31">
        <v>382.0</v>
      </c>
      <c r="BL13" s="23">
        <v>15.0</v>
      </c>
      <c r="BM13" s="23">
        <v>74.0</v>
      </c>
      <c r="BN13" s="23">
        <v>77.0</v>
      </c>
    </row>
    <row r="14" ht="14.25" customHeight="1">
      <c r="A14" s="21" t="s">
        <v>108</v>
      </c>
      <c r="B14" s="22" t="s">
        <v>109</v>
      </c>
      <c r="C14" s="22" t="s">
        <v>110</v>
      </c>
      <c r="D14" s="21">
        <v>0.42</v>
      </c>
      <c r="E14" s="23">
        <v>0.03</v>
      </c>
      <c r="F14" s="23">
        <v>0.1</v>
      </c>
      <c r="G14" s="23">
        <v>0.03</v>
      </c>
      <c r="H14" s="23">
        <v>0.03</v>
      </c>
      <c r="I14" s="23">
        <v>0.47</v>
      </c>
      <c r="J14" s="23">
        <v>0.19</v>
      </c>
      <c r="K14" s="23">
        <v>0.17</v>
      </c>
      <c r="L14" s="23">
        <v>0.02</v>
      </c>
      <c r="M14" s="23">
        <v>0.07</v>
      </c>
      <c r="N14" s="23">
        <v>0.04</v>
      </c>
      <c r="O14" s="23">
        <v>0.03</v>
      </c>
      <c r="P14" s="23">
        <v>0.06</v>
      </c>
      <c r="Q14" s="23">
        <v>0.08</v>
      </c>
      <c r="R14" s="23">
        <v>0.03</v>
      </c>
      <c r="S14" s="23">
        <v>0.05</v>
      </c>
      <c r="T14" s="23">
        <v>0.2</v>
      </c>
      <c r="U14" s="23">
        <v>0.38</v>
      </c>
      <c r="V14" s="23">
        <v>0.68</v>
      </c>
      <c r="W14" s="23">
        <v>0.44</v>
      </c>
      <c r="X14" s="23">
        <v>0.31</v>
      </c>
      <c r="Y14" s="23">
        <v>0.65</v>
      </c>
      <c r="Z14" s="23">
        <v>1.75</v>
      </c>
      <c r="AA14" s="23">
        <v>1.19</v>
      </c>
      <c r="AB14" s="23">
        <v>0.08</v>
      </c>
      <c r="AC14" s="23">
        <v>2.73</v>
      </c>
      <c r="AD14" s="23">
        <v>3.65</v>
      </c>
      <c r="AE14" s="23">
        <v>3.13</v>
      </c>
      <c r="AF14" s="23">
        <v>2.53</v>
      </c>
      <c r="AG14" s="23">
        <v>2.31</v>
      </c>
      <c r="AH14" s="23">
        <v>1.73</v>
      </c>
      <c r="AI14" s="23">
        <v>2.3</v>
      </c>
      <c r="AJ14" s="93">
        <v>6.38</v>
      </c>
      <c r="AK14" s="31">
        <v>5.8</v>
      </c>
      <c r="AL14" s="93">
        <v>6.54</v>
      </c>
      <c r="AM14" s="31">
        <v>5.4</v>
      </c>
      <c r="AN14" s="23">
        <v>2.61</v>
      </c>
      <c r="AO14" s="23">
        <v>1.13</v>
      </c>
      <c r="AP14" s="23">
        <v>0.92</v>
      </c>
      <c r="AQ14" s="23">
        <v>1.44</v>
      </c>
      <c r="AR14" s="23">
        <v>0.87</v>
      </c>
      <c r="AS14" s="23">
        <v>1.21</v>
      </c>
      <c r="AT14" s="23">
        <v>1.16</v>
      </c>
      <c r="AU14" s="23">
        <v>1.2</v>
      </c>
      <c r="AV14" s="23">
        <v>1.56</v>
      </c>
      <c r="AW14" s="23">
        <v>1.52</v>
      </c>
      <c r="AX14" s="23">
        <v>1.36</v>
      </c>
      <c r="AY14" s="23">
        <v>1.37</v>
      </c>
      <c r="AZ14" s="23">
        <v>1.79</v>
      </c>
      <c r="BA14" s="23">
        <v>1.31</v>
      </c>
      <c r="BB14" s="23">
        <v>0.92</v>
      </c>
      <c r="BC14" s="23">
        <v>1.6</v>
      </c>
      <c r="BD14" s="23">
        <v>0.65</v>
      </c>
      <c r="BE14" s="23">
        <v>0.34</v>
      </c>
      <c r="BF14" s="23">
        <v>2.92</v>
      </c>
      <c r="BG14" s="23">
        <v>0.39</v>
      </c>
      <c r="BH14" s="23">
        <v>0.7</v>
      </c>
      <c r="BI14" s="31">
        <v>4.63</v>
      </c>
      <c r="BJ14" s="23">
        <v>0.36</v>
      </c>
      <c r="BK14" s="23">
        <v>2.92</v>
      </c>
      <c r="BL14" s="23">
        <v>1.57</v>
      </c>
      <c r="BM14" s="23">
        <v>1.41</v>
      </c>
      <c r="BN14" s="23">
        <v>1.22</v>
      </c>
    </row>
    <row r="15" ht="14.25" customHeight="1">
      <c r="A15" s="21" t="s">
        <v>111</v>
      </c>
      <c r="B15" s="22" t="s">
        <v>112</v>
      </c>
      <c r="C15" s="22">
        <v>350.0</v>
      </c>
      <c r="D15" s="21">
        <v>2.0</v>
      </c>
      <c r="E15" s="23">
        <v>3.0</v>
      </c>
      <c r="F15" s="23">
        <v>18.0</v>
      </c>
      <c r="G15" s="23">
        <v>10.0</v>
      </c>
      <c r="H15" s="23">
        <v>11.0</v>
      </c>
      <c r="I15" s="31">
        <v>85.0</v>
      </c>
      <c r="J15" s="23">
        <v>24.0</v>
      </c>
      <c r="K15" s="23">
        <v>22.0</v>
      </c>
      <c r="L15" s="23">
        <v>2.0</v>
      </c>
      <c r="M15" s="23">
        <v>8.0</v>
      </c>
      <c r="N15" s="23">
        <v>9.0</v>
      </c>
      <c r="O15" s="23">
        <v>7.0</v>
      </c>
      <c r="P15" s="23">
        <v>8.0</v>
      </c>
      <c r="Q15" s="23">
        <v>10.0</v>
      </c>
      <c r="R15" s="23">
        <v>10.0</v>
      </c>
      <c r="S15" s="23">
        <v>12.0</v>
      </c>
      <c r="T15" s="23">
        <v>38.0</v>
      </c>
      <c r="U15" s="23">
        <v>9.0</v>
      </c>
      <c r="V15" s="23">
        <v>28.0</v>
      </c>
      <c r="W15" s="23">
        <v>20.0</v>
      </c>
      <c r="X15" s="23">
        <v>23.0</v>
      </c>
      <c r="Y15" s="23">
        <v>19.0</v>
      </c>
      <c r="Z15" s="23">
        <v>12.0</v>
      </c>
      <c r="AA15" s="23">
        <v>10.0</v>
      </c>
      <c r="AB15" s="23">
        <v>11.0</v>
      </c>
      <c r="AC15" s="23">
        <v>5.0</v>
      </c>
      <c r="AD15" s="23">
        <v>13.0</v>
      </c>
      <c r="AE15" s="23">
        <v>19.0</v>
      </c>
      <c r="AF15" s="23">
        <v>21.0</v>
      </c>
      <c r="AG15" s="23">
        <v>15.0</v>
      </c>
      <c r="AH15" s="23">
        <v>22.0</v>
      </c>
      <c r="AI15" s="23">
        <v>12.0</v>
      </c>
      <c r="AJ15" s="23">
        <v>21.0</v>
      </c>
      <c r="AK15" s="23">
        <v>12.0</v>
      </c>
      <c r="AL15" s="23">
        <v>21.0</v>
      </c>
      <c r="AM15" s="23">
        <v>10.0</v>
      </c>
      <c r="AN15" s="23">
        <v>15.0</v>
      </c>
      <c r="AO15" s="23">
        <v>20.0</v>
      </c>
      <c r="AP15" s="23">
        <v>22.0</v>
      </c>
      <c r="AQ15" s="23">
        <v>33.0</v>
      </c>
      <c r="AR15" s="23">
        <v>19.0</v>
      </c>
      <c r="AS15" s="23">
        <v>17.0</v>
      </c>
      <c r="AT15" s="23">
        <v>15.0</v>
      </c>
      <c r="AU15" s="23">
        <v>14.0</v>
      </c>
      <c r="AV15" s="23">
        <v>19.0</v>
      </c>
      <c r="AW15" s="23">
        <v>22.0</v>
      </c>
      <c r="AX15" s="23">
        <v>17.0</v>
      </c>
      <c r="AY15" s="23">
        <v>21.0</v>
      </c>
      <c r="AZ15" s="23">
        <v>25.0</v>
      </c>
      <c r="BA15" s="31">
        <v>64.0</v>
      </c>
      <c r="BB15" s="23">
        <v>42.0</v>
      </c>
      <c r="BC15" s="23">
        <v>44.0</v>
      </c>
      <c r="BD15" s="23">
        <v>34.0</v>
      </c>
      <c r="BE15" s="23">
        <v>30.0</v>
      </c>
      <c r="BF15" s="23">
        <v>39.0</v>
      </c>
      <c r="BG15" s="23">
        <v>34.0</v>
      </c>
      <c r="BH15" s="23">
        <v>30.0</v>
      </c>
      <c r="BI15" s="31">
        <v>69.0</v>
      </c>
      <c r="BJ15" s="23">
        <v>30.0</v>
      </c>
      <c r="BK15" s="23">
        <v>39.0</v>
      </c>
      <c r="BL15" s="93">
        <v>97.0</v>
      </c>
      <c r="BM15" s="23">
        <v>41.0</v>
      </c>
      <c r="BN15" s="23">
        <v>8.0</v>
      </c>
    </row>
    <row r="16" ht="14.25" customHeight="1">
      <c r="A16" s="21" t="s">
        <v>113</v>
      </c>
      <c r="B16" s="22" t="s">
        <v>114</v>
      </c>
      <c r="C16" s="22">
        <v>4000.0</v>
      </c>
      <c r="D16" s="21">
        <v>4.0</v>
      </c>
      <c r="E16" s="23">
        <v>14.0</v>
      </c>
      <c r="F16" s="23">
        <v>158.0</v>
      </c>
      <c r="G16" s="23">
        <v>84.0</v>
      </c>
      <c r="H16" s="23">
        <v>101.0</v>
      </c>
      <c r="I16" s="26">
        <v>776.0</v>
      </c>
      <c r="J16" s="23">
        <v>203.0</v>
      </c>
      <c r="K16" s="23">
        <v>193.0</v>
      </c>
      <c r="L16" s="23">
        <v>24.0</v>
      </c>
      <c r="M16" s="23">
        <v>159.0</v>
      </c>
      <c r="N16" s="23">
        <v>80.0</v>
      </c>
      <c r="O16" s="23">
        <v>62.0</v>
      </c>
      <c r="P16" s="23">
        <v>46.0</v>
      </c>
      <c r="Q16" s="23">
        <v>78.0</v>
      </c>
      <c r="R16" s="23">
        <v>85.0</v>
      </c>
      <c r="S16" s="23">
        <v>95.0</v>
      </c>
      <c r="T16" s="93">
        <v>567.0</v>
      </c>
      <c r="U16" s="23">
        <v>106.0</v>
      </c>
      <c r="V16" s="93">
        <v>512.0</v>
      </c>
      <c r="W16" s="31">
        <v>354.0</v>
      </c>
      <c r="X16" s="31">
        <v>387.0</v>
      </c>
      <c r="Y16" s="31">
        <v>337.0</v>
      </c>
      <c r="Z16" s="23">
        <v>198.0</v>
      </c>
      <c r="AA16" s="23">
        <v>172.0</v>
      </c>
      <c r="AB16" s="23">
        <v>15.0</v>
      </c>
      <c r="AC16" s="31">
        <v>390.0</v>
      </c>
      <c r="AD16" s="23">
        <v>226.0</v>
      </c>
      <c r="AE16" s="23">
        <v>202.0</v>
      </c>
      <c r="AF16" s="23">
        <v>216.0</v>
      </c>
      <c r="AG16" s="23">
        <v>162.0</v>
      </c>
      <c r="AH16" s="23">
        <v>209.0</v>
      </c>
      <c r="AI16" s="31">
        <v>335.0</v>
      </c>
      <c r="AJ16" s="23">
        <v>254.0</v>
      </c>
      <c r="AK16" s="31">
        <v>304.0</v>
      </c>
      <c r="AL16" s="93">
        <v>497.0</v>
      </c>
      <c r="AM16" s="23">
        <v>178.0</v>
      </c>
      <c r="AN16" s="23">
        <v>145.0</v>
      </c>
      <c r="AO16" s="23">
        <v>183.0</v>
      </c>
      <c r="AP16" s="23">
        <v>240.0</v>
      </c>
      <c r="AQ16" s="93">
        <v>533.0</v>
      </c>
      <c r="AR16" s="23">
        <v>214.0</v>
      </c>
      <c r="AS16" s="23">
        <v>163.0</v>
      </c>
      <c r="AT16" s="23">
        <v>185.0</v>
      </c>
      <c r="AU16" s="23">
        <v>128.0</v>
      </c>
      <c r="AV16" s="23">
        <v>191.0</v>
      </c>
      <c r="AW16" s="23">
        <v>229.0</v>
      </c>
      <c r="AX16" s="23">
        <v>163.0</v>
      </c>
      <c r="AY16" s="23">
        <v>155.0</v>
      </c>
      <c r="AZ16" s="23">
        <v>203.0</v>
      </c>
      <c r="BA16" s="31">
        <v>326.0</v>
      </c>
      <c r="BB16" s="31">
        <v>333.0</v>
      </c>
      <c r="BC16" s="23">
        <v>285.0</v>
      </c>
      <c r="BD16" s="23">
        <v>267.0</v>
      </c>
      <c r="BE16" s="23">
        <v>252.0</v>
      </c>
      <c r="BF16" s="93">
        <v>490.0</v>
      </c>
      <c r="BG16" s="31">
        <v>332.0</v>
      </c>
      <c r="BH16" s="31">
        <v>354.0</v>
      </c>
      <c r="BI16" s="23">
        <v>252.0</v>
      </c>
      <c r="BJ16" s="23">
        <v>270.0</v>
      </c>
      <c r="BK16" s="93">
        <v>490.0</v>
      </c>
      <c r="BL16" s="23">
        <v>278.0</v>
      </c>
      <c r="BM16" s="31">
        <v>303.0</v>
      </c>
      <c r="BN16" s="23">
        <v>89.0</v>
      </c>
    </row>
    <row r="17" ht="14.25" customHeight="1">
      <c r="A17" s="21" t="s">
        <v>115</v>
      </c>
      <c r="B17" s="22" t="s">
        <v>116</v>
      </c>
      <c r="C17" s="22" t="s">
        <v>100</v>
      </c>
      <c r="D17" s="21">
        <v>52.0</v>
      </c>
      <c r="E17" s="23">
        <v>51.0</v>
      </c>
      <c r="F17" s="23">
        <v>137.0</v>
      </c>
      <c r="G17" s="23">
        <v>132.0</v>
      </c>
      <c r="H17" s="23">
        <v>156.0</v>
      </c>
      <c r="I17" s="93">
        <v>1330.0</v>
      </c>
      <c r="J17" s="23">
        <v>303.0</v>
      </c>
      <c r="K17" s="23">
        <v>350.0</v>
      </c>
      <c r="L17" s="23">
        <v>24.0</v>
      </c>
      <c r="M17" s="23">
        <v>104.0</v>
      </c>
      <c r="N17" s="23">
        <v>122.0</v>
      </c>
      <c r="O17" s="23">
        <v>75.0</v>
      </c>
      <c r="P17" s="23">
        <v>161.0</v>
      </c>
      <c r="Q17" s="23">
        <v>143.0</v>
      </c>
      <c r="R17" s="23">
        <v>135.0</v>
      </c>
      <c r="S17" s="23">
        <v>155.0</v>
      </c>
      <c r="T17" s="23">
        <v>77.0</v>
      </c>
      <c r="U17" s="23">
        <v>138.0</v>
      </c>
      <c r="V17" s="23">
        <v>98.0</v>
      </c>
      <c r="W17" s="23">
        <v>76.0</v>
      </c>
      <c r="X17" s="23">
        <v>256.0</v>
      </c>
      <c r="Y17" s="23">
        <v>62.0</v>
      </c>
      <c r="Z17" s="23">
        <v>138.0</v>
      </c>
      <c r="AA17" s="23">
        <v>126.0</v>
      </c>
      <c r="AB17" s="23">
        <v>163.0</v>
      </c>
      <c r="AC17" s="23">
        <v>109.0</v>
      </c>
      <c r="AD17" s="23">
        <v>132.0</v>
      </c>
      <c r="AE17" s="23">
        <v>233.0</v>
      </c>
      <c r="AF17" s="23">
        <v>259.0</v>
      </c>
      <c r="AG17" s="23">
        <v>224.0</v>
      </c>
      <c r="AH17" s="23">
        <v>336.0</v>
      </c>
      <c r="AI17" s="23">
        <v>244.0</v>
      </c>
      <c r="AJ17" s="23">
        <v>219.0</v>
      </c>
      <c r="AK17" s="23">
        <v>135.0</v>
      </c>
      <c r="AL17" s="23">
        <v>352.0</v>
      </c>
      <c r="AM17" s="23">
        <v>173.0</v>
      </c>
      <c r="AN17" s="23">
        <v>184.0</v>
      </c>
      <c r="AO17" s="23">
        <v>387.0</v>
      </c>
      <c r="AP17" s="23">
        <v>357.0</v>
      </c>
      <c r="AQ17" s="31">
        <v>565.0</v>
      </c>
      <c r="AR17" s="23">
        <v>286.0</v>
      </c>
      <c r="AS17" s="23">
        <v>315.0</v>
      </c>
      <c r="AT17" s="23">
        <v>152.0</v>
      </c>
      <c r="AU17" s="23">
        <v>222.0</v>
      </c>
      <c r="AV17" s="23">
        <v>316.0</v>
      </c>
      <c r="AW17" s="23">
        <v>340.0</v>
      </c>
      <c r="AX17" s="23">
        <v>294.0</v>
      </c>
      <c r="AY17" s="23">
        <v>185.0</v>
      </c>
      <c r="AZ17" s="23">
        <v>280.0</v>
      </c>
      <c r="BA17" s="23">
        <v>323.0</v>
      </c>
      <c r="BB17" s="31">
        <v>527.0</v>
      </c>
      <c r="BC17" s="31">
        <v>522.0</v>
      </c>
      <c r="BD17" s="23">
        <v>333.0</v>
      </c>
      <c r="BE17" s="23">
        <v>384.0</v>
      </c>
      <c r="BF17" s="23">
        <v>397.0</v>
      </c>
      <c r="BG17" s="31">
        <v>460.0</v>
      </c>
      <c r="BH17" s="23">
        <v>300.0</v>
      </c>
      <c r="BI17" s="31">
        <v>544.0</v>
      </c>
      <c r="BJ17" s="23">
        <v>450.0</v>
      </c>
      <c r="BK17" s="23">
        <v>397.0</v>
      </c>
      <c r="BL17" s="23">
        <v>401.0</v>
      </c>
      <c r="BM17" s="23">
        <v>419.0</v>
      </c>
      <c r="BN17" s="23">
        <v>69.0</v>
      </c>
    </row>
    <row r="18" ht="14.25" customHeight="1">
      <c r="A18" s="21" t="s">
        <v>117</v>
      </c>
      <c r="B18" s="22" t="s">
        <v>118</v>
      </c>
      <c r="C18" s="22">
        <v>2300.0</v>
      </c>
      <c r="D18" s="21">
        <v>4.0</v>
      </c>
      <c r="E18" s="23">
        <v>17.0</v>
      </c>
      <c r="F18" s="23">
        <v>44.0</v>
      </c>
      <c r="G18" s="23">
        <v>43.0</v>
      </c>
      <c r="H18" s="23">
        <v>42.0</v>
      </c>
      <c r="I18" s="31">
        <v>371.0</v>
      </c>
      <c r="J18" s="23">
        <v>106.0</v>
      </c>
      <c r="K18" s="23">
        <v>129.0</v>
      </c>
      <c r="L18" s="23">
        <v>11.0</v>
      </c>
      <c r="M18" s="31">
        <v>364.0</v>
      </c>
      <c r="N18" s="23">
        <v>40.0</v>
      </c>
      <c r="O18" s="23">
        <v>38.0</v>
      </c>
      <c r="P18" s="23">
        <v>54.0</v>
      </c>
      <c r="Q18" s="23">
        <v>48.0</v>
      </c>
      <c r="R18" s="23">
        <v>105.0</v>
      </c>
      <c r="S18" s="23">
        <v>46.0</v>
      </c>
      <c r="T18" s="23">
        <v>192.0</v>
      </c>
      <c r="U18" s="34">
        <v>321.0</v>
      </c>
      <c r="V18" s="34">
        <v>621.0</v>
      </c>
      <c r="W18" s="34">
        <v>627.0</v>
      </c>
      <c r="X18" s="62">
        <v>1395.0</v>
      </c>
      <c r="Y18" s="62">
        <v>1116.0</v>
      </c>
      <c r="Z18" s="23">
        <v>142.0</v>
      </c>
      <c r="AA18" s="23">
        <v>124.0</v>
      </c>
      <c r="AB18" s="23">
        <v>166.0</v>
      </c>
      <c r="AC18" s="23">
        <v>48.0</v>
      </c>
      <c r="AD18" s="23">
        <v>141.0</v>
      </c>
      <c r="AE18" s="23">
        <v>65.0</v>
      </c>
      <c r="AF18" s="23">
        <v>65.0</v>
      </c>
      <c r="AG18" s="23">
        <v>50.0</v>
      </c>
      <c r="AH18" s="23">
        <v>56.0</v>
      </c>
      <c r="AI18" s="23">
        <v>108.0</v>
      </c>
      <c r="AJ18" s="23">
        <v>59.0</v>
      </c>
      <c r="AK18" s="23">
        <v>94.0</v>
      </c>
      <c r="AL18" s="23">
        <v>79.0</v>
      </c>
      <c r="AM18" s="23">
        <v>101.0</v>
      </c>
      <c r="AN18" s="23">
        <v>65.0</v>
      </c>
      <c r="AO18" s="23">
        <v>50.0</v>
      </c>
      <c r="AP18" s="23">
        <v>96.0</v>
      </c>
      <c r="AQ18" s="51">
        <v>2310.0</v>
      </c>
      <c r="AR18" s="62">
        <v>1187.0</v>
      </c>
      <c r="AS18" s="62">
        <v>960.0</v>
      </c>
      <c r="AT18" s="62">
        <v>922.0</v>
      </c>
      <c r="AU18" s="62">
        <v>1055.0</v>
      </c>
      <c r="AV18" s="93">
        <v>1449.0</v>
      </c>
      <c r="AW18" s="93">
        <v>1890.0</v>
      </c>
      <c r="AX18" s="62">
        <v>749.0</v>
      </c>
      <c r="AY18" s="34">
        <v>292.0</v>
      </c>
      <c r="AZ18" s="23">
        <v>68.0</v>
      </c>
      <c r="BA18" s="23">
        <v>50.0</v>
      </c>
      <c r="BB18" s="23">
        <v>54.0</v>
      </c>
      <c r="BC18" s="23">
        <v>47.0</v>
      </c>
      <c r="BD18" s="34">
        <v>396.0</v>
      </c>
      <c r="BE18" s="23">
        <v>61.0</v>
      </c>
      <c r="BF18" s="34">
        <v>505.0</v>
      </c>
      <c r="BG18" s="23">
        <v>52.0</v>
      </c>
      <c r="BH18" s="34">
        <v>487.0</v>
      </c>
      <c r="BI18" s="51">
        <v>3668.0</v>
      </c>
      <c r="BJ18" s="23">
        <v>61.0</v>
      </c>
      <c r="BK18" s="34">
        <v>505.0</v>
      </c>
      <c r="BL18" s="23">
        <v>83.0</v>
      </c>
      <c r="BM18" s="23">
        <v>115.0</v>
      </c>
      <c r="BN18" s="62">
        <v>870.0</v>
      </c>
    </row>
    <row r="19" ht="14.25" customHeight="1">
      <c r="A19" s="21" t="s">
        <v>119</v>
      </c>
      <c r="B19" s="22" t="s">
        <v>120</v>
      </c>
      <c r="C19" s="22">
        <v>40.0</v>
      </c>
      <c r="D19" s="21">
        <v>0.22</v>
      </c>
      <c r="E19" s="23">
        <v>0.17</v>
      </c>
      <c r="F19" s="23">
        <v>0.54</v>
      </c>
      <c r="G19" s="23">
        <v>0.37</v>
      </c>
      <c r="H19" s="23">
        <v>0.42</v>
      </c>
      <c r="I19" s="23">
        <v>3.34</v>
      </c>
      <c r="J19" s="23">
        <v>0.77</v>
      </c>
      <c r="K19" s="23">
        <v>0.79</v>
      </c>
      <c r="L19" s="23">
        <v>0.09</v>
      </c>
      <c r="M19" s="23">
        <v>0.4</v>
      </c>
      <c r="N19" s="23">
        <v>0.27</v>
      </c>
      <c r="O19" s="23">
        <v>0.23</v>
      </c>
      <c r="P19" s="23">
        <v>0.13</v>
      </c>
      <c r="Q19" s="23">
        <v>0.43</v>
      </c>
      <c r="R19" s="23">
        <v>0.38</v>
      </c>
      <c r="S19" s="23">
        <v>0.59</v>
      </c>
      <c r="T19" s="31">
        <v>4.36</v>
      </c>
      <c r="U19" s="23">
        <v>0.51</v>
      </c>
      <c r="V19" s="23">
        <v>3.11</v>
      </c>
      <c r="W19" s="23">
        <v>2.92</v>
      </c>
      <c r="X19" s="23">
        <v>2.66</v>
      </c>
      <c r="Y19" s="23">
        <v>2.88</v>
      </c>
      <c r="Z19" s="23">
        <v>1.29</v>
      </c>
      <c r="AA19" s="23">
        <v>1.05</v>
      </c>
      <c r="AB19" s="23">
        <v>0.03</v>
      </c>
      <c r="AC19" s="23">
        <v>2.3</v>
      </c>
      <c r="AD19" s="23">
        <v>1.47</v>
      </c>
      <c r="AE19" s="93">
        <v>8.41</v>
      </c>
      <c r="AF19" s="31">
        <v>5.96</v>
      </c>
      <c r="AG19" s="31">
        <v>4.88</v>
      </c>
      <c r="AH19" s="31">
        <v>4.87</v>
      </c>
      <c r="AI19" s="23">
        <v>1.09</v>
      </c>
      <c r="AJ19" s="23">
        <v>2.87</v>
      </c>
      <c r="AK19" s="23">
        <v>2.84</v>
      </c>
      <c r="AL19" s="23">
        <v>5.3</v>
      </c>
      <c r="AM19" s="23">
        <v>1.64</v>
      </c>
      <c r="AN19" s="31">
        <v>4.09</v>
      </c>
      <c r="AO19" s="23">
        <v>2.48</v>
      </c>
      <c r="AP19" s="23">
        <v>3.1</v>
      </c>
      <c r="AQ19" s="23">
        <v>3.5</v>
      </c>
      <c r="AR19" s="23">
        <v>2.32</v>
      </c>
      <c r="AS19" s="23">
        <v>2.3</v>
      </c>
      <c r="AT19" s="23">
        <v>1.28</v>
      </c>
      <c r="AU19" s="23">
        <v>2.22</v>
      </c>
      <c r="AV19" s="23">
        <v>2.93</v>
      </c>
      <c r="AW19" s="31">
        <v>4.2</v>
      </c>
      <c r="AX19" s="23">
        <v>2.08</v>
      </c>
      <c r="AY19" s="23">
        <v>1.67</v>
      </c>
      <c r="AZ19" s="23">
        <v>2.96</v>
      </c>
      <c r="BA19" s="23">
        <v>0.77</v>
      </c>
      <c r="BB19" s="23">
        <v>0.45</v>
      </c>
      <c r="BC19" s="23">
        <v>1.05</v>
      </c>
      <c r="BD19" s="23">
        <v>0.47</v>
      </c>
      <c r="BE19" s="23">
        <v>0.43</v>
      </c>
      <c r="BF19" s="23">
        <v>1.31</v>
      </c>
      <c r="BG19" s="23">
        <v>0.47</v>
      </c>
      <c r="BH19" s="23">
        <v>1.0</v>
      </c>
      <c r="BI19" s="23">
        <v>2.44</v>
      </c>
      <c r="BJ19" s="23">
        <v>0.54</v>
      </c>
      <c r="BK19" s="23">
        <v>1.31</v>
      </c>
      <c r="BL19" s="23">
        <v>0.94</v>
      </c>
      <c r="BM19" s="23">
        <v>1.27</v>
      </c>
      <c r="BN19" s="23">
        <v>0.53</v>
      </c>
    </row>
    <row r="20" ht="14.25" customHeight="1">
      <c r="A20" s="21" t="s">
        <v>121</v>
      </c>
      <c r="B20" s="22" t="s">
        <v>122</v>
      </c>
      <c r="C20" s="22">
        <v>10.0</v>
      </c>
      <c r="D20" s="21">
        <v>0.036</v>
      </c>
      <c r="E20" s="23">
        <v>0.052</v>
      </c>
      <c r="F20" s="23">
        <v>0.046</v>
      </c>
      <c r="G20" s="23">
        <v>0.025</v>
      </c>
      <c r="H20" s="23">
        <v>0.013</v>
      </c>
      <c r="I20" s="23">
        <v>0.08</v>
      </c>
      <c r="J20" s="23">
        <v>0.016</v>
      </c>
      <c r="K20" s="23">
        <v>0.004</v>
      </c>
      <c r="L20" s="23">
        <v>0.016</v>
      </c>
      <c r="M20" s="23">
        <v>0.029</v>
      </c>
      <c r="N20" s="23">
        <v>0.008</v>
      </c>
      <c r="O20" s="23">
        <v>0.006</v>
      </c>
      <c r="P20" s="23">
        <v>0.004</v>
      </c>
      <c r="Q20" s="23">
        <v>0.003</v>
      </c>
      <c r="R20" s="23">
        <v>0.025</v>
      </c>
      <c r="S20" s="23">
        <v>0.009</v>
      </c>
      <c r="T20" s="23">
        <v>0.043</v>
      </c>
      <c r="U20" s="23">
        <v>0.019</v>
      </c>
      <c r="V20" s="23">
        <v>0.031</v>
      </c>
      <c r="W20" s="23">
        <v>0.011</v>
      </c>
      <c r="X20" s="23">
        <v>0.04</v>
      </c>
      <c r="Y20" s="23">
        <v>0.032</v>
      </c>
      <c r="Z20" s="23">
        <v>0.072</v>
      </c>
      <c r="AA20" s="23">
        <v>0.013</v>
      </c>
      <c r="AB20" s="23">
        <v>0.023</v>
      </c>
      <c r="AC20" s="23">
        <v>0.077</v>
      </c>
      <c r="AD20" s="23">
        <v>0.062</v>
      </c>
      <c r="AE20" s="23">
        <v>0.126</v>
      </c>
      <c r="AF20" s="23">
        <v>0.108</v>
      </c>
      <c r="AG20" s="23">
        <v>0.099</v>
      </c>
      <c r="AH20" s="23">
        <v>0.081</v>
      </c>
      <c r="AI20" s="23">
        <v>0.23</v>
      </c>
      <c r="AJ20" s="31">
        <v>0.559</v>
      </c>
      <c r="AK20" s="31">
        <v>0.564</v>
      </c>
      <c r="AL20" s="51">
        <v>14.283</v>
      </c>
      <c r="AM20" s="23">
        <v>0.221</v>
      </c>
      <c r="AN20" s="23">
        <v>0.148</v>
      </c>
      <c r="AO20" s="23">
        <v>0.079</v>
      </c>
      <c r="AP20" s="23">
        <v>0.107</v>
      </c>
      <c r="AQ20" s="23">
        <v>0.164</v>
      </c>
      <c r="AR20" s="23">
        <v>0.083</v>
      </c>
      <c r="AS20" s="23">
        <v>0.052</v>
      </c>
      <c r="AT20" s="23">
        <v>0.06</v>
      </c>
      <c r="AU20" s="23">
        <v>0.093</v>
      </c>
      <c r="AV20" s="31">
        <v>0.357</v>
      </c>
      <c r="AW20" s="23">
        <v>0.16</v>
      </c>
      <c r="AX20" s="23">
        <v>0.086</v>
      </c>
      <c r="AY20" s="23">
        <v>0.072</v>
      </c>
      <c r="AZ20" s="23">
        <v>0.093</v>
      </c>
      <c r="BA20" s="23">
        <v>0.11</v>
      </c>
      <c r="BB20" s="23">
        <v>0.043</v>
      </c>
      <c r="BC20" s="23">
        <v>0.11</v>
      </c>
      <c r="BD20" s="23">
        <v>0.13</v>
      </c>
      <c r="BE20" s="23">
        <v>0.049</v>
      </c>
      <c r="BF20" s="23">
        <v>0.186</v>
      </c>
      <c r="BG20" s="23">
        <v>0.089</v>
      </c>
      <c r="BH20" s="23">
        <v>0.1</v>
      </c>
      <c r="BI20" s="31">
        <v>0.339</v>
      </c>
      <c r="BJ20" s="23">
        <v>0.055</v>
      </c>
      <c r="BK20" s="23">
        <v>0.186</v>
      </c>
      <c r="BL20" s="23">
        <v>0.094</v>
      </c>
      <c r="BM20" s="23">
        <v>0.118</v>
      </c>
      <c r="BN20" s="23">
        <v>0.105</v>
      </c>
    </row>
    <row r="21" ht="14.25" customHeight="1">
      <c r="A21" s="21" t="s">
        <v>123</v>
      </c>
      <c r="B21" s="22" t="s">
        <v>124</v>
      </c>
      <c r="C21" s="22">
        <v>11.0</v>
      </c>
      <c r="D21" s="21">
        <v>0.08</v>
      </c>
      <c r="E21" s="23">
        <v>0.026</v>
      </c>
      <c r="F21" s="23">
        <v>0.018</v>
      </c>
      <c r="G21" s="23">
        <v>0.004</v>
      </c>
      <c r="H21" s="23">
        <v>0.003</v>
      </c>
      <c r="I21" s="23">
        <v>0.04</v>
      </c>
      <c r="J21" s="23">
        <v>0.006</v>
      </c>
      <c r="K21" s="23">
        <v>0.002</v>
      </c>
      <c r="L21" s="23">
        <v>0.004</v>
      </c>
      <c r="M21" s="23">
        <v>0.002</v>
      </c>
      <c r="N21" s="23">
        <v>0.001</v>
      </c>
      <c r="O21" s="23">
        <v>0.001</v>
      </c>
      <c r="P21" s="23">
        <v>0.001</v>
      </c>
      <c r="Q21" s="23">
        <v>0.002</v>
      </c>
      <c r="R21" s="23">
        <v>0.004</v>
      </c>
      <c r="S21" s="23">
        <v>0.004</v>
      </c>
      <c r="T21" s="23">
        <v>0.005</v>
      </c>
      <c r="U21" s="23">
        <v>0.011</v>
      </c>
      <c r="V21" s="23">
        <v>0.01</v>
      </c>
      <c r="W21" s="23">
        <v>0.03</v>
      </c>
      <c r="X21" s="23">
        <v>0.009</v>
      </c>
      <c r="Y21" s="23">
        <v>0.028</v>
      </c>
      <c r="Z21" s="23">
        <v>0.028</v>
      </c>
      <c r="AA21" s="23">
        <v>0.026</v>
      </c>
      <c r="AB21" s="23">
        <v>0.011</v>
      </c>
      <c r="AC21" s="23">
        <v>0.055</v>
      </c>
      <c r="AD21" s="23">
        <v>0.038</v>
      </c>
      <c r="AE21" s="23">
        <v>0.016</v>
      </c>
      <c r="AF21" s="23">
        <v>0.015</v>
      </c>
      <c r="AG21" s="23">
        <v>0.013</v>
      </c>
      <c r="AH21" s="23">
        <v>0.009</v>
      </c>
      <c r="AI21" s="23">
        <v>0.028</v>
      </c>
      <c r="AJ21" s="23">
        <v>0.033</v>
      </c>
      <c r="AK21" s="23">
        <v>0.185</v>
      </c>
      <c r="AL21" s="23">
        <v>0.356</v>
      </c>
      <c r="AM21" s="23">
        <v>0.015</v>
      </c>
      <c r="AN21" s="23">
        <v>0.018</v>
      </c>
      <c r="AO21" s="23">
        <v>0.013</v>
      </c>
      <c r="AP21" s="23">
        <v>0.022</v>
      </c>
      <c r="AQ21" s="23">
        <v>0.022</v>
      </c>
      <c r="AR21" s="23">
        <v>0.014</v>
      </c>
      <c r="AS21" s="23">
        <v>0.018</v>
      </c>
      <c r="AT21" s="23">
        <v>0.044</v>
      </c>
      <c r="AU21" s="23">
        <v>0.265</v>
      </c>
      <c r="AV21" s="31">
        <v>0.978</v>
      </c>
      <c r="AW21" s="23">
        <v>0.07</v>
      </c>
      <c r="AX21" s="23">
        <v>0.005</v>
      </c>
      <c r="AY21" s="23">
        <v>0.057</v>
      </c>
      <c r="AZ21" s="23">
        <v>0.021</v>
      </c>
      <c r="BA21" s="23">
        <v>0.02</v>
      </c>
      <c r="BB21" s="23">
        <v>0.013</v>
      </c>
      <c r="BC21" s="23">
        <v>0.019</v>
      </c>
      <c r="BD21" s="23">
        <v>0.016</v>
      </c>
      <c r="BE21" s="23">
        <v>0.016</v>
      </c>
      <c r="BF21" s="23">
        <v>0.108</v>
      </c>
      <c r="BG21" s="23">
        <v>0.021</v>
      </c>
      <c r="BH21" s="23">
        <v>0.02</v>
      </c>
      <c r="BI21" s="23">
        <v>0.1</v>
      </c>
      <c r="BJ21" s="23">
        <v>0.013</v>
      </c>
      <c r="BK21" s="23">
        <v>0.108</v>
      </c>
      <c r="BL21" s="23">
        <v>0.02</v>
      </c>
      <c r="BM21" s="23">
        <v>0.04</v>
      </c>
      <c r="BN21" s="23">
        <v>0.04</v>
      </c>
    </row>
    <row r="22" ht="14.25" customHeight="1">
      <c r="A22" s="21" t="s">
        <v>125</v>
      </c>
      <c r="B22" s="22" t="s">
        <v>126</v>
      </c>
      <c r="C22" s="22">
        <v>400.0</v>
      </c>
      <c r="D22" s="21">
        <v>0.8</v>
      </c>
      <c r="E22" s="23">
        <v>1.8</v>
      </c>
      <c r="F22" s="23">
        <v>1.7</v>
      </c>
      <c r="G22" s="23">
        <v>3.7</v>
      </c>
      <c r="H22" s="23">
        <v>3.1</v>
      </c>
      <c r="I22" s="23">
        <v>16.3</v>
      </c>
      <c r="J22" s="23">
        <v>2.3</v>
      </c>
      <c r="K22" s="23">
        <v>2.7</v>
      </c>
      <c r="L22" s="23">
        <v>1.0</v>
      </c>
      <c r="M22" s="23">
        <v>9.7</v>
      </c>
      <c r="N22" s="23">
        <v>0.6</v>
      </c>
      <c r="O22" s="23">
        <v>0.5</v>
      </c>
      <c r="P22" s="23">
        <v>1.9</v>
      </c>
      <c r="Q22" s="23">
        <v>1.8</v>
      </c>
      <c r="R22" s="23">
        <v>3.7</v>
      </c>
      <c r="S22" s="23">
        <v>2.2</v>
      </c>
      <c r="T22" s="23">
        <v>18.2</v>
      </c>
      <c r="U22" s="23">
        <v>2.4</v>
      </c>
      <c r="V22" s="23">
        <v>13.9</v>
      </c>
      <c r="W22" s="23">
        <v>17.0</v>
      </c>
      <c r="X22" s="23">
        <v>14.5</v>
      </c>
      <c r="Y22" s="23">
        <v>15.0</v>
      </c>
      <c r="Z22" s="31">
        <v>30.7</v>
      </c>
      <c r="AA22" s="31">
        <v>30.8</v>
      </c>
      <c r="AB22" s="23">
        <v>20.0</v>
      </c>
      <c r="AC22" s="26">
        <v>56.0</v>
      </c>
      <c r="AD22" s="31">
        <v>32.0</v>
      </c>
      <c r="AE22" s="23">
        <v>24.6</v>
      </c>
      <c r="AF22" s="23">
        <v>23.3</v>
      </c>
      <c r="AG22" s="23">
        <v>20.8</v>
      </c>
      <c r="AH22" s="31">
        <v>29.2</v>
      </c>
      <c r="AI22" s="23">
        <v>21.8</v>
      </c>
      <c r="AJ22" s="31">
        <v>38.9</v>
      </c>
      <c r="AK22" s="26">
        <v>168.0</v>
      </c>
      <c r="AL22" s="31">
        <v>36.1</v>
      </c>
      <c r="AM22" s="93">
        <v>50.3</v>
      </c>
      <c r="AN22" s="23">
        <v>13.2</v>
      </c>
      <c r="AO22" s="93">
        <v>48.2</v>
      </c>
      <c r="AP22" s="23">
        <v>29.4</v>
      </c>
      <c r="AQ22" s="26">
        <v>62.0</v>
      </c>
      <c r="AR22" s="23">
        <v>22.7</v>
      </c>
      <c r="AS22" s="23">
        <v>24.6</v>
      </c>
      <c r="AT22" s="23">
        <v>0.0</v>
      </c>
      <c r="AU22" s="23">
        <v>12.4</v>
      </c>
      <c r="AV22" s="31">
        <v>31.3</v>
      </c>
      <c r="AW22" s="23">
        <v>25.4</v>
      </c>
      <c r="AX22" s="23">
        <v>0.0</v>
      </c>
      <c r="AY22" s="23">
        <v>25.5</v>
      </c>
      <c r="AZ22" s="31">
        <v>32.9</v>
      </c>
      <c r="BA22" s="93">
        <v>46.8</v>
      </c>
      <c r="BB22" s="26">
        <v>108.2</v>
      </c>
      <c r="BC22" s="93">
        <v>46.8</v>
      </c>
      <c r="BD22" s="26">
        <v>60.1</v>
      </c>
      <c r="BE22" s="93">
        <v>41.4</v>
      </c>
      <c r="BF22" s="93">
        <v>52.7</v>
      </c>
      <c r="BG22" s="23">
        <v>14.1</v>
      </c>
      <c r="BH22" s="93">
        <v>43.3</v>
      </c>
      <c r="BI22" s="26">
        <v>68.1</v>
      </c>
      <c r="BJ22" s="31">
        <v>28.1</v>
      </c>
      <c r="BK22" s="93">
        <v>52.7</v>
      </c>
      <c r="BL22" s="93">
        <v>51.6</v>
      </c>
      <c r="BM22" s="93">
        <v>46.8</v>
      </c>
      <c r="BN22" s="26">
        <v>58.5</v>
      </c>
    </row>
    <row r="23" ht="14.25" customHeight="1">
      <c r="A23" s="21" t="s">
        <v>127</v>
      </c>
      <c r="B23" s="22" t="s">
        <v>128</v>
      </c>
      <c r="C23" s="22" t="s">
        <v>129</v>
      </c>
      <c r="D23" s="21">
        <v>7.0</v>
      </c>
      <c r="H23" s="23">
        <v>3.1</v>
      </c>
      <c r="J23" s="23">
        <v>8.5</v>
      </c>
      <c r="L23" s="23">
        <v>2.8</v>
      </c>
      <c r="M23" s="23">
        <v>31.6</v>
      </c>
      <c r="N23" s="23">
        <v>3.0</v>
      </c>
      <c r="O23" s="23">
        <v>3.0</v>
      </c>
      <c r="S23" s="23">
        <v>12.0</v>
      </c>
      <c r="Z23" s="23">
        <v>1.1</v>
      </c>
      <c r="AA23" s="23">
        <v>4.8</v>
      </c>
      <c r="AE23" s="23">
        <v>22.4</v>
      </c>
      <c r="AF23" s="23">
        <v>22.4</v>
      </c>
      <c r="AG23" s="23">
        <v>22.4</v>
      </c>
      <c r="AH23" s="23">
        <v>22.4</v>
      </c>
      <c r="AQ23" s="23">
        <v>33.6</v>
      </c>
      <c r="AR23" s="23">
        <v>19.9</v>
      </c>
      <c r="AT23" s="23">
        <v>36.0</v>
      </c>
      <c r="AU23" s="23">
        <v>36.0</v>
      </c>
      <c r="AX23" s="23">
        <v>15.9</v>
      </c>
      <c r="AY23" s="23">
        <v>14.7</v>
      </c>
      <c r="AZ23" s="23">
        <v>20.9</v>
      </c>
      <c r="BD23" s="23">
        <v>31.0</v>
      </c>
    </row>
    <row r="24" ht="14.25" customHeight="1">
      <c r="A24" s="98" t="s">
        <v>130</v>
      </c>
      <c r="B24" s="101"/>
      <c r="C24" s="101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N24" s="100"/>
      <c r="O24" s="100"/>
      <c r="P24" s="100"/>
      <c r="Q24" s="100"/>
      <c r="R24" s="100"/>
      <c r="S24" s="100"/>
      <c r="T24" s="100"/>
      <c r="U24" s="100"/>
      <c r="V24" s="100"/>
      <c r="W24" s="100"/>
      <c r="X24" s="100"/>
      <c r="Y24" s="100"/>
      <c r="Z24" s="100"/>
      <c r="AA24" s="100"/>
      <c r="AB24" s="100"/>
      <c r="AC24" s="100"/>
      <c r="AD24" s="100"/>
      <c r="AE24" s="100"/>
      <c r="AF24" s="100"/>
      <c r="AG24" s="100"/>
      <c r="AH24" s="100"/>
      <c r="AI24" s="100"/>
      <c r="AJ24" s="100"/>
      <c r="AK24" s="100"/>
      <c r="AL24" s="100"/>
      <c r="AM24" s="100"/>
      <c r="AN24" s="100"/>
      <c r="AO24" s="100"/>
      <c r="AP24" s="100"/>
      <c r="AQ24" s="100"/>
      <c r="AR24" s="100"/>
      <c r="AS24" s="100"/>
      <c r="AT24" s="100"/>
      <c r="AU24" s="100"/>
      <c r="AV24" s="100"/>
      <c r="AW24" s="100"/>
      <c r="AX24" s="100"/>
      <c r="AY24" s="100"/>
      <c r="AZ24" s="100"/>
      <c r="BA24" s="100"/>
      <c r="BB24" s="100"/>
      <c r="BC24" s="100"/>
      <c r="BD24" s="100"/>
      <c r="BE24" s="100"/>
      <c r="BF24" s="100"/>
      <c r="BG24" s="100"/>
      <c r="BH24" s="100"/>
      <c r="BI24" s="100"/>
      <c r="BJ24" s="100"/>
      <c r="BK24" s="100"/>
      <c r="BL24" s="100"/>
      <c r="BM24" s="100"/>
      <c r="BN24" s="100"/>
    </row>
    <row r="25" ht="14.25" customHeight="1">
      <c r="A25" s="21" t="s">
        <v>131</v>
      </c>
      <c r="B25" s="22">
        <v>90.0</v>
      </c>
      <c r="C25" s="22">
        <v>2000.0</v>
      </c>
      <c r="D25" s="21">
        <v>0.5</v>
      </c>
      <c r="E25" s="23">
        <v>5.0</v>
      </c>
      <c r="F25" s="23">
        <v>4.2</v>
      </c>
      <c r="G25" s="23">
        <v>0.0</v>
      </c>
      <c r="H25" s="23">
        <v>0.0</v>
      </c>
      <c r="I25" s="23">
        <v>8.6</v>
      </c>
      <c r="J25" s="23">
        <v>1.9</v>
      </c>
      <c r="K25" s="23">
        <v>2.6</v>
      </c>
      <c r="L25" s="23">
        <v>0.0</v>
      </c>
      <c r="M25" s="23">
        <v>0.0</v>
      </c>
      <c r="N25" s="23">
        <v>0.8</v>
      </c>
      <c r="O25" s="23">
        <v>0.6</v>
      </c>
      <c r="P25" s="23">
        <v>0.1</v>
      </c>
      <c r="Q25" s="23">
        <v>0.1</v>
      </c>
      <c r="R25" s="23">
        <v>0.0</v>
      </c>
      <c r="S25" s="23">
        <v>0.5</v>
      </c>
      <c r="T25" s="23">
        <v>0.0</v>
      </c>
      <c r="U25" s="23">
        <v>0.0</v>
      </c>
      <c r="V25" s="23">
        <v>0.0</v>
      </c>
      <c r="W25" s="23">
        <v>0.0</v>
      </c>
      <c r="X25" s="23">
        <v>0.0</v>
      </c>
      <c r="Y25" s="23">
        <v>0.0</v>
      </c>
      <c r="Z25" s="23">
        <v>0.0</v>
      </c>
      <c r="AA25" s="23">
        <v>0.0</v>
      </c>
      <c r="AB25" s="23">
        <v>0.0</v>
      </c>
      <c r="AC25" s="23">
        <v>0.0</v>
      </c>
      <c r="AD25" s="23">
        <v>0.0</v>
      </c>
      <c r="AE25" s="23">
        <v>0.0</v>
      </c>
      <c r="AF25" s="23">
        <v>0.0</v>
      </c>
      <c r="AG25" s="23">
        <v>0.0</v>
      </c>
      <c r="AH25" s="23">
        <v>0.0</v>
      </c>
      <c r="AI25" s="23">
        <v>10.5</v>
      </c>
      <c r="AJ25" s="23">
        <v>0.0</v>
      </c>
      <c r="AK25" s="23">
        <v>0.0</v>
      </c>
      <c r="AL25" s="23">
        <v>1.9</v>
      </c>
      <c r="AM25" s="93">
        <v>32.7</v>
      </c>
      <c r="AN25" s="23">
        <v>1.3</v>
      </c>
      <c r="AO25" s="23">
        <v>0.6</v>
      </c>
      <c r="AP25" s="23">
        <v>0.0</v>
      </c>
      <c r="AQ25" s="23">
        <v>0.0</v>
      </c>
      <c r="AR25" s="23">
        <v>0.0</v>
      </c>
      <c r="AS25" s="23">
        <v>0.8</v>
      </c>
      <c r="AT25" s="31">
        <v>19.7</v>
      </c>
      <c r="AU25" s="23">
        <v>11.0</v>
      </c>
      <c r="AV25" s="23">
        <v>0.0</v>
      </c>
      <c r="AW25" s="23">
        <v>0.0</v>
      </c>
      <c r="AX25" s="23">
        <v>0.7</v>
      </c>
      <c r="AY25" s="23">
        <v>0.0</v>
      </c>
      <c r="AZ25" s="23">
        <v>0.0</v>
      </c>
      <c r="BA25" s="23">
        <v>0.0</v>
      </c>
      <c r="BB25" s="23">
        <v>0.0</v>
      </c>
      <c r="BC25" s="23">
        <v>1.0</v>
      </c>
      <c r="BD25" s="23">
        <v>0.0</v>
      </c>
      <c r="BE25" s="23">
        <v>3.7</v>
      </c>
      <c r="BF25" s="23">
        <v>0.0</v>
      </c>
      <c r="BG25" s="23">
        <v>1.5</v>
      </c>
      <c r="BH25" s="23">
        <v>0.0</v>
      </c>
      <c r="BI25" s="23">
        <v>0.0</v>
      </c>
      <c r="BJ25" s="23">
        <v>2.9</v>
      </c>
      <c r="BK25" s="23">
        <v>0.0</v>
      </c>
      <c r="BL25" s="23">
        <v>0.4</v>
      </c>
      <c r="BM25" s="23">
        <v>0.7</v>
      </c>
      <c r="BN25" s="23">
        <v>0.0</v>
      </c>
    </row>
    <row r="26" ht="14.25" customHeight="1">
      <c r="A26" s="21" t="s">
        <v>132</v>
      </c>
      <c r="B26" s="22" t="s">
        <v>133</v>
      </c>
      <c r="C26" s="22" t="s">
        <v>100</v>
      </c>
      <c r="D26" s="21">
        <v>0.0</v>
      </c>
      <c r="E26" s="23">
        <v>0.014</v>
      </c>
      <c r="F26" s="23">
        <v>0.065</v>
      </c>
      <c r="G26" s="23">
        <v>0.046</v>
      </c>
      <c r="H26" s="23">
        <v>0.045</v>
      </c>
      <c r="I26" s="23">
        <v>0.283</v>
      </c>
      <c r="J26" s="23">
        <v>0.047</v>
      </c>
      <c r="K26" s="23">
        <v>0.016</v>
      </c>
      <c r="L26" s="23">
        <v>0.005</v>
      </c>
      <c r="M26" s="23">
        <v>0.027</v>
      </c>
      <c r="N26" s="23">
        <v>0.032</v>
      </c>
      <c r="O26" s="23">
        <v>0.022</v>
      </c>
      <c r="P26" s="23">
        <v>0.036</v>
      </c>
      <c r="Q26" s="23">
        <v>0.042</v>
      </c>
      <c r="R26" s="23">
        <v>0.047</v>
      </c>
      <c r="S26" s="23">
        <v>0.029</v>
      </c>
      <c r="T26" s="23">
        <v>0.063</v>
      </c>
      <c r="U26" s="23">
        <v>0.02</v>
      </c>
      <c r="V26" s="23">
        <v>0.027</v>
      </c>
      <c r="W26" s="23">
        <v>0.03</v>
      </c>
      <c r="X26" s="23">
        <v>0.029</v>
      </c>
      <c r="Y26" s="23">
        <v>0.154</v>
      </c>
      <c r="Z26" s="23">
        <v>0.04</v>
      </c>
      <c r="AA26" s="23">
        <v>0.066</v>
      </c>
      <c r="AB26" s="23">
        <v>0.004</v>
      </c>
      <c r="AC26" s="23">
        <v>0.176</v>
      </c>
      <c r="AD26" s="23">
        <v>0.13</v>
      </c>
      <c r="AE26" s="23">
        <v>0.07</v>
      </c>
      <c r="AF26" s="23">
        <v>0.07</v>
      </c>
      <c r="AG26" s="23">
        <v>0.05</v>
      </c>
      <c r="AH26" s="23">
        <v>0.073</v>
      </c>
      <c r="AI26" s="23">
        <v>0.069</v>
      </c>
      <c r="AJ26" s="23">
        <v>0.101</v>
      </c>
      <c r="AK26" s="23">
        <v>0.16</v>
      </c>
      <c r="AL26" s="23">
        <v>0.194</v>
      </c>
      <c r="AM26" s="23">
        <v>0.035</v>
      </c>
      <c r="AN26" s="23">
        <v>0.022</v>
      </c>
      <c r="AO26" s="93">
        <v>0.659</v>
      </c>
      <c r="AP26" s="31">
        <v>0.439</v>
      </c>
      <c r="AQ26" s="31">
        <v>0.404</v>
      </c>
      <c r="AR26" s="93">
        <v>0.601</v>
      </c>
      <c r="AS26" s="23">
        <v>0.217</v>
      </c>
      <c r="AT26" s="23">
        <v>0.042</v>
      </c>
      <c r="AU26" s="23">
        <v>0.152</v>
      </c>
      <c r="AV26" s="31">
        <v>0.367</v>
      </c>
      <c r="AW26" s="26">
        <v>0.93</v>
      </c>
      <c r="AX26" s="23">
        <v>0.294</v>
      </c>
      <c r="AY26" s="23">
        <v>0.115</v>
      </c>
      <c r="AZ26" s="23">
        <v>0.057</v>
      </c>
      <c r="BA26" s="23">
        <v>0.278</v>
      </c>
      <c r="BB26" s="23">
        <v>0.134</v>
      </c>
      <c r="BC26" s="23">
        <v>0.038</v>
      </c>
      <c r="BD26" s="23">
        <v>0.017</v>
      </c>
      <c r="BE26" s="23">
        <v>0.34</v>
      </c>
      <c r="BF26" s="23">
        <v>0.08</v>
      </c>
      <c r="BG26" s="23">
        <v>0.1</v>
      </c>
      <c r="BH26" s="23">
        <v>0.02</v>
      </c>
      <c r="BI26" s="23">
        <v>0.078</v>
      </c>
      <c r="BJ26" s="23">
        <v>0.143</v>
      </c>
      <c r="BK26" s="23">
        <v>0.08</v>
      </c>
      <c r="BL26" s="23">
        <v>0.159</v>
      </c>
      <c r="BM26" s="23">
        <v>0.112</v>
      </c>
      <c r="BN26" s="23">
        <v>0.036</v>
      </c>
    </row>
    <row r="27" ht="14.25" customHeight="1">
      <c r="A27" s="21" t="s">
        <v>134</v>
      </c>
      <c r="B27" s="22" t="s">
        <v>135</v>
      </c>
      <c r="C27" s="22" t="s">
        <v>100</v>
      </c>
      <c r="D27" s="21">
        <v>0.038</v>
      </c>
      <c r="E27" s="23">
        <v>0.036</v>
      </c>
      <c r="F27" s="23">
        <v>0.355</v>
      </c>
      <c r="G27" s="23">
        <v>0.169</v>
      </c>
      <c r="H27" s="23">
        <v>0.182</v>
      </c>
      <c r="I27" s="93">
        <v>1.205</v>
      </c>
      <c r="J27" s="23">
        <v>0.316</v>
      </c>
      <c r="K27" s="23">
        <v>0.405</v>
      </c>
      <c r="L27" s="23">
        <v>0.034</v>
      </c>
      <c r="M27" s="23">
        <v>0.163</v>
      </c>
      <c r="N27" s="23">
        <v>0.148</v>
      </c>
      <c r="O27" s="23">
        <v>0.11</v>
      </c>
      <c r="P27" s="23">
        <v>0.158</v>
      </c>
      <c r="Q27" s="23">
        <v>0.14</v>
      </c>
      <c r="R27" s="23">
        <v>0.172</v>
      </c>
      <c r="S27" s="23">
        <v>0.142</v>
      </c>
      <c r="T27" s="23">
        <v>0.296</v>
      </c>
      <c r="U27" s="23">
        <v>0.125</v>
      </c>
      <c r="V27" s="23">
        <v>0.375</v>
      </c>
      <c r="W27" s="23">
        <v>0.283</v>
      </c>
      <c r="X27" s="23">
        <v>0.382</v>
      </c>
      <c r="Y27" s="31">
        <v>0.844</v>
      </c>
      <c r="Z27" s="23">
        <v>0.457</v>
      </c>
      <c r="AA27" s="23">
        <v>0.513</v>
      </c>
      <c r="AB27" s="23">
        <v>0.439</v>
      </c>
      <c r="AC27" s="31">
        <v>0.528</v>
      </c>
      <c r="AD27" s="31">
        <v>0.79</v>
      </c>
      <c r="AE27" s="23">
        <v>0.24</v>
      </c>
      <c r="AF27" s="23">
        <v>0.2</v>
      </c>
      <c r="AG27" s="23">
        <v>0.15</v>
      </c>
      <c r="AH27" s="23">
        <v>0.13</v>
      </c>
      <c r="AI27" s="23">
        <v>0.217</v>
      </c>
      <c r="AJ27" s="93">
        <v>1.21</v>
      </c>
      <c r="AK27" s="26">
        <v>2.97</v>
      </c>
      <c r="AL27" s="26">
        <v>3.425</v>
      </c>
      <c r="AM27" s="23">
        <v>0.143</v>
      </c>
      <c r="AN27" s="23">
        <v>0.294</v>
      </c>
      <c r="AO27" s="23">
        <v>0.267</v>
      </c>
      <c r="AP27" s="23">
        <v>0.322</v>
      </c>
      <c r="AQ27" s="23">
        <v>0.264</v>
      </c>
      <c r="AR27" s="23">
        <v>0.221</v>
      </c>
      <c r="AS27" s="23">
        <v>0.185</v>
      </c>
      <c r="AT27" s="23">
        <v>0.132</v>
      </c>
      <c r="AU27" s="23">
        <v>0.15</v>
      </c>
      <c r="AV27" s="23">
        <v>0.357</v>
      </c>
      <c r="AW27" s="23">
        <v>0.33</v>
      </c>
      <c r="AX27" s="23">
        <v>0.197</v>
      </c>
      <c r="AY27" s="23">
        <v>0.189</v>
      </c>
      <c r="AZ27" s="23">
        <v>0.177</v>
      </c>
      <c r="BA27" s="23">
        <v>0.306</v>
      </c>
      <c r="BB27" s="23">
        <v>0.137</v>
      </c>
      <c r="BC27" s="23">
        <v>0.122</v>
      </c>
      <c r="BD27" s="23">
        <v>0.079</v>
      </c>
      <c r="BE27" s="23">
        <v>0.135</v>
      </c>
      <c r="BF27" s="23">
        <v>0.227</v>
      </c>
      <c r="BG27" s="23">
        <v>0.113</v>
      </c>
      <c r="BH27" s="23">
        <v>0.16</v>
      </c>
      <c r="BI27" s="23">
        <v>0.363</v>
      </c>
      <c r="BJ27" s="23">
        <v>0.107</v>
      </c>
      <c r="BK27" s="23">
        <v>0.227</v>
      </c>
      <c r="BL27" s="31">
        <v>0.412</v>
      </c>
      <c r="BM27" s="23">
        <v>0.299</v>
      </c>
      <c r="BN27" s="23">
        <v>0.139</v>
      </c>
    </row>
    <row r="28" ht="14.25" customHeight="1">
      <c r="A28" s="21" t="s">
        <v>136</v>
      </c>
      <c r="B28" s="22" t="s">
        <v>137</v>
      </c>
      <c r="C28" s="22" t="s">
        <v>138</v>
      </c>
      <c r="D28" s="21">
        <v>0.121</v>
      </c>
      <c r="E28" s="23">
        <v>0.177</v>
      </c>
      <c r="F28" s="23">
        <v>0.417</v>
      </c>
      <c r="G28" s="23">
        <v>0.089</v>
      </c>
      <c r="H28" s="23">
        <v>0.094</v>
      </c>
      <c r="I28" s="23">
        <v>0.646</v>
      </c>
      <c r="J28" s="23">
        <v>0.194</v>
      </c>
      <c r="K28" s="23">
        <v>0.21</v>
      </c>
      <c r="L28" s="23">
        <v>0.042</v>
      </c>
      <c r="M28" s="23">
        <v>0.099</v>
      </c>
      <c r="N28" s="23">
        <v>0.057</v>
      </c>
      <c r="O28" s="23">
        <v>0.039</v>
      </c>
      <c r="P28" s="23">
        <v>0.074</v>
      </c>
      <c r="Q28" s="23">
        <v>0.079</v>
      </c>
      <c r="R28" s="23">
        <v>0.09</v>
      </c>
      <c r="S28" s="23">
        <v>0.075</v>
      </c>
      <c r="T28" s="23">
        <v>0.092</v>
      </c>
      <c r="U28" s="23">
        <v>0.145</v>
      </c>
      <c r="V28" s="23">
        <v>0.08</v>
      </c>
      <c r="W28" s="23">
        <v>0.104</v>
      </c>
      <c r="X28" s="23">
        <v>1.016</v>
      </c>
      <c r="Y28" s="23">
        <v>0.991</v>
      </c>
      <c r="Z28" s="23">
        <v>0.075</v>
      </c>
      <c r="AA28" s="23">
        <v>0.064</v>
      </c>
      <c r="AB28" s="23">
        <v>0.105</v>
      </c>
      <c r="AC28" s="23">
        <v>0.024</v>
      </c>
      <c r="AD28" s="23">
        <v>0.15</v>
      </c>
      <c r="AE28" s="23">
        <v>2.43</v>
      </c>
      <c r="AF28" s="23">
        <v>3.37</v>
      </c>
      <c r="AG28" s="23">
        <v>2.452</v>
      </c>
      <c r="AH28" s="31">
        <v>7.176</v>
      </c>
      <c r="AI28" s="23">
        <v>3.62</v>
      </c>
      <c r="AJ28" s="31">
        <v>6.68</v>
      </c>
      <c r="AK28" s="23">
        <v>3.92</v>
      </c>
      <c r="AL28" s="26">
        <v>17.525</v>
      </c>
      <c r="AM28" s="23">
        <v>2.492</v>
      </c>
      <c r="AN28" s="23">
        <v>3.49</v>
      </c>
      <c r="AO28" s="23">
        <v>4.588</v>
      </c>
      <c r="AP28" s="23">
        <v>5.308</v>
      </c>
      <c r="AQ28" s="93">
        <v>11.099</v>
      </c>
      <c r="AR28" s="23">
        <v>4.461</v>
      </c>
      <c r="AS28" s="23">
        <v>2.521</v>
      </c>
      <c r="AT28" s="23">
        <v>3.32</v>
      </c>
      <c r="AU28" s="23">
        <v>3.31</v>
      </c>
      <c r="AV28" s="31">
        <v>6.053</v>
      </c>
      <c r="AW28" s="31">
        <v>5.6</v>
      </c>
      <c r="AX28" s="31">
        <v>6.258</v>
      </c>
      <c r="AY28" s="31">
        <v>7.043</v>
      </c>
      <c r="AZ28" s="23">
        <v>5.086</v>
      </c>
      <c r="BA28" s="93">
        <v>10.54</v>
      </c>
      <c r="BB28" s="26">
        <v>22.07</v>
      </c>
      <c r="BC28" s="26">
        <v>18.756</v>
      </c>
      <c r="BD28" s="93">
        <v>11.698</v>
      </c>
      <c r="BE28" s="31">
        <v>8.045</v>
      </c>
      <c r="BF28" s="23">
        <v>5.245</v>
      </c>
      <c r="BG28" s="31">
        <v>7.393</v>
      </c>
      <c r="BH28" s="23">
        <v>7.0</v>
      </c>
      <c r="BI28" s="26">
        <v>19.903</v>
      </c>
      <c r="BJ28" s="31">
        <v>6.646</v>
      </c>
      <c r="BK28" s="23">
        <v>5.245</v>
      </c>
      <c r="BL28" s="31">
        <v>6.85</v>
      </c>
      <c r="BM28" s="23">
        <v>4.124</v>
      </c>
      <c r="BN28" s="23">
        <v>3.3</v>
      </c>
    </row>
    <row r="29" ht="14.25" customHeight="1">
      <c r="A29" s="21" t="s">
        <v>139</v>
      </c>
      <c r="B29" s="22">
        <v>1.3</v>
      </c>
      <c r="C29" s="22" t="s">
        <v>140</v>
      </c>
      <c r="D29" s="21">
        <v>0.024</v>
      </c>
      <c r="E29" s="23">
        <v>0.011</v>
      </c>
      <c r="F29" s="23">
        <v>0.06</v>
      </c>
      <c r="G29" s="23">
        <v>0.036</v>
      </c>
      <c r="H29" s="23">
        <v>0.037</v>
      </c>
      <c r="I29" s="23">
        <v>0.302</v>
      </c>
      <c r="J29" s="23">
        <v>0.05</v>
      </c>
      <c r="K29" s="23">
        <v>0.016</v>
      </c>
      <c r="L29" s="23">
        <v>0.003</v>
      </c>
      <c r="M29" s="23">
        <v>0.046</v>
      </c>
      <c r="N29" s="23">
        <v>0.032</v>
      </c>
      <c r="O29" s="23">
        <v>0.026</v>
      </c>
      <c r="P29" s="23">
        <v>0.031</v>
      </c>
      <c r="Q29" s="23">
        <v>0.042</v>
      </c>
      <c r="R29" s="23">
        <v>0.036</v>
      </c>
      <c r="S29" s="23">
        <v>0.032</v>
      </c>
      <c r="T29" s="23">
        <v>0.083</v>
      </c>
      <c r="U29" s="23">
        <v>0.035</v>
      </c>
      <c r="V29" s="23">
        <v>0.074</v>
      </c>
      <c r="W29" s="23">
        <v>0.037</v>
      </c>
      <c r="X29" s="23">
        <v>0.166</v>
      </c>
      <c r="Y29" s="23">
        <v>0.424</v>
      </c>
      <c r="Z29" s="23">
        <v>0.17</v>
      </c>
      <c r="AA29" s="23">
        <v>0.121</v>
      </c>
      <c r="AB29" s="23">
        <v>0.005</v>
      </c>
      <c r="AC29" s="23">
        <v>0.35</v>
      </c>
      <c r="AD29" s="23">
        <v>0.15</v>
      </c>
      <c r="AE29" s="23">
        <v>0.26</v>
      </c>
      <c r="AF29" s="23">
        <v>0.27</v>
      </c>
      <c r="AG29" s="23">
        <v>0.22</v>
      </c>
      <c r="AH29" s="31">
        <v>0.564</v>
      </c>
      <c r="AI29" s="23">
        <v>0.143</v>
      </c>
      <c r="AJ29" s="23">
        <v>0.245</v>
      </c>
      <c r="AK29" s="23">
        <v>0.391</v>
      </c>
      <c r="AL29" s="93">
        <v>1.017</v>
      </c>
      <c r="AM29" s="23">
        <v>0.02</v>
      </c>
      <c r="AN29" s="23">
        <v>0.155</v>
      </c>
      <c r="AO29" s="23">
        <v>0.387</v>
      </c>
      <c r="AP29" s="23">
        <v>0.346</v>
      </c>
      <c r="AQ29" s="23">
        <v>0.349</v>
      </c>
      <c r="AR29" s="23">
        <v>0.38</v>
      </c>
      <c r="AS29" s="23">
        <v>0.297</v>
      </c>
      <c r="AT29" s="23">
        <v>0.18</v>
      </c>
      <c r="AU29" s="23">
        <v>0.388</v>
      </c>
      <c r="AV29" s="31">
        <v>0.459</v>
      </c>
      <c r="AW29" s="31">
        <v>0.55</v>
      </c>
      <c r="AX29" s="23">
        <v>0.327</v>
      </c>
      <c r="AY29" s="23">
        <v>0.31</v>
      </c>
      <c r="AZ29" s="31">
        <v>0.41</v>
      </c>
      <c r="BA29" s="31">
        <v>0.525</v>
      </c>
      <c r="BB29" s="93">
        <v>1.038</v>
      </c>
      <c r="BC29" s="93">
        <v>0.981</v>
      </c>
      <c r="BD29" s="23">
        <v>0.43</v>
      </c>
      <c r="BE29" s="31">
        <v>0.647</v>
      </c>
      <c r="BF29" s="23">
        <v>0.167</v>
      </c>
      <c r="BG29" s="31">
        <v>0.568</v>
      </c>
      <c r="BH29" s="23">
        <v>0.38</v>
      </c>
      <c r="BI29" s="23">
        <v>0.203</v>
      </c>
      <c r="BJ29" s="23">
        <v>0.386</v>
      </c>
      <c r="BK29" s="23">
        <v>0.167</v>
      </c>
      <c r="BL29" s="31">
        <v>0.46</v>
      </c>
      <c r="BM29" s="23">
        <v>0.348</v>
      </c>
      <c r="BN29" s="23">
        <v>0.17</v>
      </c>
    </row>
    <row r="30" ht="14.25" customHeight="1">
      <c r="A30" s="23" t="s">
        <v>141</v>
      </c>
      <c r="B30" s="22" t="s">
        <v>142</v>
      </c>
      <c r="C30" s="22">
        <v>1000.0</v>
      </c>
      <c r="D30" s="21">
        <v>2.0</v>
      </c>
      <c r="E30" s="23">
        <v>5.0</v>
      </c>
      <c r="F30" s="23">
        <v>7.0</v>
      </c>
      <c r="G30" s="23">
        <v>5.0</v>
      </c>
      <c r="H30" s="23">
        <v>5.0</v>
      </c>
      <c r="I30" s="23">
        <v>37.0</v>
      </c>
      <c r="J30" s="23">
        <v>8.0</v>
      </c>
      <c r="K30" s="23">
        <v>11.0</v>
      </c>
      <c r="L30" s="23">
        <v>3.0</v>
      </c>
      <c r="M30" s="23">
        <v>12.0</v>
      </c>
      <c r="N30" s="23">
        <v>2.0</v>
      </c>
      <c r="O30" s="23">
        <v>4.0</v>
      </c>
      <c r="P30" s="23">
        <v>1.0</v>
      </c>
      <c r="Q30" s="23">
        <v>2.0</v>
      </c>
      <c r="R30" s="23">
        <v>5.0</v>
      </c>
      <c r="S30" s="23">
        <v>7.0</v>
      </c>
      <c r="T30" s="23">
        <v>6.0</v>
      </c>
      <c r="U30" s="23">
        <v>11.0</v>
      </c>
      <c r="V30" s="23">
        <v>18.0</v>
      </c>
      <c r="W30" s="23">
        <v>7.0</v>
      </c>
      <c r="X30" s="23">
        <v>36.0</v>
      </c>
      <c r="Y30" s="23">
        <v>32.0</v>
      </c>
      <c r="Z30" s="23">
        <v>47.0</v>
      </c>
      <c r="AA30" s="23">
        <v>44.0</v>
      </c>
      <c r="AB30" s="23">
        <v>4.0</v>
      </c>
      <c r="AC30" s="31">
        <v>146.0</v>
      </c>
      <c r="AD30" s="23">
        <v>66.0</v>
      </c>
      <c r="AE30" s="23">
        <v>5.0</v>
      </c>
      <c r="AF30" s="23">
        <v>7.0</v>
      </c>
      <c r="AG30" s="23">
        <v>5.0</v>
      </c>
      <c r="AH30" s="23">
        <v>8.0</v>
      </c>
      <c r="AI30" s="23">
        <v>5.0</v>
      </c>
      <c r="AJ30" s="23">
        <v>5.0</v>
      </c>
      <c r="AK30" s="23">
        <v>83.0</v>
      </c>
      <c r="AL30" s="93">
        <v>253.0</v>
      </c>
      <c r="AM30" s="23">
        <v>8.0</v>
      </c>
      <c r="AN30" s="23">
        <v>7.0</v>
      </c>
      <c r="AO30" s="23">
        <v>4.0</v>
      </c>
      <c r="AP30" s="23">
        <v>5.0</v>
      </c>
      <c r="AQ30" s="23">
        <v>2.0</v>
      </c>
      <c r="AR30" s="23">
        <v>3.0</v>
      </c>
      <c r="AS30" s="23">
        <v>6.0</v>
      </c>
      <c r="AT30" s="23">
        <v>9.0</v>
      </c>
      <c r="AU30" s="23">
        <v>4.0</v>
      </c>
      <c r="AV30" s="23">
        <v>3.0</v>
      </c>
      <c r="AW30" s="23">
        <v>2.0</v>
      </c>
      <c r="AX30" s="23">
        <v>3.0</v>
      </c>
      <c r="AY30" s="23">
        <v>25.0</v>
      </c>
      <c r="AZ30" s="23">
        <v>7.0</v>
      </c>
      <c r="BA30" s="23">
        <v>2.0</v>
      </c>
      <c r="BB30" s="23">
        <v>2.0</v>
      </c>
      <c r="BC30" s="23">
        <v>10.0</v>
      </c>
      <c r="BD30" s="23">
        <v>5.0</v>
      </c>
      <c r="BE30" s="23">
        <v>34.0</v>
      </c>
      <c r="BF30" s="23">
        <v>10.0</v>
      </c>
      <c r="BG30" s="23">
        <v>14.0</v>
      </c>
      <c r="BH30" s="23">
        <v>20.0</v>
      </c>
      <c r="BI30" s="23">
        <v>13.0</v>
      </c>
      <c r="BJ30" s="23">
        <v>12.0</v>
      </c>
      <c r="BK30" s="23">
        <v>10.0</v>
      </c>
      <c r="BL30" s="23">
        <v>2.0</v>
      </c>
      <c r="BM30" s="23">
        <v>12.0</v>
      </c>
      <c r="BN30" s="23">
        <v>2.0</v>
      </c>
    </row>
    <row r="31" ht="14.25" customHeight="1">
      <c r="A31" s="21" t="s">
        <v>143</v>
      </c>
      <c r="B31" s="22" t="s">
        <v>144</v>
      </c>
      <c r="C31" s="22" t="s">
        <v>100</v>
      </c>
      <c r="D31" s="21">
        <v>0.0</v>
      </c>
      <c r="E31" s="23">
        <v>0.05</v>
      </c>
      <c r="F31" s="31">
        <v>0.71</v>
      </c>
      <c r="G31" s="23">
        <v>0.45</v>
      </c>
      <c r="H31" s="23">
        <v>0.5</v>
      </c>
      <c r="I31" s="51">
        <v>3.25</v>
      </c>
      <c r="J31" s="23">
        <v>0.16</v>
      </c>
      <c r="K31" s="23">
        <v>0.31</v>
      </c>
      <c r="L31" s="23">
        <v>0.17</v>
      </c>
      <c r="M31" s="23">
        <v>0.43</v>
      </c>
      <c r="N31" s="23">
        <v>0.22</v>
      </c>
      <c r="O31" s="23">
        <v>0.18</v>
      </c>
      <c r="P31" s="23">
        <v>0.28</v>
      </c>
      <c r="Q31" s="23">
        <v>0.18</v>
      </c>
      <c r="R31" s="23">
        <v>0.46</v>
      </c>
      <c r="S31" s="23">
        <v>0.37</v>
      </c>
      <c r="T31" s="51">
        <v>3.34</v>
      </c>
      <c r="U31" s="23">
        <v>0.25</v>
      </c>
      <c r="V31" s="31">
        <v>0.83</v>
      </c>
      <c r="W31" s="26">
        <v>2.28</v>
      </c>
      <c r="X31" s="93">
        <v>1.22</v>
      </c>
      <c r="Y31" s="93">
        <v>1.69</v>
      </c>
      <c r="Z31" s="31">
        <v>0.89</v>
      </c>
      <c r="AA31" s="93">
        <v>1.11</v>
      </c>
      <c r="AB31" s="23">
        <v>0.09</v>
      </c>
      <c r="AC31" s="26">
        <v>1.95</v>
      </c>
      <c r="AD31" s="93">
        <v>1.58</v>
      </c>
      <c r="AE31" s="26">
        <v>2.29</v>
      </c>
      <c r="AF31" s="51">
        <v>2.45</v>
      </c>
      <c r="AG31" s="51">
        <v>2.62</v>
      </c>
      <c r="AH31" s="93">
        <v>1.59</v>
      </c>
      <c r="AI31" s="51">
        <v>10.1</v>
      </c>
      <c r="AJ31" s="51">
        <v>10.8</v>
      </c>
      <c r="AK31" s="51">
        <v>24.9</v>
      </c>
      <c r="AL31" s="51">
        <v>70.58</v>
      </c>
      <c r="AM31" s="51">
        <v>2.59</v>
      </c>
      <c r="AN31" s="51">
        <v>3.13</v>
      </c>
      <c r="AO31" s="23">
        <v>0.55</v>
      </c>
      <c r="AP31" s="31">
        <v>0.74</v>
      </c>
      <c r="AQ31" s="93">
        <v>1.23</v>
      </c>
      <c r="AR31" s="23">
        <v>0.64</v>
      </c>
      <c r="AS31" s="93">
        <v>1.82</v>
      </c>
      <c r="AT31" s="31">
        <v>0.79</v>
      </c>
      <c r="AU31" s="93">
        <v>1.08</v>
      </c>
      <c r="AV31" s="93">
        <v>1.52</v>
      </c>
      <c r="AW31" s="51">
        <v>2.8</v>
      </c>
      <c r="AX31" s="93">
        <v>1.18</v>
      </c>
      <c r="AY31" s="23">
        <v>0.28</v>
      </c>
      <c r="AZ31" s="23">
        <v>0.35</v>
      </c>
      <c r="BA31" s="51">
        <v>10.88</v>
      </c>
      <c r="BB31" s="26">
        <v>2.35</v>
      </c>
      <c r="BC31" s="26">
        <v>2.19</v>
      </c>
      <c r="BD31" s="26">
        <v>2.2</v>
      </c>
      <c r="BE31" s="26">
        <v>2.8</v>
      </c>
      <c r="BF31" s="26">
        <v>8.94</v>
      </c>
      <c r="BG31" s="51">
        <v>3.17</v>
      </c>
      <c r="BH31" s="51">
        <v>4.4</v>
      </c>
      <c r="BI31" s="31">
        <v>0.88</v>
      </c>
      <c r="BJ31" s="51">
        <v>4.11</v>
      </c>
      <c r="BK31" s="51">
        <v>8.94</v>
      </c>
      <c r="BL31" s="51">
        <v>19.0</v>
      </c>
      <c r="BM31" s="51">
        <v>13.14</v>
      </c>
      <c r="BN31" s="51">
        <v>4.27</v>
      </c>
    </row>
    <row r="32" ht="14.25" customHeight="1">
      <c r="A32" s="21" t="s">
        <v>145</v>
      </c>
      <c r="B32" s="22">
        <v>900.0</v>
      </c>
      <c r="C32" s="22">
        <v>3000.0</v>
      </c>
      <c r="D32" s="21">
        <v>0.0</v>
      </c>
      <c r="E32" s="23">
        <v>61.0</v>
      </c>
      <c r="F32" s="23">
        <v>44.0</v>
      </c>
      <c r="G32" s="23">
        <v>46.0</v>
      </c>
      <c r="H32" s="23">
        <v>2.0</v>
      </c>
      <c r="I32" s="23">
        <v>258.0</v>
      </c>
      <c r="J32" s="23">
        <v>65.0</v>
      </c>
      <c r="K32" s="23">
        <v>74.0</v>
      </c>
      <c r="L32" s="93">
        <v>684.0</v>
      </c>
      <c r="M32" s="23">
        <v>37.0</v>
      </c>
      <c r="N32" s="23">
        <v>181.0</v>
      </c>
      <c r="O32" s="31">
        <v>411.0</v>
      </c>
      <c r="P32" s="23">
        <v>3.0</v>
      </c>
      <c r="Q32" s="23">
        <v>2.0</v>
      </c>
      <c r="R32" s="23">
        <v>47.0</v>
      </c>
      <c r="S32" s="23">
        <v>27.0</v>
      </c>
      <c r="T32" s="23">
        <v>220.0</v>
      </c>
      <c r="U32" s="31">
        <v>366.0</v>
      </c>
      <c r="V32" s="23">
        <v>265.0</v>
      </c>
      <c r="W32" s="23">
        <v>179.0</v>
      </c>
      <c r="X32" s="23">
        <v>198.0</v>
      </c>
      <c r="Y32" s="23">
        <v>125.0</v>
      </c>
      <c r="Z32" s="23">
        <v>160.0</v>
      </c>
      <c r="AA32" s="23">
        <v>149.0</v>
      </c>
      <c r="AB32" s="23">
        <v>0.0</v>
      </c>
      <c r="AC32" s="23">
        <v>381.0</v>
      </c>
      <c r="AD32" s="23">
        <v>156.0</v>
      </c>
      <c r="AE32" s="23">
        <v>0.0</v>
      </c>
      <c r="AF32" s="23">
        <v>0.0</v>
      </c>
      <c r="AG32" s="23">
        <v>0.0</v>
      </c>
      <c r="AH32" s="23">
        <v>0.0</v>
      </c>
      <c r="AI32" s="23">
        <v>6.0</v>
      </c>
      <c r="AJ32" s="23">
        <v>0.0</v>
      </c>
      <c r="AK32" s="23">
        <v>0.0</v>
      </c>
      <c r="AL32" s="51">
        <v>9442.0</v>
      </c>
      <c r="AM32" s="23">
        <v>12.0</v>
      </c>
      <c r="AN32" s="23">
        <v>0.0</v>
      </c>
      <c r="AO32" s="23">
        <v>2.0</v>
      </c>
      <c r="AP32" s="23">
        <v>4.0</v>
      </c>
      <c r="AQ32" s="23">
        <v>11.0</v>
      </c>
      <c r="AR32" s="23">
        <v>0.0</v>
      </c>
      <c r="AS32" s="23">
        <v>25.0</v>
      </c>
      <c r="AT32" s="23">
        <v>13.0</v>
      </c>
      <c r="AU32" s="23">
        <v>0.0</v>
      </c>
      <c r="AV32" s="23">
        <v>0.0</v>
      </c>
      <c r="AW32" s="23">
        <v>0.0</v>
      </c>
      <c r="AX32" s="23">
        <v>12.0</v>
      </c>
      <c r="AY32" s="23">
        <v>28.0</v>
      </c>
      <c r="AZ32" s="23">
        <v>0.0</v>
      </c>
      <c r="BA32" s="93">
        <v>757.0</v>
      </c>
      <c r="BB32" s="23">
        <v>22.0</v>
      </c>
      <c r="BC32" s="23">
        <v>18.0</v>
      </c>
      <c r="BD32" s="23">
        <v>5.0</v>
      </c>
      <c r="BE32" s="23">
        <v>16.0</v>
      </c>
      <c r="BF32" s="23">
        <v>32.0</v>
      </c>
      <c r="BG32" s="23">
        <v>59.0</v>
      </c>
      <c r="BH32" s="23">
        <v>18.0</v>
      </c>
      <c r="BI32" s="23">
        <v>12.0</v>
      </c>
      <c r="BJ32" s="23">
        <v>100.0</v>
      </c>
      <c r="BK32" s="23">
        <v>32.0</v>
      </c>
      <c r="BL32" s="23">
        <v>54.0</v>
      </c>
      <c r="BM32" s="23">
        <v>36.0</v>
      </c>
      <c r="BN32" s="23">
        <v>258.0</v>
      </c>
    </row>
    <row r="33" ht="14.25" customHeight="1">
      <c r="A33" s="28" t="s">
        <v>146</v>
      </c>
      <c r="B33" s="29"/>
      <c r="C33" s="29"/>
      <c r="D33" s="21">
        <v>0.0</v>
      </c>
      <c r="E33" s="28">
        <v>212.0</v>
      </c>
      <c r="F33" s="28">
        <v>147.0</v>
      </c>
      <c r="G33" s="28">
        <v>162.0</v>
      </c>
      <c r="H33" s="28">
        <v>15.0</v>
      </c>
      <c r="I33" s="28">
        <v>934.0</v>
      </c>
      <c r="J33" s="28">
        <v>239.0</v>
      </c>
      <c r="K33" s="28">
        <v>267.0</v>
      </c>
      <c r="L33" s="28">
        <v>2499.0</v>
      </c>
      <c r="M33" s="28">
        <v>140.0</v>
      </c>
      <c r="N33" s="28">
        <v>656.0</v>
      </c>
      <c r="O33" s="28">
        <v>1470.0</v>
      </c>
      <c r="P33" s="28">
        <v>12.0</v>
      </c>
      <c r="Q33" s="28">
        <v>7.0</v>
      </c>
      <c r="R33" s="28">
        <v>165.0</v>
      </c>
      <c r="S33" s="28">
        <v>99.0</v>
      </c>
      <c r="T33" s="28">
        <v>830.0</v>
      </c>
      <c r="U33" s="28">
        <v>1343.0</v>
      </c>
      <c r="V33" s="28">
        <v>1002.0</v>
      </c>
      <c r="W33" s="28">
        <v>676.0</v>
      </c>
      <c r="X33" s="28">
        <v>763.0</v>
      </c>
      <c r="Y33" s="28">
        <v>422.0</v>
      </c>
      <c r="Z33" s="28">
        <v>540.0</v>
      </c>
      <c r="AA33" s="28">
        <v>520.0</v>
      </c>
      <c r="AB33" s="28">
        <v>0.0</v>
      </c>
      <c r="AC33" s="28">
        <v>1442.0</v>
      </c>
      <c r="AD33" s="28">
        <v>543.0</v>
      </c>
      <c r="AE33" s="28">
        <v>0.0</v>
      </c>
      <c r="AF33" s="28">
        <v>0.0</v>
      </c>
      <c r="AG33" s="28">
        <v>0.0</v>
      </c>
      <c r="AH33" s="28">
        <v>0.0</v>
      </c>
      <c r="AI33" s="28">
        <v>117.0</v>
      </c>
      <c r="AJ33" s="28">
        <v>0.0</v>
      </c>
      <c r="AK33" s="28">
        <v>0.0</v>
      </c>
      <c r="AL33" s="28">
        <v>31714.0</v>
      </c>
      <c r="AM33" s="28">
        <v>39.0</v>
      </c>
      <c r="AN33" s="28">
        <v>0.0</v>
      </c>
      <c r="AO33" s="28">
        <v>7.0</v>
      </c>
      <c r="AP33" s="28">
        <v>13.0</v>
      </c>
      <c r="AQ33" s="28">
        <v>37.0</v>
      </c>
      <c r="AR33" s="28">
        <v>0.0</v>
      </c>
      <c r="AS33" s="28">
        <v>84.0</v>
      </c>
      <c r="AT33" s="28">
        <v>75.0</v>
      </c>
      <c r="AU33" s="28">
        <v>0.0</v>
      </c>
      <c r="AV33" s="28">
        <v>0.0</v>
      </c>
      <c r="AW33" s="28">
        <v>0.0</v>
      </c>
      <c r="AX33" s="28">
        <v>41.0</v>
      </c>
      <c r="AY33" s="28">
        <v>93.0</v>
      </c>
      <c r="AZ33" s="28">
        <v>0.0</v>
      </c>
      <c r="BA33" s="28">
        <v>2520.0</v>
      </c>
      <c r="BB33" s="28">
        <v>65.0</v>
      </c>
      <c r="BC33" s="28">
        <v>60.0</v>
      </c>
      <c r="BD33" s="28">
        <v>16.0</v>
      </c>
      <c r="BE33" s="28">
        <v>50.0</v>
      </c>
      <c r="BF33" s="28">
        <v>108.0</v>
      </c>
      <c r="BG33" s="28">
        <v>197.0</v>
      </c>
      <c r="BH33" s="28">
        <v>60.0</v>
      </c>
      <c r="BI33" s="28">
        <v>40.0</v>
      </c>
      <c r="BJ33" s="28">
        <v>301.0</v>
      </c>
      <c r="BK33" s="28">
        <v>108.0</v>
      </c>
      <c r="BL33" s="28">
        <v>180.0</v>
      </c>
      <c r="BM33" s="28">
        <v>120.0</v>
      </c>
      <c r="BN33" s="28">
        <v>860.0</v>
      </c>
    </row>
    <row r="34" ht="14.25" customHeight="1">
      <c r="A34" s="21" t="s">
        <v>147</v>
      </c>
      <c r="B34" s="22" t="s">
        <v>148</v>
      </c>
      <c r="C34" s="22">
        <v>1000.0</v>
      </c>
      <c r="D34" s="21">
        <v>0.0</v>
      </c>
      <c r="E34" s="23">
        <v>0.08</v>
      </c>
      <c r="G34" s="23">
        <v>0.07</v>
      </c>
      <c r="H34" s="23">
        <v>0.01</v>
      </c>
      <c r="I34" s="23">
        <v>0.58</v>
      </c>
      <c r="J34" s="23">
        <v>0.16</v>
      </c>
      <c r="K34" s="23">
        <v>0.2</v>
      </c>
      <c r="L34" s="23">
        <v>2.32</v>
      </c>
      <c r="M34" s="23">
        <v>0.08</v>
      </c>
      <c r="N34" s="23">
        <v>0.55</v>
      </c>
      <c r="O34" s="23">
        <v>1.06</v>
      </c>
      <c r="P34" s="23">
        <v>0.0</v>
      </c>
      <c r="Q34" s="23">
        <v>0.0</v>
      </c>
      <c r="R34" s="23">
        <v>0.07</v>
      </c>
      <c r="S34" s="23">
        <v>0.06</v>
      </c>
      <c r="T34" s="23">
        <v>0.38</v>
      </c>
      <c r="U34" s="23">
        <v>0.29</v>
      </c>
      <c r="V34" s="23">
        <v>0.29</v>
      </c>
      <c r="W34" s="23">
        <v>0.19</v>
      </c>
      <c r="X34" s="23">
        <v>0.25</v>
      </c>
      <c r="Y34" s="23">
        <v>0.18</v>
      </c>
      <c r="Z34" s="23">
        <v>1.05</v>
      </c>
      <c r="AA34" s="23">
        <v>1.03</v>
      </c>
      <c r="AB34" s="23">
        <v>0.0</v>
      </c>
      <c r="AC34" s="23">
        <v>2.58</v>
      </c>
      <c r="AD34" s="23">
        <v>1.08</v>
      </c>
      <c r="AE34" s="23">
        <v>0.2</v>
      </c>
      <c r="AF34" s="23">
        <v>0.19</v>
      </c>
      <c r="AG34" s="23">
        <v>0.29</v>
      </c>
      <c r="AH34" s="23">
        <v>0.44</v>
      </c>
      <c r="AI34" s="23">
        <v>1.67</v>
      </c>
      <c r="AJ34" s="23">
        <v>0.29</v>
      </c>
      <c r="AK34" s="23">
        <v>0.08</v>
      </c>
      <c r="AL34" s="23">
        <v>0.51</v>
      </c>
      <c r="AN34" s="23">
        <v>0.3</v>
      </c>
      <c r="AO34" s="23">
        <v>0.21</v>
      </c>
      <c r="AP34" s="23">
        <v>0.26</v>
      </c>
      <c r="AQ34" s="23">
        <v>0.31</v>
      </c>
      <c r="AR34" s="23">
        <v>0.36</v>
      </c>
      <c r="AS34" s="23">
        <v>0.0</v>
      </c>
      <c r="AT34" s="23">
        <v>0.41</v>
      </c>
      <c r="AU34" s="23">
        <v>0.0</v>
      </c>
      <c r="AV34" s="23">
        <v>0.22</v>
      </c>
      <c r="AX34" s="23">
        <v>0.55</v>
      </c>
      <c r="AY34" s="23">
        <v>1.24</v>
      </c>
      <c r="AZ34" s="23">
        <v>0.34</v>
      </c>
      <c r="BB34" s="23">
        <v>0.29</v>
      </c>
      <c r="BD34" s="23">
        <v>2.3</v>
      </c>
      <c r="BF34" s="23">
        <v>2.04</v>
      </c>
      <c r="BH34" s="23">
        <v>1.6</v>
      </c>
      <c r="BI34" s="31">
        <v>3.33</v>
      </c>
      <c r="BJ34" s="23">
        <v>2.79</v>
      </c>
      <c r="BK34" s="23">
        <v>2.04</v>
      </c>
      <c r="BM34" s="23">
        <v>1.37</v>
      </c>
      <c r="BN34" s="23">
        <v>1.71</v>
      </c>
    </row>
    <row r="35" ht="14.25" customHeight="1">
      <c r="A35" s="21" t="s">
        <v>149</v>
      </c>
      <c r="B35" s="22" t="s">
        <v>150</v>
      </c>
      <c r="C35" s="22">
        <v>100.0</v>
      </c>
      <c r="D35" s="21">
        <v>0.0</v>
      </c>
      <c r="E35" s="23">
        <v>0.1</v>
      </c>
      <c r="G35" s="23">
        <v>0.1</v>
      </c>
      <c r="H35" s="23">
        <v>0.0</v>
      </c>
      <c r="I35" s="23">
        <v>0.5</v>
      </c>
      <c r="J35" s="23">
        <v>0.1</v>
      </c>
      <c r="K35" s="23">
        <v>0.2</v>
      </c>
      <c r="L35" s="23">
        <v>1.5</v>
      </c>
      <c r="M35" s="23">
        <v>0.1</v>
      </c>
      <c r="N35" s="23">
        <v>0.4</v>
      </c>
      <c r="O35" s="23">
        <v>0.7</v>
      </c>
      <c r="R35" s="23">
        <v>1.3</v>
      </c>
      <c r="S35" s="23">
        <v>0.1</v>
      </c>
      <c r="T35" s="23">
        <v>0.5</v>
      </c>
      <c r="U35" s="23">
        <v>0.6</v>
      </c>
      <c r="V35" s="23">
        <v>0.6</v>
      </c>
      <c r="W35" s="23">
        <v>0.4</v>
      </c>
      <c r="X35" s="23">
        <v>0.5</v>
      </c>
      <c r="Y35" s="23">
        <v>0.4</v>
      </c>
      <c r="Z35" s="23">
        <v>2.0</v>
      </c>
      <c r="AA35" s="23">
        <v>2.2</v>
      </c>
      <c r="AB35" s="23">
        <v>0.0</v>
      </c>
      <c r="AC35" s="31">
        <v>5.4</v>
      </c>
      <c r="AD35" s="23">
        <v>1.4</v>
      </c>
      <c r="AE35" s="23">
        <v>0.4</v>
      </c>
      <c r="AF35" s="23">
        <v>0.3</v>
      </c>
      <c r="AG35" s="23">
        <v>0.7</v>
      </c>
      <c r="AH35" s="23">
        <v>0.2</v>
      </c>
      <c r="AI35" s="23">
        <v>0.0</v>
      </c>
      <c r="AJ35" s="23">
        <v>0.1</v>
      </c>
      <c r="AK35" s="23">
        <v>1.1</v>
      </c>
      <c r="AL35" s="23">
        <v>1.2</v>
      </c>
      <c r="AN35" s="23">
        <v>0.4</v>
      </c>
      <c r="AO35" s="23">
        <v>0.8</v>
      </c>
      <c r="AP35" s="23">
        <v>1.1</v>
      </c>
      <c r="AQ35" s="23">
        <v>1.0</v>
      </c>
      <c r="AR35" s="23">
        <v>0.7</v>
      </c>
      <c r="AS35" s="23">
        <v>0.8</v>
      </c>
      <c r="AV35" s="23">
        <v>1.0</v>
      </c>
      <c r="AX35" s="23">
        <v>0.7</v>
      </c>
      <c r="AY35" s="23">
        <v>0.2</v>
      </c>
      <c r="AZ35" s="23">
        <v>0.0</v>
      </c>
      <c r="BB35" s="23">
        <v>2.0</v>
      </c>
      <c r="BF35" s="31">
        <v>4.8</v>
      </c>
      <c r="BH35" s="93">
        <v>9.6</v>
      </c>
      <c r="BI35" s="23">
        <v>1.7</v>
      </c>
      <c r="BJ35" s="26">
        <v>19.0</v>
      </c>
      <c r="BK35" s="31">
        <v>4.8</v>
      </c>
      <c r="BM35" s="31">
        <v>5.4</v>
      </c>
      <c r="BN35" s="23">
        <v>2.8</v>
      </c>
    </row>
    <row r="36" ht="14.25" customHeight="1">
      <c r="A36" s="28" t="s">
        <v>151</v>
      </c>
      <c r="B36" s="29"/>
      <c r="C36" s="29"/>
      <c r="D36" s="21">
        <v>0.0</v>
      </c>
      <c r="E36" s="28">
        <v>3.0</v>
      </c>
      <c r="F36" s="28"/>
      <c r="G36" s="28">
        <v>2.0</v>
      </c>
      <c r="H36" s="28">
        <v>0.0</v>
      </c>
      <c r="I36" s="28">
        <v>20.0</v>
      </c>
      <c r="J36" s="28">
        <v>6.0</v>
      </c>
      <c r="K36" s="28">
        <v>6.0</v>
      </c>
      <c r="L36" s="28">
        <v>60.0</v>
      </c>
      <c r="M36" s="28">
        <v>3.0</v>
      </c>
      <c r="N36" s="28">
        <v>14.0</v>
      </c>
      <c r="O36" s="28">
        <v>27.0</v>
      </c>
      <c r="P36" s="28"/>
      <c r="Q36" s="28"/>
      <c r="R36" s="28">
        <v>52.0</v>
      </c>
      <c r="S36" s="28">
        <v>2.0</v>
      </c>
      <c r="T36" s="28">
        <v>20.0</v>
      </c>
      <c r="U36" s="28">
        <v>25.0</v>
      </c>
      <c r="V36" s="28">
        <v>24.0</v>
      </c>
      <c r="W36" s="28">
        <v>16.0</v>
      </c>
      <c r="X36" s="28">
        <v>21.0</v>
      </c>
      <c r="Y36" s="28">
        <v>16.0</v>
      </c>
      <c r="Z36" s="28">
        <v>82.0</v>
      </c>
      <c r="AA36" s="28">
        <v>87.0</v>
      </c>
      <c r="AB36" s="28">
        <v>0.0</v>
      </c>
      <c r="AC36" s="28">
        <v>218.0</v>
      </c>
      <c r="AD36" s="28">
        <v>55.0</v>
      </c>
      <c r="AE36" s="28">
        <v>16.0</v>
      </c>
      <c r="AF36" s="28">
        <v>13.0</v>
      </c>
      <c r="AG36" s="28">
        <v>27.0</v>
      </c>
      <c r="AH36" s="28">
        <v>9.0</v>
      </c>
      <c r="AI36" s="28">
        <v>0.0</v>
      </c>
      <c r="AJ36" s="28">
        <v>3.0</v>
      </c>
      <c r="AK36" s="28">
        <v>45.0</v>
      </c>
      <c r="AL36" s="28">
        <v>49.0</v>
      </c>
      <c r="AM36" s="28"/>
      <c r="AN36" s="28">
        <v>15.0</v>
      </c>
      <c r="AO36" s="28">
        <v>31.0</v>
      </c>
      <c r="AP36" s="28">
        <v>45.0</v>
      </c>
      <c r="AQ36" s="28">
        <v>42.0</v>
      </c>
      <c r="AR36" s="28">
        <v>30.0</v>
      </c>
      <c r="AS36" s="28">
        <v>32.0</v>
      </c>
      <c r="AT36" s="28"/>
      <c r="AU36" s="28"/>
      <c r="AV36" s="28">
        <v>41.0</v>
      </c>
      <c r="AW36" s="28"/>
      <c r="AX36" s="28">
        <v>27.0</v>
      </c>
      <c r="AY36" s="28">
        <v>7.0</v>
      </c>
      <c r="AZ36" s="28">
        <v>1.0</v>
      </c>
      <c r="BA36" s="28"/>
      <c r="BB36" s="28">
        <v>82.0</v>
      </c>
      <c r="BC36" s="28"/>
      <c r="BD36" s="28"/>
      <c r="BE36" s="28"/>
      <c r="BF36" s="28">
        <v>193.0</v>
      </c>
      <c r="BG36" s="28"/>
      <c r="BH36" s="28">
        <v>386.0</v>
      </c>
      <c r="BI36" s="28">
        <v>69.0</v>
      </c>
      <c r="BJ36" s="28">
        <v>759.0</v>
      </c>
      <c r="BK36" s="28">
        <v>193.0</v>
      </c>
      <c r="BL36" s="28"/>
      <c r="BM36" s="28">
        <v>214.0</v>
      </c>
      <c r="BN36" s="28">
        <v>113.0</v>
      </c>
    </row>
    <row r="37" ht="14.25" customHeight="1">
      <c r="A37" s="21" t="s">
        <v>152</v>
      </c>
      <c r="B37" s="22">
        <v>120.0</v>
      </c>
      <c r="C37" s="22" t="s">
        <v>100</v>
      </c>
      <c r="D37" s="21">
        <v>0.0</v>
      </c>
      <c r="E37" s="23">
        <v>0.3</v>
      </c>
      <c r="G37" s="23">
        <v>0.3</v>
      </c>
      <c r="H37" s="23">
        <v>0.0</v>
      </c>
      <c r="I37" s="23">
        <v>2.2</v>
      </c>
      <c r="J37" s="23">
        <v>0.6</v>
      </c>
      <c r="K37" s="23">
        <v>1.3</v>
      </c>
      <c r="L37" s="23">
        <v>7.0</v>
      </c>
      <c r="M37" s="23">
        <v>0.0</v>
      </c>
      <c r="N37" s="23">
        <v>1.7</v>
      </c>
      <c r="O37" s="23">
        <v>3.2</v>
      </c>
      <c r="P37" s="23">
        <v>0.0</v>
      </c>
      <c r="Q37" s="23">
        <v>0.0</v>
      </c>
      <c r="R37" s="23">
        <v>0.3</v>
      </c>
      <c r="S37" s="23">
        <v>0.2</v>
      </c>
      <c r="T37" s="23">
        <v>2.5</v>
      </c>
      <c r="U37" s="23">
        <v>2.9</v>
      </c>
      <c r="V37" s="23">
        <v>2.8</v>
      </c>
      <c r="W37" s="23">
        <v>2.3</v>
      </c>
      <c r="X37" s="23">
        <v>2.4</v>
      </c>
      <c r="Y37" s="23">
        <v>1.8</v>
      </c>
      <c r="Z37" s="23">
        <v>0.3</v>
      </c>
      <c r="AA37" s="23">
        <v>0.3</v>
      </c>
      <c r="AB37" s="23">
        <v>0.0</v>
      </c>
      <c r="AC37" s="23">
        <v>0.7</v>
      </c>
      <c r="AD37" s="23">
        <v>0.3</v>
      </c>
      <c r="AE37" s="23">
        <v>2.0</v>
      </c>
      <c r="AF37" s="23">
        <v>1.8</v>
      </c>
      <c r="AG37" s="23">
        <v>2.4</v>
      </c>
      <c r="AH37" s="23">
        <v>1.6</v>
      </c>
      <c r="AI37" s="23">
        <v>0.1</v>
      </c>
      <c r="AJ37" s="23">
        <v>0.5</v>
      </c>
      <c r="AK37" s="23">
        <v>0.0</v>
      </c>
      <c r="AL37" s="23">
        <v>3.3</v>
      </c>
      <c r="AN37" s="23">
        <v>1.2</v>
      </c>
      <c r="AO37" s="23">
        <v>0.0</v>
      </c>
      <c r="AP37" s="23">
        <v>0.0</v>
      </c>
      <c r="AQ37" s="23">
        <v>0.1</v>
      </c>
      <c r="AR37" s="23">
        <v>0.0</v>
      </c>
      <c r="AS37" s="23">
        <v>0.3</v>
      </c>
      <c r="AT37" s="23">
        <v>0.0</v>
      </c>
      <c r="AV37" s="23">
        <v>3.2</v>
      </c>
      <c r="AX37" s="23">
        <v>0.4</v>
      </c>
      <c r="AY37" s="23">
        <v>2.4</v>
      </c>
      <c r="AZ37" s="23">
        <v>0.9</v>
      </c>
      <c r="BB37" s="23">
        <v>0.1</v>
      </c>
      <c r="BD37" s="23">
        <v>6.9</v>
      </c>
      <c r="BF37" s="23">
        <v>2.6</v>
      </c>
      <c r="BH37" s="23">
        <v>0.1</v>
      </c>
      <c r="BI37" s="31">
        <v>12.1</v>
      </c>
      <c r="BJ37" s="23">
        <v>0.1</v>
      </c>
      <c r="BK37" s="23">
        <v>2.6</v>
      </c>
      <c r="BM37" s="23">
        <v>0.1</v>
      </c>
      <c r="BN37" s="23">
        <v>0.2</v>
      </c>
    </row>
    <row r="38" ht="14.25" customHeight="1">
      <c r="A38" s="21" t="s">
        <v>153</v>
      </c>
      <c r="B38" s="22" t="s">
        <v>154</v>
      </c>
      <c r="C38" s="22" t="s">
        <v>100</v>
      </c>
      <c r="D38" s="21">
        <v>0.068</v>
      </c>
      <c r="E38" s="23">
        <v>0.223</v>
      </c>
      <c r="F38" s="23">
        <v>0.407</v>
      </c>
      <c r="G38" s="23">
        <v>0.373</v>
      </c>
      <c r="H38" s="23">
        <v>0.357</v>
      </c>
      <c r="I38" s="31">
        <v>2.271</v>
      </c>
      <c r="J38" s="23">
        <v>0.638</v>
      </c>
      <c r="K38" s="23">
        <v>0.835</v>
      </c>
      <c r="L38" s="23">
        <v>0.11</v>
      </c>
      <c r="M38" s="23">
        <v>0.557</v>
      </c>
      <c r="N38" s="23">
        <v>0.276</v>
      </c>
      <c r="O38" s="23">
        <v>0.255</v>
      </c>
      <c r="P38" s="23">
        <v>0.383</v>
      </c>
      <c r="Q38" s="23">
        <v>0.381</v>
      </c>
      <c r="S38" s="23">
        <v>0.389</v>
      </c>
      <c r="T38" s="23">
        <v>0.429</v>
      </c>
      <c r="U38" s="23">
        <v>0.57</v>
      </c>
      <c r="V38" s="23">
        <v>0.413</v>
      </c>
      <c r="W38" s="23">
        <v>0.141</v>
      </c>
      <c r="X38" s="31">
        <v>1.729</v>
      </c>
      <c r="Y38" s="23">
        <v>0.967</v>
      </c>
      <c r="Z38" s="31">
        <v>1.533</v>
      </c>
      <c r="AA38" s="23">
        <v>1.398</v>
      </c>
      <c r="AB38" s="23">
        <v>0.19</v>
      </c>
      <c r="AC38" s="93">
        <v>2.99</v>
      </c>
      <c r="AD38" s="31">
        <v>1.761</v>
      </c>
      <c r="AE38" s="23">
        <v>0.31</v>
      </c>
      <c r="AF38" s="23">
        <v>0.32</v>
      </c>
      <c r="AG38" s="23">
        <v>0.252</v>
      </c>
      <c r="AH38" s="23">
        <v>0.531</v>
      </c>
      <c r="AI38" s="23">
        <v>1.21</v>
      </c>
      <c r="AJ38" s="31">
        <v>1.6</v>
      </c>
      <c r="AK38" s="23">
        <v>1.56</v>
      </c>
      <c r="AL38" s="26">
        <v>7.11</v>
      </c>
      <c r="AM38" s="23">
        <v>0.623</v>
      </c>
      <c r="AN38" s="23">
        <v>0.745</v>
      </c>
      <c r="AO38" s="23">
        <v>0.677</v>
      </c>
      <c r="AP38" s="23">
        <v>1.197</v>
      </c>
      <c r="AQ38" s="23">
        <v>1.171</v>
      </c>
      <c r="AR38" s="23">
        <v>0.457</v>
      </c>
      <c r="AS38" s="23">
        <v>0.415</v>
      </c>
      <c r="AT38" s="23">
        <v>0.696</v>
      </c>
      <c r="AU38" s="23">
        <v>0.36</v>
      </c>
      <c r="AV38" s="23">
        <v>1.201</v>
      </c>
      <c r="AW38" s="23">
        <v>1.06</v>
      </c>
      <c r="AX38" s="23">
        <v>0.724</v>
      </c>
      <c r="AY38" s="23">
        <v>0.889</v>
      </c>
      <c r="AZ38" s="23">
        <v>0.858</v>
      </c>
      <c r="BA38" s="23">
        <v>1.37</v>
      </c>
      <c r="BB38" s="23">
        <v>0.334</v>
      </c>
      <c r="BC38" s="23">
        <v>0.485</v>
      </c>
      <c r="BD38" s="23">
        <v>0.37</v>
      </c>
      <c r="BE38" s="31">
        <v>1.475</v>
      </c>
      <c r="BF38" s="23">
        <v>0.642</v>
      </c>
      <c r="BG38" s="23">
        <v>1.273</v>
      </c>
      <c r="BH38" s="23">
        <v>0.56</v>
      </c>
      <c r="BI38" s="23">
        <v>0.909</v>
      </c>
      <c r="BJ38" s="31">
        <v>1.99</v>
      </c>
      <c r="BK38" s="23">
        <v>0.642</v>
      </c>
      <c r="BL38" s="23">
        <v>0.99</v>
      </c>
      <c r="BM38" s="23">
        <v>0.74</v>
      </c>
      <c r="BN38" s="23">
        <v>0.081</v>
      </c>
    </row>
    <row r="39" ht="14.25" customHeight="1">
      <c r="A39" s="21" t="s">
        <v>155</v>
      </c>
      <c r="B39" s="22" t="s">
        <v>156</v>
      </c>
      <c r="C39" s="22">
        <v>3500.0</v>
      </c>
      <c r="D39" s="21">
        <v>2.2</v>
      </c>
      <c r="E39" s="23">
        <v>16.0</v>
      </c>
      <c r="G39" s="23">
        <v>14.3</v>
      </c>
      <c r="H39" s="23">
        <v>15.6</v>
      </c>
      <c r="I39" s="23">
        <v>117.4</v>
      </c>
      <c r="J39" s="23">
        <v>31.3</v>
      </c>
      <c r="K39" s="23">
        <v>89.1</v>
      </c>
      <c r="L39" s="23">
        <v>18.8</v>
      </c>
      <c r="M39" s="23">
        <v>18.4</v>
      </c>
      <c r="N39" s="23">
        <v>16.8</v>
      </c>
      <c r="O39" s="23">
        <v>16.8</v>
      </c>
      <c r="P39" s="23">
        <v>16.0</v>
      </c>
      <c r="Q39" s="23">
        <v>16.0</v>
      </c>
      <c r="S39" s="23">
        <v>15.2</v>
      </c>
      <c r="T39" s="23">
        <v>15.5</v>
      </c>
      <c r="U39" s="23">
        <v>27.2</v>
      </c>
      <c r="V39" s="23">
        <v>16.5</v>
      </c>
      <c r="W39" s="23">
        <v>15.4</v>
      </c>
      <c r="X39" s="23">
        <v>15.4</v>
      </c>
      <c r="Y39" s="23">
        <v>15.4</v>
      </c>
      <c r="Z39" s="93">
        <v>293.8</v>
      </c>
      <c r="AA39" s="93">
        <v>293.8</v>
      </c>
      <c r="AB39" s="23">
        <v>1.1</v>
      </c>
      <c r="AC39" s="26">
        <v>820.2</v>
      </c>
      <c r="AD39" s="93">
        <v>263.4</v>
      </c>
      <c r="AE39" s="23">
        <v>102.0</v>
      </c>
      <c r="AF39" s="23">
        <v>102.0</v>
      </c>
      <c r="AG39" s="23">
        <v>82.2</v>
      </c>
      <c r="AH39" s="23">
        <v>102.7</v>
      </c>
      <c r="AI39" s="26">
        <v>490.9</v>
      </c>
      <c r="AJ39" s="93">
        <v>228.8</v>
      </c>
      <c r="AK39" s="26">
        <v>513.2</v>
      </c>
      <c r="AL39" s="93">
        <v>426.0</v>
      </c>
      <c r="AN39" s="31">
        <v>155.0</v>
      </c>
      <c r="AO39" s="23">
        <v>98.2</v>
      </c>
      <c r="AP39" s="23">
        <v>103.4</v>
      </c>
      <c r="AQ39" s="23">
        <v>123.2</v>
      </c>
      <c r="AR39" s="23">
        <v>84.3</v>
      </c>
      <c r="AS39" s="23">
        <v>65.6</v>
      </c>
      <c r="AT39" s="23">
        <v>53.3</v>
      </c>
      <c r="AV39" s="23">
        <v>93.5</v>
      </c>
      <c r="AX39" s="23">
        <v>66.9</v>
      </c>
      <c r="AY39" s="23">
        <v>63.5</v>
      </c>
      <c r="AZ39" s="23">
        <v>69.8</v>
      </c>
      <c r="BB39" s="23">
        <v>77.6</v>
      </c>
      <c r="BF39" s="23">
        <v>75.0</v>
      </c>
      <c r="BH39" s="23">
        <v>85.0</v>
      </c>
      <c r="BI39" s="23">
        <v>85.0</v>
      </c>
      <c r="BJ39" s="23">
        <v>77.6</v>
      </c>
      <c r="BK39" s="23">
        <v>75.0</v>
      </c>
      <c r="BM39" s="23">
        <v>83.3</v>
      </c>
      <c r="BN39" s="23">
        <v>104.1</v>
      </c>
    </row>
    <row r="40" ht="14.25" customHeight="1">
      <c r="A40" s="21" t="s">
        <v>157</v>
      </c>
      <c r="B40" s="22"/>
      <c r="C40" s="22"/>
      <c r="D40" s="21">
        <v>1.7</v>
      </c>
      <c r="G40" s="23">
        <v>0.6</v>
      </c>
      <c r="H40" s="23">
        <v>1.9</v>
      </c>
      <c r="M40" s="23">
        <v>0.7</v>
      </c>
      <c r="T40" s="23">
        <v>0.6</v>
      </c>
      <c r="U40" s="23">
        <v>0.7</v>
      </c>
      <c r="V40" s="23">
        <v>0.7</v>
      </c>
      <c r="Z40" s="23">
        <v>0.3</v>
      </c>
      <c r="AA40" s="23">
        <v>0.6</v>
      </c>
      <c r="AB40" s="23">
        <v>0.3</v>
      </c>
      <c r="AC40" s="23">
        <v>0.9</v>
      </c>
      <c r="AE40" s="23">
        <v>13.4</v>
      </c>
      <c r="AF40" s="23">
        <v>13.4</v>
      </c>
      <c r="AG40" s="23">
        <v>10.8</v>
      </c>
      <c r="AH40" s="23">
        <v>13.5</v>
      </c>
      <c r="AJ40" s="23">
        <v>4.1</v>
      </c>
      <c r="AL40" s="23">
        <v>5.6</v>
      </c>
      <c r="AN40" s="23">
        <v>2.8</v>
      </c>
      <c r="AO40" s="23">
        <v>3.8</v>
      </c>
      <c r="AP40" s="23">
        <v>4.1</v>
      </c>
      <c r="AQ40" s="23">
        <v>3.5</v>
      </c>
      <c r="AR40" s="23">
        <v>5.7</v>
      </c>
      <c r="AS40" s="23">
        <v>5.8</v>
      </c>
      <c r="AT40" s="23">
        <v>4.8</v>
      </c>
      <c r="AV40" s="23">
        <v>4.3</v>
      </c>
      <c r="AX40" s="23">
        <v>3.6</v>
      </c>
      <c r="AY40" s="23">
        <v>17.3</v>
      </c>
      <c r="AZ40" s="23">
        <v>5.9</v>
      </c>
    </row>
    <row r="41" ht="14.25" customHeight="1">
      <c r="A41" s="98" t="s">
        <v>158</v>
      </c>
      <c r="B41" s="102"/>
      <c r="C41" s="102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  <c r="AC41" s="100"/>
      <c r="AD41" s="100"/>
      <c r="AE41" s="100"/>
      <c r="AF41" s="100"/>
      <c r="AG41" s="100"/>
      <c r="AH41" s="100"/>
      <c r="AI41" s="100"/>
      <c r="AJ41" s="100"/>
      <c r="AK41" s="100"/>
      <c r="AL41" s="100"/>
      <c r="AM41" s="100"/>
      <c r="AN41" s="100"/>
      <c r="AO41" s="100"/>
      <c r="AP41" s="100"/>
      <c r="AQ41" s="100"/>
      <c r="AR41" s="100"/>
      <c r="AS41" s="100"/>
      <c r="AT41" s="100"/>
      <c r="AU41" s="100"/>
      <c r="AV41" s="100"/>
      <c r="AW41" s="100"/>
      <c r="AX41" s="100"/>
      <c r="AY41" s="100"/>
      <c r="AZ41" s="100"/>
      <c r="BA41" s="100"/>
      <c r="BB41" s="100"/>
      <c r="BC41" s="100"/>
      <c r="BD41" s="100"/>
      <c r="BE41" s="100"/>
      <c r="BF41" s="100"/>
      <c r="BG41" s="100"/>
      <c r="BH41" s="100"/>
      <c r="BI41" s="100"/>
      <c r="BJ41" s="100"/>
      <c r="BK41" s="100"/>
      <c r="BL41" s="100"/>
      <c r="BM41" s="100"/>
      <c r="BN41" s="100"/>
    </row>
    <row r="42" ht="14.25" customHeight="1">
      <c r="A42" s="21" t="s">
        <v>159</v>
      </c>
      <c r="B42" s="22" t="s">
        <v>160</v>
      </c>
      <c r="C42" s="22" t="s">
        <v>161</v>
      </c>
      <c r="D42" s="21">
        <v>0.0</v>
      </c>
      <c r="E42" s="23">
        <v>2.009</v>
      </c>
      <c r="F42" s="23">
        <v>4.603</v>
      </c>
      <c r="G42" s="23">
        <v>1.865</v>
      </c>
      <c r="H42" s="23">
        <v>0.051</v>
      </c>
      <c r="I42" s="23">
        <v>16.742</v>
      </c>
      <c r="J42" s="23">
        <v>4.591</v>
      </c>
      <c r="K42" s="23">
        <v>4.534</v>
      </c>
      <c r="L42" s="23">
        <v>51.368</v>
      </c>
      <c r="M42" s="23">
        <v>1.718</v>
      </c>
      <c r="N42" s="23">
        <v>12.02</v>
      </c>
      <c r="O42" s="23">
        <v>23.032</v>
      </c>
      <c r="P42" s="23">
        <v>0.23</v>
      </c>
      <c r="Q42" s="23">
        <v>0.057</v>
      </c>
      <c r="R42" s="23">
        <v>1.899</v>
      </c>
      <c r="S42" s="23">
        <v>2.096</v>
      </c>
      <c r="T42" s="23">
        <v>17.779</v>
      </c>
      <c r="U42" s="23">
        <v>19.292</v>
      </c>
      <c r="V42" s="23">
        <v>21.092</v>
      </c>
      <c r="W42" s="23">
        <v>13.152</v>
      </c>
      <c r="X42" s="23">
        <v>18.669</v>
      </c>
      <c r="Y42" s="23">
        <v>14.946</v>
      </c>
      <c r="Z42" s="23">
        <v>3.126</v>
      </c>
      <c r="AA42" s="23">
        <v>3.267</v>
      </c>
      <c r="AB42" s="23">
        <v>0.0</v>
      </c>
      <c r="AC42" s="23">
        <v>9.551</v>
      </c>
      <c r="AD42" s="23">
        <v>3.557</v>
      </c>
      <c r="AE42" s="23">
        <v>10.0</v>
      </c>
      <c r="AF42" s="23">
        <v>7.53</v>
      </c>
      <c r="AG42" s="23">
        <v>17.8</v>
      </c>
      <c r="AH42" s="23">
        <v>5.603</v>
      </c>
      <c r="AI42" s="23">
        <v>2.394</v>
      </c>
      <c r="AJ42" s="23">
        <v>1.404</v>
      </c>
      <c r="AK42" s="23">
        <v>1.066</v>
      </c>
      <c r="AL42" s="23">
        <v>1.696</v>
      </c>
      <c r="AM42" s="23">
        <v>1.27</v>
      </c>
      <c r="AN42" s="23">
        <v>8.125</v>
      </c>
      <c r="AO42" s="23">
        <v>3.38</v>
      </c>
      <c r="AP42" s="23">
        <v>4.854</v>
      </c>
      <c r="AQ42" s="23">
        <v>13.739</v>
      </c>
      <c r="AR42" s="23">
        <v>5.98</v>
      </c>
      <c r="AS42" s="23">
        <v>9.301</v>
      </c>
      <c r="AT42" s="23">
        <v>7.99</v>
      </c>
      <c r="AU42" s="23">
        <v>11.7</v>
      </c>
      <c r="AV42" s="23">
        <v>9.316</v>
      </c>
      <c r="AW42" s="23">
        <v>13.1</v>
      </c>
      <c r="AX42" s="23">
        <v>9.153</v>
      </c>
      <c r="AY42" s="23">
        <v>4.61</v>
      </c>
      <c r="AZ42" s="23">
        <v>2.84</v>
      </c>
      <c r="BA42" s="23">
        <v>1.612</v>
      </c>
      <c r="BB42" s="23">
        <v>0.205</v>
      </c>
      <c r="BC42" s="23">
        <v>0.42</v>
      </c>
      <c r="BD42" s="23">
        <v>1.28</v>
      </c>
      <c r="BE42" s="23">
        <v>2.504</v>
      </c>
      <c r="BF42" s="23">
        <v>1.528</v>
      </c>
      <c r="BG42" s="23">
        <v>1.944</v>
      </c>
      <c r="BH42" s="23">
        <v>1.486</v>
      </c>
      <c r="BI42" s="23">
        <v>2.203</v>
      </c>
      <c r="BJ42" s="23">
        <v>1.651</v>
      </c>
      <c r="BK42" s="23">
        <v>1.528</v>
      </c>
      <c r="BL42" s="23">
        <v>4.176</v>
      </c>
      <c r="BM42" s="23">
        <v>2.615</v>
      </c>
      <c r="BN42" s="23">
        <v>2.381</v>
      </c>
    </row>
    <row r="43" ht="14.25" customHeight="1">
      <c r="A43" s="21" t="s">
        <v>162</v>
      </c>
      <c r="B43" s="22"/>
      <c r="C43" s="22"/>
      <c r="D43" s="21">
        <v>0.0</v>
      </c>
      <c r="E43" s="23">
        <v>1.658</v>
      </c>
      <c r="F43" s="23">
        <v>1.724</v>
      </c>
      <c r="G43" s="23">
        <v>0.812</v>
      </c>
      <c r="H43" s="23">
        <v>0.021</v>
      </c>
      <c r="I43" s="23">
        <v>7.924</v>
      </c>
      <c r="J43" s="23">
        <v>2.335</v>
      </c>
      <c r="K43" s="23">
        <v>2.143</v>
      </c>
      <c r="L43" s="23">
        <v>21.021</v>
      </c>
      <c r="M43" s="23">
        <v>0.778</v>
      </c>
      <c r="N43" s="23">
        <v>5.577</v>
      </c>
      <c r="O43" s="23">
        <v>10.686</v>
      </c>
      <c r="P43" s="23">
        <v>0.1</v>
      </c>
      <c r="Q43" s="23">
        <v>0.025</v>
      </c>
      <c r="R43" s="23">
        <v>0.827</v>
      </c>
      <c r="S43" s="23">
        <v>0.893</v>
      </c>
      <c r="T43" s="23">
        <v>7.274</v>
      </c>
      <c r="U43" s="23">
        <v>8.62</v>
      </c>
      <c r="V43" s="23">
        <v>9.391</v>
      </c>
      <c r="W43" s="23">
        <v>6.573</v>
      </c>
      <c r="X43" s="23">
        <v>7.778</v>
      </c>
      <c r="Y43" s="23">
        <v>4.623</v>
      </c>
      <c r="Z43" s="23">
        <v>3.658</v>
      </c>
      <c r="AA43" s="23">
        <v>4.077</v>
      </c>
      <c r="AB43" s="23">
        <v>0.0</v>
      </c>
      <c r="AC43" s="23">
        <v>11.738</v>
      </c>
      <c r="AD43" s="23">
        <v>4.324</v>
      </c>
      <c r="AE43" s="23">
        <v>10.86</v>
      </c>
      <c r="AF43" s="23">
        <v>8.68</v>
      </c>
      <c r="AG43" s="23">
        <v>18.88</v>
      </c>
      <c r="AH43" s="23">
        <v>5.93</v>
      </c>
      <c r="AI43" s="23">
        <v>1.882</v>
      </c>
      <c r="AJ43" s="23">
        <v>1.011</v>
      </c>
      <c r="AK43" s="23">
        <v>0.711</v>
      </c>
      <c r="AL43" s="23">
        <v>0.647</v>
      </c>
      <c r="AM43" s="23">
        <v>0.95</v>
      </c>
      <c r="AN43" s="23">
        <v>10.102</v>
      </c>
      <c r="AO43" s="23">
        <v>4.16</v>
      </c>
      <c r="AP43" s="23">
        <v>6.173</v>
      </c>
      <c r="AQ43" s="23">
        <v>18.52</v>
      </c>
      <c r="AR43" s="23">
        <v>7.88</v>
      </c>
      <c r="AS43" s="23">
        <v>10.526</v>
      </c>
      <c r="AT43" s="23">
        <v>10.555</v>
      </c>
      <c r="AU43" s="23">
        <v>12.789</v>
      </c>
      <c r="AV43" s="23">
        <v>11.127</v>
      </c>
      <c r="AW43" s="23">
        <v>18.2</v>
      </c>
      <c r="AX43" s="23">
        <v>12.376</v>
      </c>
      <c r="AY43" s="23">
        <v>7.09</v>
      </c>
      <c r="AZ43" s="23">
        <v>3.19</v>
      </c>
      <c r="BA43" s="23">
        <v>2.053</v>
      </c>
      <c r="BB43" s="23">
        <v>0.138</v>
      </c>
      <c r="BC43" s="23">
        <v>0.243</v>
      </c>
      <c r="BD43" s="23">
        <v>3.262</v>
      </c>
      <c r="BE43" s="23">
        <v>4.432</v>
      </c>
      <c r="BF43" s="23">
        <v>3.869</v>
      </c>
      <c r="BG43" s="23">
        <v>3.618</v>
      </c>
      <c r="BH43" s="23">
        <v>1.919</v>
      </c>
      <c r="BI43" s="23">
        <v>3.77</v>
      </c>
      <c r="BJ43" s="23">
        <v>2.363</v>
      </c>
      <c r="BK43" s="23">
        <v>3.869</v>
      </c>
      <c r="BL43" s="23">
        <v>7.006</v>
      </c>
      <c r="BM43" s="23">
        <v>4.79</v>
      </c>
      <c r="BN43" s="23">
        <v>11.947</v>
      </c>
    </row>
    <row r="44" ht="14.25" customHeight="1">
      <c r="A44" s="21" t="s">
        <v>163</v>
      </c>
      <c r="B44" s="22"/>
      <c r="C44" s="22"/>
      <c r="D44" s="21">
        <v>0.0</v>
      </c>
      <c r="E44" s="23">
        <v>0.497</v>
      </c>
      <c r="F44" s="23">
        <v>0.308</v>
      </c>
      <c r="G44" s="23">
        <v>0.195</v>
      </c>
      <c r="H44" s="23">
        <v>0.003</v>
      </c>
      <c r="I44" s="23">
        <v>0.665</v>
      </c>
      <c r="J44" s="23">
        <v>0.245</v>
      </c>
      <c r="K44" s="23">
        <v>0.375</v>
      </c>
      <c r="L44" s="23">
        <v>3.043</v>
      </c>
      <c r="M44" s="23">
        <v>0.123</v>
      </c>
      <c r="N44" s="23">
        <v>0.717</v>
      </c>
      <c r="O44" s="23">
        <v>1.374</v>
      </c>
      <c r="P44" s="23">
        <v>0.011</v>
      </c>
      <c r="Q44" s="23">
        <v>0.004</v>
      </c>
      <c r="R44" s="23">
        <v>0.198</v>
      </c>
      <c r="S44" s="23">
        <v>0.092</v>
      </c>
      <c r="T44" s="23">
        <v>0.972</v>
      </c>
      <c r="U44" s="23">
        <v>1.437</v>
      </c>
      <c r="V44" s="23">
        <v>0.942</v>
      </c>
      <c r="W44" s="23">
        <v>0.765</v>
      </c>
      <c r="X44" s="23">
        <v>0.8</v>
      </c>
      <c r="Y44" s="23">
        <v>0.591</v>
      </c>
      <c r="Z44" s="23">
        <v>1.911</v>
      </c>
      <c r="AA44" s="23">
        <v>1.414</v>
      </c>
      <c r="AB44" s="23">
        <v>0.0</v>
      </c>
      <c r="AC44" s="23">
        <v>4.204</v>
      </c>
      <c r="AD44" s="23">
        <v>1.324</v>
      </c>
      <c r="AE44" s="23">
        <v>0.9</v>
      </c>
      <c r="AF44" s="23">
        <v>0.67</v>
      </c>
      <c r="AG44" s="23">
        <v>1.53</v>
      </c>
      <c r="AH44" s="23">
        <v>0.547</v>
      </c>
      <c r="AI44" s="23">
        <v>1.632</v>
      </c>
      <c r="AJ44" s="23">
        <v>0.985</v>
      </c>
      <c r="AK44" s="23">
        <v>0.827</v>
      </c>
      <c r="AL44" s="23">
        <v>0.639</v>
      </c>
      <c r="AM44" s="23">
        <v>0.51</v>
      </c>
      <c r="AN44" s="23">
        <v>0.746</v>
      </c>
      <c r="AO44" s="23">
        <v>0.7</v>
      </c>
      <c r="AP44" s="23">
        <v>2.783</v>
      </c>
      <c r="AQ44" s="23">
        <v>4.548</v>
      </c>
      <c r="AR44" s="23">
        <v>1.81</v>
      </c>
      <c r="AS44" s="23">
        <v>1.12</v>
      </c>
      <c r="AT44" s="23">
        <v>4.672</v>
      </c>
      <c r="AU44" s="23">
        <v>2.512</v>
      </c>
      <c r="AV44" s="23">
        <v>2.529</v>
      </c>
      <c r="AW44" s="23">
        <v>3.6</v>
      </c>
      <c r="AX44" s="23">
        <v>3.727</v>
      </c>
      <c r="AY44" s="23">
        <v>4.1</v>
      </c>
      <c r="AZ44" s="23">
        <v>2.48</v>
      </c>
      <c r="BA44" s="23">
        <v>1.844</v>
      </c>
      <c r="BB44" s="23">
        <v>0.175</v>
      </c>
      <c r="BC44" s="23">
        <v>0.403</v>
      </c>
      <c r="BD44" s="23">
        <v>2.972</v>
      </c>
      <c r="BE44" s="23">
        <v>4.426</v>
      </c>
      <c r="BF44" s="23">
        <v>5.148</v>
      </c>
      <c r="BG44" s="23">
        <v>1.963</v>
      </c>
      <c r="BH44" s="23">
        <v>1.517</v>
      </c>
      <c r="BI44" s="23">
        <v>2.562</v>
      </c>
      <c r="BJ44" s="23">
        <v>1.799</v>
      </c>
      <c r="BK44" s="23">
        <v>5.148</v>
      </c>
      <c r="BL44" s="23">
        <v>4.3</v>
      </c>
      <c r="BM44" s="23">
        <v>2.735</v>
      </c>
      <c r="BN44" s="23">
        <v>1.679</v>
      </c>
    </row>
    <row r="45" ht="14.25" customHeight="1">
      <c r="A45" s="21" t="s">
        <v>164</v>
      </c>
      <c r="B45" s="22" t="s">
        <v>160</v>
      </c>
      <c r="C45" s="22" t="s">
        <v>165</v>
      </c>
      <c r="D45" s="21">
        <v>0.0</v>
      </c>
      <c r="E45" s="23">
        <v>14.0</v>
      </c>
      <c r="F45" s="23">
        <v>27.0</v>
      </c>
      <c r="G45" s="23">
        <v>10.0</v>
      </c>
      <c r="H45" s="23">
        <v>2.0</v>
      </c>
      <c r="I45" s="31">
        <v>97.0</v>
      </c>
      <c r="J45" s="23">
        <v>29.0</v>
      </c>
      <c r="K45" s="23">
        <v>29.0</v>
      </c>
      <c r="L45" s="26">
        <v>215.0</v>
      </c>
      <c r="M45" s="23">
        <v>17.0</v>
      </c>
      <c r="N45" s="23">
        <v>66.0</v>
      </c>
      <c r="O45" s="93">
        <v>137.0</v>
      </c>
      <c r="P45" s="23">
        <v>2.0</v>
      </c>
      <c r="Q45" s="23">
        <v>1.0</v>
      </c>
      <c r="R45" s="23">
        <v>11.0</v>
      </c>
      <c r="S45" s="23">
        <v>13.0</v>
      </c>
      <c r="T45" s="31">
        <v>92.0</v>
      </c>
      <c r="U45" s="93">
        <v>110.0</v>
      </c>
      <c r="V45" s="93">
        <v>105.0</v>
      </c>
      <c r="W45" s="31">
        <v>79.0</v>
      </c>
      <c r="X45" s="31">
        <v>75.0</v>
      </c>
      <c r="Y45" s="31">
        <v>89.0</v>
      </c>
      <c r="Z45" s="51">
        <v>372.0</v>
      </c>
      <c r="AA45" s="51">
        <v>373.0</v>
      </c>
      <c r="AB45" s="23">
        <v>0.0</v>
      </c>
      <c r="AC45" s="51">
        <v>1085.0</v>
      </c>
      <c r="AD45" s="51">
        <v>844.0</v>
      </c>
      <c r="AE45" s="93">
        <v>104.0</v>
      </c>
      <c r="AF45" s="31">
        <v>93.0</v>
      </c>
      <c r="AG45" s="31">
        <v>94.0</v>
      </c>
      <c r="AH45" s="31">
        <v>92.0</v>
      </c>
      <c r="AI45" s="51">
        <v>3100.0</v>
      </c>
      <c r="AJ45" s="26">
        <v>212.0</v>
      </c>
      <c r="AK45" s="51">
        <v>716.0</v>
      </c>
      <c r="AL45" s="51">
        <v>396.0</v>
      </c>
      <c r="AM45" s="26">
        <v>277.0</v>
      </c>
      <c r="AN45" s="93">
        <v>132.0</v>
      </c>
      <c r="AO45" s="31">
        <v>79.0</v>
      </c>
      <c r="AP45" s="31">
        <v>86.0</v>
      </c>
      <c r="AQ45" s="93">
        <v>110.0</v>
      </c>
      <c r="AR45" s="23">
        <v>62.0</v>
      </c>
      <c r="AS45" s="23">
        <v>60.0</v>
      </c>
      <c r="AT45" s="31">
        <v>80.0</v>
      </c>
      <c r="AU45" s="31">
        <v>75.0</v>
      </c>
      <c r="AV45" s="31">
        <v>89.0</v>
      </c>
      <c r="AW45" s="31">
        <v>80.0</v>
      </c>
      <c r="AX45" s="31">
        <v>84.0</v>
      </c>
      <c r="AY45" s="31">
        <v>87.0</v>
      </c>
      <c r="AZ45" s="31">
        <v>82.0</v>
      </c>
      <c r="BA45" s="23">
        <v>49.0</v>
      </c>
      <c r="BB45" s="23">
        <v>47.0</v>
      </c>
      <c r="BC45" s="23">
        <v>60.0</v>
      </c>
      <c r="BD45" s="23">
        <v>31.0</v>
      </c>
      <c r="BE45" s="23">
        <v>63.0</v>
      </c>
      <c r="BF45" s="93">
        <v>142.0</v>
      </c>
      <c r="BG45" s="23">
        <v>63.0</v>
      </c>
      <c r="BH45" s="23">
        <v>39.0</v>
      </c>
      <c r="BI45" s="31">
        <v>85.0</v>
      </c>
      <c r="BJ45" s="23">
        <v>70.0</v>
      </c>
      <c r="BK45" s="93">
        <v>142.0</v>
      </c>
      <c r="BL45" s="31">
        <v>75.0</v>
      </c>
      <c r="BM45" s="31">
        <v>77.0</v>
      </c>
      <c r="BN45" s="23">
        <v>13.0</v>
      </c>
    </row>
    <row r="46" ht="14.25" customHeight="1">
      <c r="A46" s="98" t="s">
        <v>166</v>
      </c>
      <c r="B46" s="103" t="s">
        <v>167</v>
      </c>
      <c r="C46" s="102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  <c r="AC46" s="100"/>
      <c r="AD46" s="100"/>
      <c r="AE46" s="100"/>
      <c r="AF46" s="100"/>
      <c r="AG46" s="100"/>
      <c r="AH46" s="100"/>
      <c r="AI46" s="100"/>
      <c r="AJ46" s="100"/>
      <c r="AK46" s="100"/>
      <c r="AL46" s="100"/>
      <c r="AM46" s="100"/>
      <c r="AN46" s="100"/>
      <c r="AO46" s="100"/>
      <c r="AP46" s="100"/>
      <c r="AQ46" s="100"/>
      <c r="AR46" s="100"/>
      <c r="AS46" s="100"/>
      <c r="AT46" s="100"/>
      <c r="AU46" s="100"/>
      <c r="AV46" s="100"/>
      <c r="AW46" s="100"/>
      <c r="AX46" s="100"/>
      <c r="AY46" s="100"/>
      <c r="AZ46" s="100"/>
      <c r="BA46" s="100"/>
      <c r="BB46" s="100"/>
      <c r="BC46" s="100"/>
      <c r="BD46" s="100"/>
      <c r="BE46" s="100"/>
      <c r="BF46" s="100"/>
      <c r="BG46" s="100"/>
      <c r="BH46" s="100"/>
      <c r="BI46" s="100"/>
      <c r="BJ46" s="100"/>
      <c r="BK46" s="100"/>
      <c r="BL46" s="100"/>
      <c r="BM46" s="100"/>
      <c r="BN46" s="100"/>
    </row>
    <row r="47" ht="14.25" customHeight="1">
      <c r="A47" s="31" t="s">
        <v>168</v>
      </c>
      <c r="B47" s="32" t="s">
        <v>169</v>
      </c>
      <c r="C47" s="32"/>
      <c r="D47" s="31">
        <v>0.004</v>
      </c>
      <c r="E47" s="31">
        <v>0.017</v>
      </c>
      <c r="F47" s="31">
        <v>0.084</v>
      </c>
      <c r="G47" s="31">
        <v>0.04</v>
      </c>
      <c r="H47" s="31">
        <v>0.043</v>
      </c>
      <c r="I47" s="31">
        <v>0.371</v>
      </c>
      <c r="J47" s="31">
        <v>0.096</v>
      </c>
      <c r="K47" s="31"/>
      <c r="L47" s="31">
        <v>0.012</v>
      </c>
      <c r="M47" s="31">
        <v>0.147</v>
      </c>
      <c r="N47" s="31">
        <v>0.038</v>
      </c>
      <c r="O47" s="31">
        <v>0.029</v>
      </c>
      <c r="P47" s="31">
        <v>0.013</v>
      </c>
      <c r="Q47" s="31">
        <v>0.016</v>
      </c>
      <c r="R47" s="31">
        <v>0.041</v>
      </c>
      <c r="S47" s="31">
        <v>0.02</v>
      </c>
      <c r="T47" s="93">
        <v>0.401</v>
      </c>
      <c r="U47" s="31">
        <v>0.069</v>
      </c>
      <c r="V47" s="93">
        <v>0.32</v>
      </c>
      <c r="W47" s="26">
        <v>0.515</v>
      </c>
      <c r="X47" s="93">
        <v>0.312</v>
      </c>
      <c r="Y47" s="31">
        <v>0.2</v>
      </c>
      <c r="Z47" s="31">
        <v>0.167</v>
      </c>
      <c r="AA47" s="31">
        <v>0.153</v>
      </c>
      <c r="AB47" s="31">
        <v>0.125</v>
      </c>
      <c r="AC47" s="31">
        <v>0.177</v>
      </c>
      <c r="AD47" s="31">
        <v>0.209</v>
      </c>
      <c r="AE47" s="31">
        <v>0.3</v>
      </c>
      <c r="AF47" s="31">
        <v>0.176</v>
      </c>
      <c r="AG47" s="31">
        <v>0.142</v>
      </c>
      <c r="AH47" s="31">
        <v>0.177</v>
      </c>
      <c r="AI47" s="31"/>
      <c r="AJ47" s="31"/>
      <c r="AK47" s="31"/>
      <c r="AL47" s="93">
        <v>0.368</v>
      </c>
      <c r="AM47" s="31">
        <v>0.186</v>
      </c>
      <c r="AN47" s="31"/>
      <c r="AO47" s="93">
        <v>0.363</v>
      </c>
      <c r="AP47" s="93">
        <v>0.296</v>
      </c>
      <c r="AQ47" s="93">
        <v>0.321</v>
      </c>
      <c r="AR47" s="31">
        <v>0.245</v>
      </c>
      <c r="AS47" s="31">
        <v>0.214</v>
      </c>
      <c r="AT47" s="31"/>
      <c r="AU47" s="31">
        <v>0.126</v>
      </c>
      <c r="AV47" s="31">
        <v>0.114</v>
      </c>
      <c r="AW47" s="31">
        <v>0.253</v>
      </c>
      <c r="AX47" s="31">
        <v>0.155</v>
      </c>
      <c r="AY47" s="31">
        <v>0.257</v>
      </c>
      <c r="AZ47" s="93">
        <v>0.311</v>
      </c>
      <c r="BA47" s="93">
        <v>0.335</v>
      </c>
      <c r="BB47" s="93">
        <v>0.313</v>
      </c>
      <c r="BC47" s="93">
        <v>0.316</v>
      </c>
      <c r="BD47" s="93">
        <v>0.297</v>
      </c>
      <c r="BE47" s="31">
        <v>0.248</v>
      </c>
      <c r="BF47" s="31">
        <v>0.276</v>
      </c>
      <c r="BG47" s="31">
        <v>0.272</v>
      </c>
      <c r="BH47" s="31">
        <v>0.24</v>
      </c>
      <c r="BI47" s="93">
        <v>0.324</v>
      </c>
      <c r="BJ47" s="31">
        <v>0.279</v>
      </c>
      <c r="BK47" s="31">
        <v>0.276</v>
      </c>
      <c r="BL47" s="31">
        <v>0.267</v>
      </c>
      <c r="BM47" s="31">
        <v>0.258</v>
      </c>
      <c r="BN47" s="31">
        <v>0.159</v>
      </c>
    </row>
    <row r="48" ht="14.25" customHeight="1">
      <c r="A48" s="31" t="s">
        <v>170</v>
      </c>
      <c r="B48" s="32" t="s">
        <v>171</v>
      </c>
      <c r="C48" s="32"/>
      <c r="D48" s="31">
        <v>0.004</v>
      </c>
      <c r="E48" s="31">
        <v>0.046</v>
      </c>
      <c r="F48" s="31">
        <v>0.268</v>
      </c>
      <c r="G48" s="31">
        <v>0.134</v>
      </c>
      <c r="H48" s="31">
        <v>0.144</v>
      </c>
      <c r="I48" s="31">
        <v>1.188</v>
      </c>
      <c r="J48" s="31">
        <v>0.307</v>
      </c>
      <c r="K48" s="31"/>
      <c r="L48" s="31">
        <v>0.038</v>
      </c>
      <c r="M48" s="31">
        <v>0.5</v>
      </c>
      <c r="N48" s="31">
        <v>0.122</v>
      </c>
      <c r="O48" s="31">
        <v>0.093</v>
      </c>
      <c r="P48" s="31">
        <v>0.054</v>
      </c>
      <c r="Q48" s="31">
        <v>0.038</v>
      </c>
      <c r="R48" s="31">
        <v>0.137</v>
      </c>
      <c r="S48" s="31">
        <v>0.142</v>
      </c>
      <c r="T48" s="93">
        <v>1.038</v>
      </c>
      <c r="U48" s="31">
        <v>0.233</v>
      </c>
      <c r="V48" s="31">
        <v>0.886</v>
      </c>
      <c r="W48" s="93">
        <v>0.983</v>
      </c>
      <c r="X48" s="31">
        <v>0.785</v>
      </c>
      <c r="Y48" s="31">
        <v>0.637</v>
      </c>
      <c r="Z48" s="31">
        <v>0.556</v>
      </c>
      <c r="AA48" s="31">
        <v>0.604</v>
      </c>
      <c r="AB48" s="31">
        <v>0.449</v>
      </c>
      <c r="AC48" s="31">
        <v>0.687</v>
      </c>
      <c r="AD48" s="31">
        <v>0.641</v>
      </c>
      <c r="AE48" s="93">
        <v>1.17</v>
      </c>
      <c r="AF48" s="93">
        <v>1.07</v>
      </c>
      <c r="AG48" s="31">
        <v>0.862</v>
      </c>
      <c r="AH48" s="93">
        <v>1.077</v>
      </c>
      <c r="AI48" s="31"/>
      <c r="AJ48" s="31"/>
      <c r="AK48" s="31"/>
      <c r="AL48" s="93">
        <v>1.215</v>
      </c>
      <c r="AM48" s="31">
        <v>0.761</v>
      </c>
      <c r="AN48" s="31"/>
      <c r="AO48" s="26">
        <v>1.305</v>
      </c>
      <c r="AP48" s="93">
        <v>1.094</v>
      </c>
      <c r="AQ48" s="26">
        <v>1.501</v>
      </c>
      <c r="AR48" s="93">
        <v>0.941</v>
      </c>
      <c r="AS48" s="31">
        <v>0.77</v>
      </c>
      <c r="AT48" s="31"/>
      <c r="AU48" s="31">
        <v>0.509</v>
      </c>
      <c r="AV48" s="31">
        <v>0.521</v>
      </c>
      <c r="AW48" s="93">
        <v>1.012</v>
      </c>
      <c r="AX48" s="31">
        <v>0.768</v>
      </c>
      <c r="AY48" s="93">
        <v>0.922</v>
      </c>
      <c r="AZ48" s="93">
        <v>1.227</v>
      </c>
      <c r="BA48" s="26">
        <v>1.311</v>
      </c>
      <c r="BB48" s="93">
        <v>1.224</v>
      </c>
      <c r="BC48" s="93">
        <v>1.237</v>
      </c>
      <c r="BD48" s="93">
        <v>1.163</v>
      </c>
      <c r="BE48" s="93">
        <v>0.969</v>
      </c>
      <c r="BF48" s="93">
        <v>1.079</v>
      </c>
      <c r="BG48" s="93">
        <v>1.065</v>
      </c>
      <c r="BH48" s="93">
        <v>0.94</v>
      </c>
      <c r="BI48" s="93">
        <v>1.266</v>
      </c>
      <c r="BJ48" s="93">
        <v>1.092</v>
      </c>
      <c r="BK48" s="93">
        <v>1.079</v>
      </c>
      <c r="BL48" s="93">
        <v>1.045</v>
      </c>
      <c r="BM48" s="93">
        <v>1.01</v>
      </c>
      <c r="BN48" s="31">
        <v>0.622</v>
      </c>
    </row>
    <row r="49" ht="14.25" customHeight="1">
      <c r="A49" s="31" t="s">
        <v>172</v>
      </c>
      <c r="B49" s="32" t="s">
        <v>173</v>
      </c>
      <c r="C49" s="32"/>
      <c r="D49" s="31">
        <v>0.008</v>
      </c>
      <c r="E49" s="31">
        <v>0.056</v>
      </c>
      <c r="F49" s="31">
        <v>0.338</v>
      </c>
      <c r="G49" s="31">
        <v>0.163</v>
      </c>
      <c r="H49" s="31">
        <v>0.174</v>
      </c>
      <c r="I49" s="31">
        <v>1.592</v>
      </c>
      <c r="J49" s="31">
        <v>0.412</v>
      </c>
      <c r="K49" s="31"/>
      <c r="L49" s="31">
        <v>0.051</v>
      </c>
      <c r="M49" s="31">
        <v>0.591</v>
      </c>
      <c r="N49" s="31">
        <v>0.163</v>
      </c>
      <c r="O49" s="31">
        <v>0.124</v>
      </c>
      <c r="P49" s="31">
        <v>0.047</v>
      </c>
      <c r="Q49" s="31">
        <v>0.038</v>
      </c>
      <c r="R49" s="31">
        <v>0.166</v>
      </c>
      <c r="S49" s="31">
        <v>0.189</v>
      </c>
      <c r="T49" s="26">
        <v>1.537</v>
      </c>
      <c r="U49" s="31">
        <v>0.324</v>
      </c>
      <c r="V49" s="26">
        <v>1.546</v>
      </c>
      <c r="W49" s="93">
        <v>1.135</v>
      </c>
      <c r="X49" s="93">
        <v>1.124</v>
      </c>
      <c r="Y49" s="31">
        <v>0.803</v>
      </c>
      <c r="Z49" s="31">
        <v>0.671</v>
      </c>
      <c r="AA49" s="31">
        <v>0.686</v>
      </c>
      <c r="AB49" s="31">
        <v>0.661</v>
      </c>
      <c r="AC49" s="31">
        <v>0.866</v>
      </c>
      <c r="AD49" s="31">
        <v>0.816</v>
      </c>
      <c r="AE49" s="93">
        <v>1.204</v>
      </c>
      <c r="AF49" s="93">
        <v>1.219</v>
      </c>
      <c r="AG49" s="93">
        <v>0.981</v>
      </c>
      <c r="AH49" s="93">
        <v>1.227</v>
      </c>
      <c r="AI49" s="31"/>
      <c r="AJ49" s="31"/>
      <c r="AK49" s="31"/>
      <c r="AL49" s="26">
        <v>1.352</v>
      </c>
      <c r="AM49" s="93">
        <v>0.973</v>
      </c>
      <c r="AN49" s="31"/>
      <c r="AO49" s="26">
        <v>1.338</v>
      </c>
      <c r="AP49" s="31">
        <v>1.178</v>
      </c>
      <c r="AQ49" s="26">
        <v>1.798</v>
      </c>
      <c r="AR49" s="93">
        <v>0.918</v>
      </c>
      <c r="AS49" s="31">
        <v>0.809</v>
      </c>
      <c r="AT49" s="31"/>
      <c r="AU49" s="31">
        <v>0.54</v>
      </c>
      <c r="AV49" s="31">
        <v>0.675</v>
      </c>
      <c r="AW49" s="93">
        <v>1.084</v>
      </c>
      <c r="AX49" s="31">
        <v>0.709</v>
      </c>
      <c r="AY49" s="93">
        <v>1.125</v>
      </c>
      <c r="AZ49" s="26">
        <v>1.409</v>
      </c>
      <c r="BA49" s="26">
        <v>1.378</v>
      </c>
      <c r="BB49" s="93">
        <v>1.287</v>
      </c>
      <c r="BC49" s="26">
        <v>1.3</v>
      </c>
      <c r="BD49" s="93">
        <v>1.223</v>
      </c>
      <c r="BE49" s="93">
        <v>1.018</v>
      </c>
      <c r="BF49" s="93">
        <v>1.134</v>
      </c>
      <c r="BG49" s="93">
        <v>1.12</v>
      </c>
      <c r="BH49" s="93">
        <v>0.988</v>
      </c>
      <c r="BI49" s="26">
        <v>1.331</v>
      </c>
      <c r="BJ49" s="93">
        <v>1.148</v>
      </c>
      <c r="BK49" s="93">
        <v>1.134</v>
      </c>
      <c r="BL49" s="93">
        <v>1.099</v>
      </c>
      <c r="BM49" s="93">
        <v>1.061</v>
      </c>
      <c r="BN49" s="31">
        <v>0.654</v>
      </c>
    </row>
    <row r="50" ht="14.25" customHeight="1">
      <c r="A50" s="31" t="s">
        <v>174</v>
      </c>
      <c r="B50" s="32" t="s">
        <v>175</v>
      </c>
      <c r="C50" s="32"/>
      <c r="D50" s="31">
        <v>0.01</v>
      </c>
      <c r="E50" s="31">
        <v>0.095</v>
      </c>
      <c r="F50" s="31">
        <v>0.587</v>
      </c>
      <c r="G50" s="31">
        <v>0.299</v>
      </c>
      <c r="H50" s="31">
        <v>0.319</v>
      </c>
      <c r="I50" s="26">
        <v>2.578</v>
      </c>
      <c r="J50" s="31">
        <v>0.667</v>
      </c>
      <c r="K50" s="31"/>
      <c r="L50" s="31">
        <v>0.083</v>
      </c>
      <c r="M50" s="31">
        <v>1.116</v>
      </c>
      <c r="N50" s="31">
        <v>0.264</v>
      </c>
      <c r="O50" s="31">
        <v>0.201</v>
      </c>
      <c r="P50" s="31">
        <v>0.078</v>
      </c>
      <c r="Q50" s="31">
        <v>0.072</v>
      </c>
      <c r="R50" s="31">
        <v>0.304</v>
      </c>
      <c r="S50" s="31">
        <v>0.35</v>
      </c>
      <c r="T50" s="26">
        <v>2.959</v>
      </c>
      <c r="U50" s="31">
        <v>0.657</v>
      </c>
      <c r="V50" s="26">
        <v>2.385</v>
      </c>
      <c r="W50" s="93">
        <v>1.826</v>
      </c>
      <c r="X50" s="26">
        <v>1.919</v>
      </c>
      <c r="Y50" s="31">
        <v>1.395</v>
      </c>
      <c r="Z50" s="31">
        <v>1.086</v>
      </c>
      <c r="AA50" s="31">
        <v>1.075</v>
      </c>
      <c r="AB50" s="31">
        <v>1.016</v>
      </c>
      <c r="AC50" s="31">
        <v>1.399</v>
      </c>
      <c r="AD50" s="31">
        <v>1.146</v>
      </c>
      <c r="AE50" s="26">
        <v>2.116</v>
      </c>
      <c r="AF50" s="26">
        <v>2.131</v>
      </c>
      <c r="AG50" s="93">
        <v>1.716</v>
      </c>
      <c r="AH50" s="26">
        <v>2.145</v>
      </c>
      <c r="AI50" s="31"/>
      <c r="AJ50" s="31"/>
      <c r="AK50" s="31"/>
      <c r="AL50" s="26">
        <v>2.67</v>
      </c>
      <c r="AM50" s="31">
        <v>1.498</v>
      </c>
      <c r="AN50" s="31"/>
      <c r="AO50" s="26">
        <v>2.292</v>
      </c>
      <c r="AP50" s="26">
        <v>2.048</v>
      </c>
      <c r="AQ50" s="26">
        <v>2.985</v>
      </c>
      <c r="AR50" s="93">
        <v>1.697</v>
      </c>
      <c r="AS50" s="31">
        <v>1.385</v>
      </c>
      <c r="AT50" s="31"/>
      <c r="AU50" s="31">
        <v>0.937</v>
      </c>
      <c r="AV50" s="31">
        <v>0.929</v>
      </c>
      <c r="AW50" s="93">
        <v>1.625</v>
      </c>
      <c r="AX50" s="31">
        <v>1.302</v>
      </c>
      <c r="AY50" s="93">
        <v>1.653</v>
      </c>
      <c r="AZ50" s="26">
        <v>2.184</v>
      </c>
      <c r="BA50" s="26">
        <v>2.431</v>
      </c>
      <c r="BB50" s="26">
        <v>2.27</v>
      </c>
      <c r="BC50" s="26">
        <v>2.293</v>
      </c>
      <c r="BD50" s="26">
        <v>2.156</v>
      </c>
      <c r="BE50" s="93">
        <v>1.796</v>
      </c>
      <c r="BF50" s="26">
        <v>2.001</v>
      </c>
      <c r="BG50" s="26">
        <v>1.975</v>
      </c>
      <c r="BH50" s="93">
        <v>1.742</v>
      </c>
      <c r="BI50" s="26">
        <v>2.348</v>
      </c>
      <c r="BJ50" s="26">
        <v>2.025</v>
      </c>
      <c r="BK50" s="26">
        <v>2.001</v>
      </c>
      <c r="BL50" s="26">
        <v>1.938</v>
      </c>
      <c r="BM50" s="93">
        <v>1.872</v>
      </c>
      <c r="BN50" s="31">
        <v>1.153</v>
      </c>
    </row>
    <row r="51" ht="14.25" customHeight="1">
      <c r="A51" s="31" t="s">
        <v>176</v>
      </c>
      <c r="B51" s="32" t="s">
        <v>177</v>
      </c>
      <c r="C51" s="32"/>
      <c r="D51" s="31">
        <v>0.008</v>
      </c>
      <c r="E51" s="31">
        <v>0.068</v>
      </c>
      <c r="F51" s="31">
        <v>0.513</v>
      </c>
      <c r="G51" s="31">
        <v>0.264</v>
      </c>
      <c r="H51" s="31">
        <v>0.282</v>
      </c>
      <c r="I51" s="93">
        <v>2.087</v>
      </c>
      <c r="J51" s="31">
        <v>0.54</v>
      </c>
      <c r="K51" s="31"/>
      <c r="L51" s="31">
        <v>0.067</v>
      </c>
      <c r="M51" s="31">
        <v>0.934</v>
      </c>
      <c r="N51" s="31">
        <v>0.214</v>
      </c>
      <c r="O51" s="31">
        <v>0.163</v>
      </c>
      <c r="P51" s="31">
        <v>0.068</v>
      </c>
      <c r="Q51" s="31">
        <v>0.065</v>
      </c>
      <c r="R51" s="31">
        <v>0.269</v>
      </c>
      <c r="S51" s="31">
        <v>0.311</v>
      </c>
      <c r="T51" s="26">
        <v>2.585</v>
      </c>
      <c r="U51" s="31">
        <v>0.567</v>
      </c>
      <c r="V51" s="93">
        <v>2.072</v>
      </c>
      <c r="W51" s="31">
        <v>0.965</v>
      </c>
      <c r="X51" s="31">
        <v>1.852</v>
      </c>
      <c r="Y51" s="31">
        <v>1.219</v>
      </c>
      <c r="Z51" s="31">
        <v>0.912</v>
      </c>
      <c r="AA51" s="31">
        <v>0.904</v>
      </c>
      <c r="AB51" s="31">
        <v>0.806</v>
      </c>
      <c r="AC51" s="31">
        <v>1.217</v>
      </c>
      <c r="AD51" s="31">
        <v>0.881</v>
      </c>
      <c r="AE51" s="93">
        <v>2.228</v>
      </c>
      <c r="AF51" s="93">
        <v>2.264</v>
      </c>
      <c r="AG51" s="31">
        <v>1.823</v>
      </c>
      <c r="AH51" s="93">
        <v>2.279</v>
      </c>
      <c r="AI51" s="31"/>
      <c r="AJ51" s="31"/>
      <c r="AK51" s="31"/>
      <c r="AL51" s="93">
        <v>2.247</v>
      </c>
      <c r="AM51" s="31">
        <v>1.446</v>
      </c>
      <c r="AN51" s="31"/>
      <c r="AO51" s="26">
        <v>2.569</v>
      </c>
      <c r="AP51" s="93">
        <v>2.213</v>
      </c>
      <c r="AQ51" s="26">
        <v>3.18</v>
      </c>
      <c r="AR51" s="31">
        <v>1.825</v>
      </c>
      <c r="AS51" s="31">
        <v>1.499</v>
      </c>
      <c r="AT51" s="31"/>
      <c r="AU51" s="31">
        <v>1.024</v>
      </c>
      <c r="AV51" s="31">
        <v>1.107</v>
      </c>
      <c r="AW51" s="31">
        <v>1.878</v>
      </c>
      <c r="AX51" s="31">
        <v>1.477</v>
      </c>
      <c r="AY51" s="31">
        <v>1.765</v>
      </c>
      <c r="AZ51" s="26">
        <v>2.557</v>
      </c>
      <c r="BA51" s="26">
        <v>2.747</v>
      </c>
      <c r="BB51" s="26">
        <v>2.565</v>
      </c>
      <c r="BC51" s="26">
        <v>2.59</v>
      </c>
      <c r="BD51" s="26">
        <v>2.437</v>
      </c>
      <c r="BE51" s="93">
        <v>2.03</v>
      </c>
      <c r="BF51" s="93">
        <v>2.26</v>
      </c>
      <c r="BG51" s="93">
        <v>2.232</v>
      </c>
      <c r="BH51" s="93">
        <v>1.968</v>
      </c>
      <c r="BI51" s="26">
        <v>2.653</v>
      </c>
      <c r="BJ51" s="93">
        <v>2.287</v>
      </c>
      <c r="BK51" s="93">
        <v>2.26</v>
      </c>
      <c r="BL51" s="93">
        <v>2.19</v>
      </c>
      <c r="BM51" s="93">
        <v>2.115</v>
      </c>
      <c r="BN51" s="31">
        <v>1.303</v>
      </c>
    </row>
    <row r="52" ht="14.25" customHeight="1">
      <c r="A52" s="31" t="s">
        <v>178</v>
      </c>
      <c r="B52" s="32" t="s">
        <v>179</v>
      </c>
      <c r="C52" s="32"/>
      <c r="D52" s="31">
        <v>0.001</v>
      </c>
      <c r="E52" s="31">
        <v>0.021</v>
      </c>
      <c r="F52" s="31">
        <v>0.155</v>
      </c>
      <c r="G52" s="31">
        <v>0.083</v>
      </c>
      <c r="H52" s="31">
        <v>0.088</v>
      </c>
      <c r="I52" s="31">
        <v>0.66</v>
      </c>
      <c r="J52" s="31">
        <v>0.171</v>
      </c>
      <c r="K52" s="31"/>
      <c r="L52" s="31">
        <v>0.021</v>
      </c>
      <c r="M52" s="31">
        <v>0.269</v>
      </c>
      <c r="N52" s="31">
        <v>0.068</v>
      </c>
      <c r="O52" s="31">
        <v>0.051</v>
      </c>
      <c r="P52" s="31">
        <v>0.016</v>
      </c>
      <c r="Q52" s="31">
        <v>0.014</v>
      </c>
      <c r="R52" s="31">
        <v>0.084</v>
      </c>
      <c r="S52" s="31">
        <v>0.102</v>
      </c>
      <c r="T52" s="26">
        <v>0.784</v>
      </c>
      <c r="U52" s="31">
        <v>0.191</v>
      </c>
      <c r="V52" s="93">
        <v>0.652</v>
      </c>
      <c r="W52" s="93">
        <v>0.515</v>
      </c>
      <c r="X52" s="93">
        <v>0.584</v>
      </c>
      <c r="Y52" s="31">
        <v>0.368</v>
      </c>
      <c r="Z52" s="31">
        <v>0.38</v>
      </c>
      <c r="AA52" s="31">
        <v>0.392</v>
      </c>
      <c r="AB52" s="31">
        <v>0.399</v>
      </c>
      <c r="AC52" s="31">
        <v>0.378</v>
      </c>
      <c r="AD52" s="31">
        <v>0.421</v>
      </c>
      <c r="AE52" s="93">
        <v>0.685</v>
      </c>
      <c r="AF52" s="93">
        <v>0.698</v>
      </c>
      <c r="AG52" s="93">
        <v>0.562</v>
      </c>
      <c r="AH52" s="26">
        <v>0.702</v>
      </c>
      <c r="AI52" s="31"/>
      <c r="AJ52" s="31"/>
      <c r="AK52" s="31"/>
      <c r="AL52" s="26">
        <v>0.759</v>
      </c>
      <c r="AM52" s="31">
        <v>0.408</v>
      </c>
      <c r="AN52" s="31"/>
      <c r="AO52" s="26">
        <v>0.756</v>
      </c>
      <c r="AP52" s="93">
        <v>0.682</v>
      </c>
      <c r="AQ52" s="26">
        <v>0.853</v>
      </c>
      <c r="AR52" s="93">
        <v>0.551</v>
      </c>
      <c r="AS52" s="31">
        <v>0.445</v>
      </c>
      <c r="AT52" s="31"/>
      <c r="AU52" s="31">
        <v>0.298</v>
      </c>
      <c r="AV52" s="31">
        <v>0.301</v>
      </c>
      <c r="AW52" s="31">
        <v>0.47</v>
      </c>
      <c r="AX52" s="31">
        <v>0.473</v>
      </c>
      <c r="AY52" s="93">
        <v>0.591</v>
      </c>
      <c r="AZ52" s="26">
        <v>0.79</v>
      </c>
      <c r="BA52" s="26">
        <v>0.885</v>
      </c>
      <c r="BB52" s="26">
        <v>0.827</v>
      </c>
      <c r="BC52" s="26">
        <v>0.835</v>
      </c>
      <c r="BD52" s="26">
        <v>0.785</v>
      </c>
      <c r="BE52" s="93">
        <v>0.654</v>
      </c>
      <c r="BF52" s="26">
        <v>0.729</v>
      </c>
      <c r="BG52" s="26">
        <v>0.719</v>
      </c>
      <c r="BH52" s="93">
        <v>0.634</v>
      </c>
      <c r="BI52" s="26">
        <v>0.855</v>
      </c>
      <c r="BJ52" s="26">
        <v>0.738</v>
      </c>
      <c r="BK52" s="26">
        <v>0.729</v>
      </c>
      <c r="BL52" s="26">
        <v>0.706</v>
      </c>
      <c r="BM52" s="93">
        <v>0.682</v>
      </c>
      <c r="BN52" s="31">
        <v>0.42</v>
      </c>
    </row>
    <row r="53" ht="14.25" customHeight="1">
      <c r="A53" s="21" t="s">
        <v>180</v>
      </c>
      <c r="B53" s="22" t="s">
        <v>181</v>
      </c>
      <c r="C53" s="22"/>
      <c r="D53" s="21">
        <v>0.003</v>
      </c>
      <c r="E53" s="23">
        <v>0.019</v>
      </c>
      <c r="F53" s="23">
        <v>0.035</v>
      </c>
      <c r="G53" s="23">
        <v>0.019</v>
      </c>
      <c r="H53" s="23">
        <v>0.021</v>
      </c>
      <c r="I53" s="23">
        <v>0.243</v>
      </c>
      <c r="J53" s="23">
        <v>0.063</v>
      </c>
      <c r="L53" s="23">
        <v>0.008</v>
      </c>
      <c r="M53" s="23">
        <v>0.066</v>
      </c>
      <c r="N53" s="23">
        <v>0.025</v>
      </c>
      <c r="O53" s="23">
        <v>0.019</v>
      </c>
      <c r="P53" s="23">
        <v>0.017</v>
      </c>
      <c r="Q53" s="23">
        <v>0.014</v>
      </c>
      <c r="R53" s="23">
        <v>0.02</v>
      </c>
      <c r="S53" s="23">
        <v>0.032</v>
      </c>
      <c r="T53" s="23">
        <v>0.29</v>
      </c>
      <c r="U53" s="23">
        <v>0.042</v>
      </c>
      <c r="V53" s="23">
        <v>0.125</v>
      </c>
      <c r="W53" s="23">
        <v>0.115</v>
      </c>
      <c r="X53" s="23">
        <v>0.107</v>
      </c>
      <c r="Y53" s="23">
        <v>0.083</v>
      </c>
      <c r="Z53" s="23">
        <v>0.272</v>
      </c>
      <c r="AA53" s="23">
        <v>0.292</v>
      </c>
      <c r="AB53" s="23">
        <v>0.287</v>
      </c>
      <c r="AC53" s="23">
        <v>0.264</v>
      </c>
      <c r="AD53" s="23">
        <v>0.311</v>
      </c>
      <c r="AE53" s="23">
        <v>0.3</v>
      </c>
      <c r="AF53" s="23">
        <v>0.346</v>
      </c>
      <c r="AG53" s="23">
        <v>0.278</v>
      </c>
      <c r="AH53" s="23">
        <v>0.348</v>
      </c>
      <c r="AL53" s="23">
        <v>0.526</v>
      </c>
      <c r="AM53" s="23">
        <v>0.313</v>
      </c>
      <c r="AO53" s="23">
        <v>0.364</v>
      </c>
      <c r="AP53" s="23">
        <v>0.281</v>
      </c>
      <c r="AQ53" s="23">
        <v>0.426</v>
      </c>
      <c r="AR53" s="23">
        <v>0.315</v>
      </c>
      <c r="AS53" s="23">
        <v>0.209</v>
      </c>
      <c r="AU53" s="23">
        <v>0.135</v>
      </c>
      <c r="AV53" s="23">
        <v>0.196</v>
      </c>
      <c r="AW53" s="23">
        <v>0.289</v>
      </c>
      <c r="AX53" s="23">
        <v>0.196</v>
      </c>
      <c r="AY53" s="23">
        <v>0.311</v>
      </c>
      <c r="AZ53" s="23">
        <v>0.308</v>
      </c>
      <c r="BA53" s="23">
        <v>0.321</v>
      </c>
      <c r="BB53" s="23">
        <v>0.3</v>
      </c>
      <c r="BC53" s="23">
        <v>0.302</v>
      </c>
      <c r="BD53" s="23">
        <v>0.284</v>
      </c>
      <c r="BE53" s="23">
        <v>0.237</v>
      </c>
      <c r="BF53" s="23">
        <v>0.264</v>
      </c>
      <c r="BG53" s="23">
        <v>0.26</v>
      </c>
      <c r="BH53" s="23">
        <v>0.23</v>
      </c>
      <c r="BI53" s="23">
        <v>0.31</v>
      </c>
      <c r="BJ53" s="23">
        <v>0.267</v>
      </c>
      <c r="BK53" s="23">
        <v>0.264</v>
      </c>
      <c r="BL53" s="23">
        <v>0.256</v>
      </c>
      <c r="BM53" s="23">
        <v>0.247</v>
      </c>
      <c r="BN53" s="23">
        <v>0.152</v>
      </c>
    </row>
    <row r="54" ht="14.25" customHeight="1">
      <c r="A54" s="31" t="s">
        <v>182</v>
      </c>
      <c r="B54" s="33" t="s">
        <v>183</v>
      </c>
      <c r="C54" s="32"/>
      <c r="D54" s="31">
        <v>0.011</v>
      </c>
      <c r="E54" s="31">
        <v>0.046</v>
      </c>
      <c r="F54" s="31">
        <v>0.284</v>
      </c>
      <c r="G54" s="31">
        <v>0.163</v>
      </c>
      <c r="H54" s="31">
        <v>0.175</v>
      </c>
      <c r="I54" s="93">
        <v>1.271</v>
      </c>
      <c r="J54" s="31">
        <v>0.329</v>
      </c>
      <c r="K54" s="31"/>
      <c r="L54" s="31">
        <v>0.041</v>
      </c>
      <c r="M54" s="31">
        <v>0.577</v>
      </c>
      <c r="N54" s="31">
        <v>0.13</v>
      </c>
      <c r="O54" s="31">
        <v>0.099</v>
      </c>
      <c r="P54" s="31">
        <v>0.027</v>
      </c>
      <c r="Q54" s="31">
        <v>0.025</v>
      </c>
      <c r="R54" s="31">
        <v>0.166</v>
      </c>
      <c r="S54" s="31">
        <v>0.189</v>
      </c>
      <c r="T54" s="26">
        <v>1.662</v>
      </c>
      <c r="U54" s="31">
        <v>0.291</v>
      </c>
      <c r="V54" s="26">
        <v>1.311</v>
      </c>
      <c r="W54" s="93">
        <v>1.011</v>
      </c>
      <c r="X54" s="93">
        <v>1.087</v>
      </c>
      <c r="Y54" s="31">
        <v>0.675</v>
      </c>
      <c r="Z54" s="31">
        <v>0.68</v>
      </c>
      <c r="AA54" s="31">
        <v>0.668</v>
      </c>
      <c r="AB54" s="31">
        <v>0.686</v>
      </c>
      <c r="AC54" s="31">
        <v>0.681</v>
      </c>
      <c r="AD54" s="31">
        <v>0.737</v>
      </c>
      <c r="AE54" s="93">
        <v>1.045</v>
      </c>
      <c r="AF54" s="93">
        <v>1.058</v>
      </c>
      <c r="AG54" s="31">
        <v>0.852</v>
      </c>
      <c r="AH54" s="93">
        <v>1.065</v>
      </c>
      <c r="AI54" s="31"/>
      <c r="AJ54" s="31"/>
      <c r="AK54" s="31"/>
      <c r="AL54" s="26">
        <v>1.515</v>
      </c>
      <c r="AM54" s="31">
        <v>0.829</v>
      </c>
      <c r="AN54" s="31"/>
      <c r="AO54" s="93">
        <v>1.14</v>
      </c>
      <c r="AP54" s="93">
        <v>1.034</v>
      </c>
      <c r="AQ54" s="26">
        <v>1.521</v>
      </c>
      <c r="AR54" s="93">
        <v>0.922</v>
      </c>
      <c r="AS54" s="31">
        <v>0.689</v>
      </c>
      <c r="AT54" s="31"/>
      <c r="AU54" s="31">
        <v>0.474</v>
      </c>
      <c r="AV54" s="31">
        <v>0.481</v>
      </c>
      <c r="AW54" s="93">
        <v>0.94</v>
      </c>
      <c r="AX54" s="31">
        <v>0.649</v>
      </c>
      <c r="AY54" s="31">
        <v>0.899</v>
      </c>
      <c r="AZ54" s="93">
        <v>1.1</v>
      </c>
      <c r="BA54" s="93">
        <v>1.168</v>
      </c>
      <c r="BB54" s="93">
        <v>1.091</v>
      </c>
      <c r="BC54" s="93">
        <v>1.101</v>
      </c>
      <c r="BD54" s="93">
        <v>1.036</v>
      </c>
      <c r="BE54" s="31">
        <v>0.863</v>
      </c>
      <c r="BF54" s="93">
        <v>0.961</v>
      </c>
      <c r="BG54" s="93">
        <v>0.949</v>
      </c>
      <c r="BH54" s="31">
        <v>0.837</v>
      </c>
      <c r="BI54" s="93">
        <v>1.128</v>
      </c>
      <c r="BJ54" s="93">
        <v>0.973</v>
      </c>
      <c r="BK54" s="93">
        <v>0.961</v>
      </c>
      <c r="BL54" s="93">
        <v>0.931</v>
      </c>
      <c r="BM54" s="31">
        <v>0.899</v>
      </c>
      <c r="BN54" s="31">
        <v>0.554</v>
      </c>
    </row>
    <row r="55" ht="14.25" customHeight="1">
      <c r="A55" s="21" t="s">
        <v>184</v>
      </c>
      <c r="C55" s="22"/>
      <c r="D55" s="21">
        <v>0.008</v>
      </c>
      <c r="E55" s="23">
        <v>0.053</v>
      </c>
      <c r="F55" s="23">
        <v>0.281</v>
      </c>
      <c r="G55" s="23">
        <v>0.159</v>
      </c>
      <c r="H55" s="23">
        <v>0.17</v>
      </c>
      <c r="I55" s="23">
        <v>1.271</v>
      </c>
      <c r="J55" s="23">
        <v>0.329</v>
      </c>
      <c r="L55" s="23">
        <v>0.041</v>
      </c>
      <c r="M55" s="23">
        <v>0.604</v>
      </c>
      <c r="N55" s="23">
        <v>0.13</v>
      </c>
      <c r="O55" s="23">
        <v>0.099</v>
      </c>
      <c r="P55" s="23">
        <v>0.024</v>
      </c>
      <c r="Q55" s="23">
        <v>0.019</v>
      </c>
      <c r="R55" s="23">
        <v>0.162</v>
      </c>
      <c r="S55" s="23">
        <v>0.175</v>
      </c>
      <c r="T55" s="23">
        <v>1.693</v>
      </c>
      <c r="U55" s="23">
        <v>0.303</v>
      </c>
      <c r="V55" s="23">
        <v>1.202</v>
      </c>
      <c r="W55" s="23">
        <v>1.043</v>
      </c>
      <c r="X55" s="23">
        <v>1.295</v>
      </c>
      <c r="Y55" s="23">
        <v>0.668</v>
      </c>
      <c r="Z55" s="23">
        <v>0.499</v>
      </c>
      <c r="AA55" s="23">
        <v>0.513</v>
      </c>
      <c r="AB55" s="23">
        <v>0.457</v>
      </c>
      <c r="AC55" s="23">
        <v>0.678</v>
      </c>
      <c r="AD55" s="23">
        <v>0.543</v>
      </c>
      <c r="AE55" s="23">
        <v>0.9</v>
      </c>
      <c r="AF55" s="23">
        <v>0.854</v>
      </c>
      <c r="AG55" s="23">
        <v>0.687</v>
      </c>
      <c r="AH55" s="23">
        <v>0.859</v>
      </c>
      <c r="AL55" s="23">
        <v>1.128</v>
      </c>
      <c r="AM55" s="23">
        <v>0.46</v>
      </c>
      <c r="AO55" s="23">
        <v>0.995</v>
      </c>
      <c r="AP55" s="23">
        <v>0.986</v>
      </c>
      <c r="AQ55" s="23">
        <v>1.2</v>
      </c>
      <c r="AR55" s="23">
        <v>0.682</v>
      </c>
      <c r="AS55" s="23">
        <v>0.606</v>
      </c>
      <c r="AU55" s="23">
        <v>0.388</v>
      </c>
      <c r="AV55" s="23">
        <v>0.552</v>
      </c>
      <c r="AW55" s="23">
        <v>0.686</v>
      </c>
      <c r="AX55" s="23">
        <v>0.56</v>
      </c>
      <c r="AY55" s="23">
        <v>0.732</v>
      </c>
      <c r="AZ55" s="23">
        <v>1.066</v>
      </c>
      <c r="BA55" s="23">
        <v>1.01</v>
      </c>
      <c r="BB55" s="23">
        <v>0.943</v>
      </c>
      <c r="BC55" s="23">
        <v>0.952</v>
      </c>
      <c r="BD55" s="23">
        <v>0.896</v>
      </c>
      <c r="BE55" s="23">
        <v>0.746</v>
      </c>
      <c r="BF55" s="23">
        <v>0.831</v>
      </c>
      <c r="BG55" s="23">
        <v>0.82</v>
      </c>
      <c r="BH55" s="23">
        <v>0.724</v>
      </c>
      <c r="BI55" s="23">
        <v>0.975</v>
      </c>
      <c r="BJ55" s="23">
        <v>0.84</v>
      </c>
      <c r="BK55" s="23">
        <v>0.831</v>
      </c>
      <c r="BL55" s="23">
        <v>0.805</v>
      </c>
      <c r="BM55" s="23">
        <v>0.778</v>
      </c>
      <c r="BN55" s="23">
        <v>0.479</v>
      </c>
    </row>
    <row r="56" ht="14.25" customHeight="1">
      <c r="A56" s="31" t="s">
        <v>185</v>
      </c>
      <c r="B56" s="32" t="s">
        <v>186</v>
      </c>
      <c r="C56" s="32"/>
      <c r="D56" s="31">
        <v>0.009</v>
      </c>
      <c r="E56" s="31">
        <v>0.063</v>
      </c>
      <c r="F56" s="31">
        <v>0.448</v>
      </c>
      <c r="G56" s="31">
        <v>0.206</v>
      </c>
      <c r="H56" s="31">
        <v>0.221</v>
      </c>
      <c r="I56" s="26">
        <v>1.762</v>
      </c>
      <c r="J56" s="31">
        <v>0.456</v>
      </c>
      <c r="K56" s="31"/>
      <c r="L56" s="31">
        <v>0.057</v>
      </c>
      <c r="M56" s="31">
        <v>0.748</v>
      </c>
      <c r="N56" s="31">
        <v>0.181</v>
      </c>
      <c r="O56" s="31">
        <v>0.137</v>
      </c>
      <c r="P56" s="31">
        <v>0.046</v>
      </c>
      <c r="Q56" s="31">
        <v>0.038</v>
      </c>
      <c r="R56" s="31">
        <v>0.21</v>
      </c>
      <c r="S56" s="31">
        <v>0.287</v>
      </c>
      <c r="T56" s="26">
        <v>2.139</v>
      </c>
      <c r="U56" s="31">
        <v>0.395</v>
      </c>
      <c r="V56" s="26">
        <v>1.663</v>
      </c>
      <c r="W56" s="93">
        <v>1.322</v>
      </c>
      <c r="X56" s="26">
        <v>1.556</v>
      </c>
      <c r="Y56" s="93">
        <v>1.065</v>
      </c>
      <c r="Z56" s="31">
        <v>0.858</v>
      </c>
      <c r="AA56" s="31">
        <v>0.767</v>
      </c>
      <c r="AB56" s="31">
        <v>0.809</v>
      </c>
      <c r="AC56" s="31">
        <v>0.949</v>
      </c>
      <c r="AD56" s="31">
        <v>0.94</v>
      </c>
      <c r="AE56" s="93">
        <v>1.302</v>
      </c>
      <c r="AF56" s="93">
        <v>1.329</v>
      </c>
      <c r="AG56" s="93">
        <v>1.07</v>
      </c>
      <c r="AH56" s="93">
        <v>1.338</v>
      </c>
      <c r="AI56" s="31"/>
      <c r="AJ56" s="31"/>
      <c r="AK56" s="31"/>
      <c r="AL56" s="26">
        <v>1.761</v>
      </c>
      <c r="AM56" s="93">
        <v>1.005</v>
      </c>
      <c r="AN56" s="31"/>
      <c r="AO56" s="26">
        <v>1.55</v>
      </c>
      <c r="AP56" s="93">
        <v>1.259</v>
      </c>
      <c r="AQ56" s="26">
        <v>2.04</v>
      </c>
      <c r="AR56" s="31">
        <v>0.941</v>
      </c>
      <c r="AS56" s="31">
        <v>0.927</v>
      </c>
      <c r="AT56" s="31"/>
      <c r="AU56" s="31">
        <v>0.614</v>
      </c>
      <c r="AV56" s="31">
        <v>0.668</v>
      </c>
      <c r="AW56" s="93">
        <v>1.12</v>
      </c>
      <c r="AX56" s="31">
        <v>0.78</v>
      </c>
      <c r="AY56" s="93">
        <v>1.1</v>
      </c>
      <c r="AZ56" s="26">
        <v>1.464</v>
      </c>
      <c r="BA56" s="26">
        <v>1.541</v>
      </c>
      <c r="BB56" s="26">
        <v>1.438</v>
      </c>
      <c r="BC56" s="26">
        <v>1.453</v>
      </c>
      <c r="BD56" s="93">
        <v>1.367</v>
      </c>
      <c r="BE56" s="93">
        <v>1.139</v>
      </c>
      <c r="BF56" s="93">
        <v>1.268</v>
      </c>
      <c r="BG56" s="93">
        <v>1.252</v>
      </c>
      <c r="BH56" s="93">
        <v>1.104</v>
      </c>
      <c r="BI56" s="26">
        <v>1.488</v>
      </c>
      <c r="BJ56" s="93">
        <v>1.283</v>
      </c>
      <c r="BK56" s="93">
        <v>1.268</v>
      </c>
      <c r="BL56" s="93">
        <v>1.228</v>
      </c>
      <c r="BM56" s="93">
        <v>1.187</v>
      </c>
      <c r="BN56" s="31">
        <v>0.731</v>
      </c>
    </row>
    <row r="57" ht="14.25" customHeight="1">
      <c r="A57" s="34" t="s">
        <v>187</v>
      </c>
      <c r="B57" s="35"/>
      <c r="C57" s="35"/>
      <c r="D57" s="34">
        <v>0.005</v>
      </c>
      <c r="E57" s="34">
        <v>0.043</v>
      </c>
      <c r="F57" s="34">
        <v>0.198</v>
      </c>
      <c r="G57" s="34">
        <v>0.09</v>
      </c>
      <c r="H57" s="34">
        <v>0.096</v>
      </c>
      <c r="I57" s="34">
        <v>0.953</v>
      </c>
      <c r="J57" s="34">
        <v>0.247</v>
      </c>
      <c r="K57" s="34"/>
      <c r="L57" s="34">
        <v>0.031</v>
      </c>
      <c r="M57" s="34">
        <v>0.497</v>
      </c>
      <c r="N57" s="34">
        <v>0.098</v>
      </c>
      <c r="O57" s="34">
        <v>0.074</v>
      </c>
      <c r="P57" s="34">
        <v>0.025</v>
      </c>
      <c r="Q57" s="34">
        <v>0.021</v>
      </c>
      <c r="R57" s="34">
        <v>0.092</v>
      </c>
      <c r="S57" s="34">
        <v>0.104</v>
      </c>
      <c r="T57" s="34">
        <v>0.927</v>
      </c>
      <c r="U57" s="34">
        <v>0.235</v>
      </c>
      <c r="V57" s="34">
        <v>0.941</v>
      </c>
      <c r="W57" s="34">
        <v>0.515</v>
      </c>
      <c r="X57" s="34">
        <v>0.711</v>
      </c>
      <c r="Y57" s="34">
        <v>0.47</v>
      </c>
      <c r="Z57" s="34">
        <v>0.82</v>
      </c>
      <c r="AA57" s="34">
        <v>0.755</v>
      </c>
      <c r="AB57" s="34">
        <v>0.648</v>
      </c>
      <c r="AC57" s="34">
        <v>1.099</v>
      </c>
      <c r="AD57" s="34">
        <v>0.835</v>
      </c>
      <c r="AE57" s="34">
        <v>1.692</v>
      </c>
      <c r="AF57" s="34">
        <v>1.732</v>
      </c>
      <c r="AG57" s="34">
        <v>1.395</v>
      </c>
      <c r="AH57" s="34">
        <v>1.743</v>
      </c>
      <c r="AI57" s="34"/>
      <c r="AJ57" s="34"/>
      <c r="AK57" s="34"/>
      <c r="AL57" s="34">
        <v>1.735</v>
      </c>
      <c r="AM57" s="34">
        <v>1.234</v>
      </c>
      <c r="AN57" s="34"/>
      <c r="AO57" s="34">
        <v>1.776</v>
      </c>
      <c r="AP57" s="34">
        <v>1.603</v>
      </c>
      <c r="AQ57" s="34">
        <v>2.483</v>
      </c>
      <c r="AR57" s="34">
        <v>1.459</v>
      </c>
      <c r="AS57" s="34">
        <v>1.03</v>
      </c>
      <c r="AT57" s="34"/>
      <c r="AU57" s="34">
        <v>0.908</v>
      </c>
      <c r="AV57" s="34">
        <v>0.855</v>
      </c>
      <c r="AW57" s="34">
        <v>1.373</v>
      </c>
      <c r="AX57" s="34">
        <v>1.147</v>
      </c>
      <c r="AY57" s="34">
        <v>1.378</v>
      </c>
      <c r="AZ57" s="34">
        <v>1.979</v>
      </c>
      <c r="BA57" s="34">
        <v>1.79</v>
      </c>
      <c r="BB57" s="34">
        <v>1.671</v>
      </c>
      <c r="BC57" s="34">
        <v>1.688</v>
      </c>
      <c r="BD57" s="34">
        <v>1.588</v>
      </c>
      <c r="BE57" s="34">
        <v>1.322</v>
      </c>
      <c r="BF57" s="34">
        <v>1.473</v>
      </c>
      <c r="BG57" s="34">
        <v>1.454</v>
      </c>
      <c r="BH57" s="34">
        <v>1.282</v>
      </c>
      <c r="BI57" s="34">
        <v>1.729</v>
      </c>
      <c r="BJ57" s="34">
        <v>1.491</v>
      </c>
      <c r="BK57" s="34">
        <v>1.473</v>
      </c>
      <c r="BL57" s="34">
        <v>1.427</v>
      </c>
      <c r="BM57" s="34">
        <v>1.378</v>
      </c>
      <c r="BN57" s="34">
        <v>0.849</v>
      </c>
    </row>
    <row r="58" ht="14.25" customHeight="1">
      <c r="A58" s="34" t="s">
        <v>188</v>
      </c>
      <c r="B58" s="35" t="s">
        <v>189</v>
      </c>
      <c r="C58" s="35"/>
      <c r="D58" s="34">
        <v>0.001</v>
      </c>
      <c r="E58" s="34">
        <v>0.023</v>
      </c>
      <c r="F58" s="34">
        <v>0.167</v>
      </c>
      <c r="G58" s="34">
        <v>0.095</v>
      </c>
      <c r="H58" s="34">
        <v>0.102</v>
      </c>
      <c r="I58" s="34">
        <v>0.714</v>
      </c>
      <c r="J58" s="34">
        <v>0.185</v>
      </c>
      <c r="K58" s="34"/>
      <c r="L58" s="34">
        <v>0.023</v>
      </c>
      <c r="M58" s="34">
        <v>0.326</v>
      </c>
      <c r="N58" s="34">
        <v>0.073</v>
      </c>
      <c r="O58" s="34">
        <v>0.056</v>
      </c>
      <c r="P58" s="34">
        <v>0.016</v>
      </c>
      <c r="Q58" s="34">
        <v>0.015</v>
      </c>
      <c r="R58" s="34">
        <v>0.097</v>
      </c>
      <c r="S58" s="34">
        <v>0.086</v>
      </c>
      <c r="T58" s="34">
        <v>1.065</v>
      </c>
      <c r="U58" s="34">
        <v>0.175</v>
      </c>
      <c r="V58" s="34">
        <v>0.874</v>
      </c>
      <c r="W58" s="34">
        <v>0.515</v>
      </c>
      <c r="X58" s="34">
        <v>0.758</v>
      </c>
      <c r="Y58" s="34">
        <v>0.397</v>
      </c>
      <c r="Z58" s="34">
        <v>0.309</v>
      </c>
      <c r="AA58" s="34">
        <v>0.298</v>
      </c>
      <c r="AB58" s="34">
        <v>0.29</v>
      </c>
      <c r="AC58" s="34">
        <v>0.416</v>
      </c>
      <c r="AD58" s="34">
        <v>0.315</v>
      </c>
      <c r="AE58" s="34">
        <v>0.917</v>
      </c>
      <c r="AF58" s="34">
        <v>0.855</v>
      </c>
      <c r="AG58" s="34">
        <v>0.688</v>
      </c>
      <c r="AH58" s="34">
        <v>0.86</v>
      </c>
      <c r="AI58" s="34"/>
      <c r="AJ58" s="34"/>
      <c r="AK58" s="34"/>
      <c r="AL58" s="34">
        <v>0.879</v>
      </c>
      <c r="AM58" s="34">
        <v>0.62</v>
      </c>
      <c r="AN58" s="34"/>
      <c r="AO58" s="34">
        <v>1.141</v>
      </c>
      <c r="AP58" s="34">
        <v>1.012</v>
      </c>
      <c r="AQ58" s="34">
        <v>1.441</v>
      </c>
      <c r="AR58" s="34">
        <v>0.735</v>
      </c>
      <c r="AS58" s="34">
        <v>0.646</v>
      </c>
      <c r="AT58" s="34"/>
      <c r="AU58" s="34">
        <v>0.361</v>
      </c>
      <c r="AV58" s="34">
        <v>0.359</v>
      </c>
      <c r="AW58" s="34">
        <v>0.614</v>
      </c>
      <c r="AX58" s="34">
        <v>0.56</v>
      </c>
      <c r="AY58" s="34">
        <v>0.655</v>
      </c>
      <c r="AZ58" s="34">
        <v>0.845</v>
      </c>
      <c r="BA58" s="34">
        <v>0.88</v>
      </c>
      <c r="BB58" s="34">
        <v>0.822</v>
      </c>
      <c r="BC58" s="34">
        <v>0.83</v>
      </c>
      <c r="BD58" s="34">
        <v>0.781</v>
      </c>
      <c r="BE58" s="34">
        <v>0.651</v>
      </c>
      <c r="BF58" s="34">
        <v>0.725</v>
      </c>
      <c r="BG58" s="34">
        <v>0.715</v>
      </c>
      <c r="BH58" s="34">
        <v>0.631</v>
      </c>
      <c r="BI58" s="34">
        <v>0.85</v>
      </c>
      <c r="BJ58" s="34">
        <v>0.733</v>
      </c>
      <c r="BK58" s="34">
        <v>0.725</v>
      </c>
      <c r="BL58" s="34">
        <v>0.702</v>
      </c>
      <c r="BM58" s="34">
        <v>0.678</v>
      </c>
      <c r="BN58" s="34">
        <v>0.418</v>
      </c>
    </row>
    <row r="59" ht="14.25" customHeight="1">
      <c r="A59" s="21" t="s">
        <v>190</v>
      </c>
      <c r="B59" s="22"/>
      <c r="C59" s="22"/>
      <c r="D59" s="21">
        <v>0.006</v>
      </c>
      <c r="E59" s="23">
        <v>0.036</v>
      </c>
      <c r="F59" s="23">
        <v>0.269</v>
      </c>
      <c r="G59" s="23">
        <v>0.107</v>
      </c>
      <c r="H59" s="23">
        <v>0.114</v>
      </c>
      <c r="I59" s="23">
        <v>0.908</v>
      </c>
      <c r="J59" s="23">
        <v>0.235</v>
      </c>
      <c r="L59" s="23">
        <v>0.029</v>
      </c>
      <c r="M59" s="23">
        <v>0.384</v>
      </c>
      <c r="N59" s="23">
        <v>0.093</v>
      </c>
      <c r="O59" s="23">
        <v>0.071</v>
      </c>
      <c r="P59" s="23">
        <v>0.039</v>
      </c>
      <c r="Q59" s="23">
        <v>0.033</v>
      </c>
      <c r="R59" s="23">
        <v>0.108</v>
      </c>
      <c r="S59" s="23">
        <v>0.148</v>
      </c>
      <c r="T59" s="23">
        <v>0.914</v>
      </c>
      <c r="U59" s="23">
        <v>0.184</v>
      </c>
      <c r="V59" s="23">
        <v>0.703</v>
      </c>
      <c r="W59" s="23">
        <v>0.707</v>
      </c>
      <c r="X59" s="23">
        <v>0.644</v>
      </c>
      <c r="Y59" s="23">
        <v>0.639</v>
      </c>
      <c r="Z59" s="23">
        <v>0.735</v>
      </c>
      <c r="AA59" s="23">
        <v>0.7</v>
      </c>
      <c r="AB59" s="23">
        <v>0.704</v>
      </c>
      <c r="AC59" s="23">
        <v>0.836</v>
      </c>
      <c r="AD59" s="23">
        <v>0.762</v>
      </c>
      <c r="AE59" s="23">
        <v>1.615</v>
      </c>
      <c r="AF59" s="23">
        <v>1.629</v>
      </c>
      <c r="AG59" s="23">
        <v>1.311</v>
      </c>
      <c r="AH59" s="23">
        <v>1.639</v>
      </c>
      <c r="AL59" s="23">
        <v>1.627</v>
      </c>
      <c r="AM59" s="23">
        <v>1.26</v>
      </c>
      <c r="AO59" s="23">
        <v>1.664</v>
      </c>
      <c r="AP59" s="23">
        <v>1.425</v>
      </c>
      <c r="AQ59" s="23">
        <v>2.453</v>
      </c>
      <c r="AR59" s="23">
        <v>1.183</v>
      </c>
      <c r="AS59" s="23">
        <v>0.966</v>
      </c>
      <c r="AU59" s="23">
        <v>0.724</v>
      </c>
      <c r="AV59" s="23">
        <v>0.88</v>
      </c>
      <c r="AW59" s="23">
        <v>1.336</v>
      </c>
      <c r="AX59" s="23">
        <v>1.088</v>
      </c>
      <c r="AY59" s="23">
        <v>1.27</v>
      </c>
      <c r="AZ59" s="23">
        <v>1.79</v>
      </c>
      <c r="BA59" s="23">
        <v>1.809</v>
      </c>
      <c r="BB59" s="23">
        <v>1.689</v>
      </c>
      <c r="BC59" s="23">
        <v>1.706</v>
      </c>
      <c r="BD59" s="23">
        <v>1.605</v>
      </c>
      <c r="BE59" s="23">
        <v>1.337</v>
      </c>
      <c r="BF59" s="23">
        <v>1.489</v>
      </c>
      <c r="BG59" s="23">
        <v>1.47</v>
      </c>
      <c r="BH59" s="23">
        <v>1.296</v>
      </c>
      <c r="BI59" s="23">
        <v>1.747</v>
      </c>
      <c r="BJ59" s="23">
        <v>1.507</v>
      </c>
      <c r="BK59" s="23">
        <v>1.489</v>
      </c>
      <c r="BL59" s="23">
        <v>1.442</v>
      </c>
      <c r="BM59" s="23">
        <v>1.393</v>
      </c>
      <c r="BN59" s="23">
        <v>0.858</v>
      </c>
    </row>
    <row r="60" ht="14.25" customHeight="1">
      <c r="A60" s="21" t="s">
        <v>191</v>
      </c>
      <c r="B60" s="22"/>
      <c r="C60" s="22"/>
      <c r="D60" s="21">
        <v>0.027</v>
      </c>
      <c r="E60" s="23">
        <v>0.082</v>
      </c>
      <c r="F60" s="23">
        <v>0.328</v>
      </c>
      <c r="G60" s="23">
        <v>0.27</v>
      </c>
      <c r="H60" s="23">
        <v>0.288</v>
      </c>
      <c r="I60" s="23">
        <v>1.997</v>
      </c>
      <c r="J60" s="23">
        <v>0.517</v>
      </c>
      <c r="L60" s="23">
        <v>0.064</v>
      </c>
      <c r="M60" s="23">
        <v>0.905</v>
      </c>
      <c r="N60" s="23">
        <v>0.205</v>
      </c>
      <c r="O60" s="23">
        <v>0.156</v>
      </c>
      <c r="P60" s="23">
        <v>0.083</v>
      </c>
      <c r="Q60" s="23">
        <v>0.074</v>
      </c>
      <c r="R60" s="23">
        <v>0.275</v>
      </c>
      <c r="S60" s="23">
        <v>0.275</v>
      </c>
      <c r="T60" s="23">
        <v>1.569</v>
      </c>
      <c r="U60" s="23">
        <v>0.514</v>
      </c>
      <c r="V60" s="23">
        <v>1.6</v>
      </c>
      <c r="W60" s="23">
        <v>1.633</v>
      </c>
      <c r="X60" s="23">
        <v>1.436</v>
      </c>
      <c r="Y60" s="23">
        <v>0.779</v>
      </c>
      <c r="Z60" s="23">
        <v>1.329</v>
      </c>
      <c r="AA60" s="23">
        <v>1.264</v>
      </c>
      <c r="AB60" s="23">
        <v>1.22</v>
      </c>
      <c r="AC60" s="23">
        <v>1.55</v>
      </c>
      <c r="AD60" s="23">
        <v>1.294</v>
      </c>
      <c r="AE60" s="23">
        <v>2.446</v>
      </c>
      <c r="AF60" s="23">
        <v>2.44</v>
      </c>
      <c r="AG60" s="23">
        <v>1.965</v>
      </c>
      <c r="AH60" s="23">
        <v>2.456</v>
      </c>
      <c r="AL60" s="23">
        <v>2.694</v>
      </c>
      <c r="AM60" s="23">
        <v>1.231</v>
      </c>
      <c r="AO60" s="23">
        <v>2.65</v>
      </c>
      <c r="AP60" s="23">
        <v>2.327</v>
      </c>
      <c r="AQ60" s="23">
        <v>3.607</v>
      </c>
      <c r="AR60" s="23">
        <v>1.897</v>
      </c>
      <c r="AS60" s="23">
        <v>1.55</v>
      </c>
      <c r="AU60" s="23">
        <v>1.143</v>
      </c>
      <c r="AV60" s="23">
        <v>1.285</v>
      </c>
      <c r="AW60" s="23">
        <v>2.095</v>
      </c>
      <c r="AX60" s="23">
        <v>1.616</v>
      </c>
      <c r="AY60" s="23">
        <v>1.95</v>
      </c>
      <c r="AZ60" s="23">
        <v>2.709</v>
      </c>
      <c r="BA60" s="23">
        <v>3.062</v>
      </c>
      <c r="BB60" s="23">
        <v>2.86</v>
      </c>
      <c r="BC60" s="23">
        <v>2.888</v>
      </c>
      <c r="BD60" s="23">
        <v>2.717</v>
      </c>
      <c r="BE60" s="23">
        <v>2.263</v>
      </c>
      <c r="BF60" s="23">
        <v>2.52</v>
      </c>
      <c r="BG60" s="23">
        <v>2.488</v>
      </c>
      <c r="BH60" s="23">
        <v>2.195</v>
      </c>
      <c r="BI60" s="23">
        <v>2.958</v>
      </c>
      <c r="BJ60" s="23">
        <v>2.551</v>
      </c>
      <c r="BK60" s="23">
        <v>2.52</v>
      </c>
      <c r="BL60" s="23">
        <v>2.442</v>
      </c>
      <c r="BM60" s="23">
        <v>2.358</v>
      </c>
      <c r="BN60" s="23">
        <v>1.453</v>
      </c>
    </row>
    <row r="61" ht="14.25" customHeight="1">
      <c r="A61" s="21" t="s">
        <v>192</v>
      </c>
      <c r="B61" s="22"/>
      <c r="C61" s="22"/>
      <c r="D61" s="21">
        <v>0.018</v>
      </c>
      <c r="E61" s="23">
        <v>0.168</v>
      </c>
      <c r="F61" s="23">
        <v>1.019</v>
      </c>
      <c r="G61" s="23">
        <v>0.708</v>
      </c>
      <c r="H61" s="23">
        <v>0.757</v>
      </c>
      <c r="I61" s="23">
        <v>5.512</v>
      </c>
      <c r="J61" s="23">
        <v>1.426</v>
      </c>
      <c r="L61" s="23">
        <v>0.178</v>
      </c>
      <c r="M61" s="23">
        <v>2.603</v>
      </c>
      <c r="N61" s="23">
        <v>0.565</v>
      </c>
      <c r="O61" s="23">
        <v>0.429</v>
      </c>
      <c r="P61" s="23">
        <v>0.148</v>
      </c>
      <c r="Q61" s="23">
        <v>0.136</v>
      </c>
      <c r="R61" s="23">
        <v>0.721</v>
      </c>
      <c r="S61" s="23">
        <v>0.679</v>
      </c>
      <c r="T61" s="23">
        <v>5.704</v>
      </c>
      <c r="U61" s="23">
        <v>1.304</v>
      </c>
      <c r="V61" s="23">
        <v>6.092</v>
      </c>
      <c r="W61" s="23">
        <v>4.458</v>
      </c>
      <c r="X61" s="23">
        <v>5.179</v>
      </c>
      <c r="Y61" s="23">
        <v>2.421</v>
      </c>
      <c r="Z61" s="23">
        <v>1.673</v>
      </c>
      <c r="AA61" s="23">
        <v>1.644</v>
      </c>
      <c r="AB61" s="23">
        <v>1.55</v>
      </c>
      <c r="AC61" s="23">
        <v>1.97</v>
      </c>
      <c r="AD61" s="23">
        <v>1.662</v>
      </c>
      <c r="AE61" s="23">
        <v>4.023</v>
      </c>
      <c r="AF61" s="23">
        <v>4.022</v>
      </c>
      <c r="AG61" s="23">
        <v>3.238</v>
      </c>
      <c r="AH61" s="23">
        <v>4.047</v>
      </c>
      <c r="AL61" s="23">
        <v>3.652</v>
      </c>
      <c r="AM61" s="23">
        <v>2.174</v>
      </c>
      <c r="AO61" s="23">
        <v>4.472</v>
      </c>
      <c r="AP61" s="23">
        <v>3.801</v>
      </c>
      <c r="AQ61" s="23">
        <v>5.643</v>
      </c>
      <c r="AR61" s="23">
        <v>3.267</v>
      </c>
      <c r="AS61" s="23">
        <v>2.718</v>
      </c>
      <c r="AU61" s="23">
        <v>1.889</v>
      </c>
      <c r="AV61" s="23">
        <v>1.929</v>
      </c>
      <c r="AW61" s="23">
        <v>3.829</v>
      </c>
      <c r="AX61" s="23">
        <v>2.685</v>
      </c>
      <c r="AY61" s="23">
        <v>3.605</v>
      </c>
      <c r="AZ61" s="23">
        <v>4.484</v>
      </c>
      <c r="BA61" s="23">
        <v>4.464</v>
      </c>
      <c r="BB61" s="23">
        <v>4.168</v>
      </c>
      <c r="BC61" s="23">
        <v>4.21</v>
      </c>
      <c r="BD61" s="23">
        <v>3.961</v>
      </c>
      <c r="BE61" s="23">
        <v>3.299</v>
      </c>
      <c r="BF61" s="23">
        <v>3.674</v>
      </c>
      <c r="BG61" s="23">
        <v>3.627</v>
      </c>
      <c r="BH61" s="23">
        <v>3.199</v>
      </c>
      <c r="BI61" s="23">
        <v>4.312</v>
      </c>
      <c r="BJ61" s="23">
        <v>3.719</v>
      </c>
      <c r="BK61" s="23">
        <v>3.674</v>
      </c>
      <c r="BL61" s="23">
        <v>3.559</v>
      </c>
      <c r="BM61" s="23">
        <v>3.438</v>
      </c>
      <c r="BN61" s="23">
        <v>2.118</v>
      </c>
    </row>
    <row r="62" ht="14.25" customHeight="1">
      <c r="A62" s="21" t="s">
        <v>193</v>
      </c>
      <c r="B62" s="22"/>
      <c r="C62" s="22"/>
      <c r="D62" s="21">
        <v>0.007</v>
      </c>
      <c r="E62" s="23">
        <v>0.026</v>
      </c>
      <c r="F62" s="23">
        <v>0.041</v>
      </c>
      <c r="G62" s="23">
        <v>0.062</v>
      </c>
      <c r="H62" s="23">
        <v>0.067</v>
      </c>
      <c r="I62" s="23">
        <v>0.557</v>
      </c>
      <c r="J62" s="23">
        <v>0.144</v>
      </c>
      <c r="L62" s="23">
        <v>0.018</v>
      </c>
      <c r="M62" s="23">
        <v>0.222</v>
      </c>
      <c r="N62" s="23">
        <v>0.057</v>
      </c>
      <c r="O62" s="23">
        <v>0.043</v>
      </c>
      <c r="P62" s="23">
        <v>0.018</v>
      </c>
      <c r="Q62" s="23">
        <v>0.014</v>
      </c>
      <c r="R62" s="23">
        <v>0.064</v>
      </c>
      <c r="S62" s="23">
        <v>0.084</v>
      </c>
      <c r="T62" s="23">
        <v>0.508</v>
      </c>
      <c r="U62" s="23">
        <v>0.142</v>
      </c>
      <c r="V62" s="23">
        <v>0.429</v>
      </c>
      <c r="W62" s="23">
        <v>0.515</v>
      </c>
      <c r="X62" s="23">
        <v>0.406</v>
      </c>
      <c r="Y62" s="23">
        <v>0.097</v>
      </c>
      <c r="Z62" s="23">
        <v>0.432</v>
      </c>
      <c r="AA62" s="23">
        <v>0.423</v>
      </c>
      <c r="AB62" s="23">
        <v>0.413</v>
      </c>
      <c r="AC62" s="23">
        <v>0.488</v>
      </c>
      <c r="AD62" s="23">
        <v>0.434</v>
      </c>
      <c r="AE62" s="23">
        <v>1.461</v>
      </c>
      <c r="AF62" s="23">
        <v>1.631</v>
      </c>
      <c r="AG62" s="23">
        <v>1.313</v>
      </c>
      <c r="AH62" s="23">
        <v>1.642</v>
      </c>
      <c r="AL62" s="23">
        <v>1.627</v>
      </c>
      <c r="AM62" s="23">
        <v>0.924</v>
      </c>
      <c r="AO62" s="23">
        <v>1.357</v>
      </c>
      <c r="AP62" s="23">
        <v>1.125</v>
      </c>
      <c r="AQ62" s="23">
        <v>2.691</v>
      </c>
      <c r="AR62" s="23">
        <v>1.041</v>
      </c>
      <c r="AS62" s="23">
        <v>0.805</v>
      </c>
      <c r="AU62" s="23">
        <v>0.664</v>
      </c>
      <c r="AV62" s="23">
        <v>1.189</v>
      </c>
      <c r="AW62" s="23">
        <v>1.553</v>
      </c>
      <c r="AX62" s="23">
        <v>1.178</v>
      </c>
      <c r="AY62" s="23">
        <v>1.378</v>
      </c>
      <c r="AZ62" s="23">
        <v>1.682</v>
      </c>
      <c r="BA62" s="23">
        <v>1.436</v>
      </c>
      <c r="BB62" s="23">
        <v>1.34</v>
      </c>
      <c r="BC62" s="23">
        <v>1.354</v>
      </c>
      <c r="BD62" s="23">
        <v>1.274</v>
      </c>
      <c r="BE62" s="23">
        <v>1.061</v>
      </c>
      <c r="BF62" s="23">
        <v>1.181</v>
      </c>
      <c r="BG62" s="23">
        <v>1.166</v>
      </c>
      <c r="BH62" s="23">
        <v>1.029</v>
      </c>
      <c r="BI62" s="23">
        <v>1.387</v>
      </c>
      <c r="BJ62" s="23">
        <v>1.196</v>
      </c>
      <c r="BK62" s="23">
        <v>1.181</v>
      </c>
      <c r="BL62" s="23">
        <v>1.145</v>
      </c>
      <c r="BM62" s="23">
        <v>1.106</v>
      </c>
      <c r="BN62" s="23">
        <v>0.681</v>
      </c>
    </row>
    <row r="63" ht="14.25" customHeight="1">
      <c r="A63" s="21" t="s">
        <v>194</v>
      </c>
      <c r="B63" s="22"/>
      <c r="C63" s="22"/>
      <c r="D63" s="21">
        <v>0.09</v>
      </c>
      <c r="E63" s="23">
        <v>0.082</v>
      </c>
      <c r="F63" s="23">
        <v>0.58</v>
      </c>
      <c r="G63" s="23">
        <v>0.311</v>
      </c>
      <c r="H63" s="23">
        <v>0.332</v>
      </c>
      <c r="I63" s="23">
        <v>2.549</v>
      </c>
      <c r="J63" s="23">
        <v>0.66</v>
      </c>
      <c r="L63" s="23">
        <v>0.082</v>
      </c>
      <c r="M63" s="23">
        <v>1.229</v>
      </c>
      <c r="N63" s="23">
        <v>0.262</v>
      </c>
      <c r="O63" s="23">
        <v>0.199</v>
      </c>
      <c r="P63" s="23">
        <v>0.052</v>
      </c>
      <c r="Q63" s="23">
        <v>0.045</v>
      </c>
      <c r="R63" s="23">
        <v>0.317</v>
      </c>
      <c r="S63" s="23">
        <v>0.411</v>
      </c>
      <c r="T63" s="23">
        <v>3.69</v>
      </c>
      <c r="U63" s="23">
        <v>0.665</v>
      </c>
      <c r="V63" s="23">
        <v>2.806</v>
      </c>
      <c r="W63" s="23">
        <v>2.351</v>
      </c>
      <c r="X63" s="23">
        <v>2.1</v>
      </c>
      <c r="Y63" s="23">
        <v>1.378</v>
      </c>
      <c r="Z63" s="23">
        <v>0.512</v>
      </c>
      <c r="AA63" s="23">
        <v>0.501</v>
      </c>
      <c r="AB63" s="23">
        <v>0.435</v>
      </c>
      <c r="AC63" s="23">
        <v>0.646</v>
      </c>
      <c r="AD63" s="23">
        <v>0.518</v>
      </c>
      <c r="AE63" s="23">
        <v>1.182</v>
      </c>
      <c r="AF63" s="23">
        <v>1.277</v>
      </c>
      <c r="AG63" s="23">
        <v>1.028</v>
      </c>
      <c r="AH63" s="23">
        <v>1.285</v>
      </c>
      <c r="AL63" s="23">
        <v>1.343</v>
      </c>
      <c r="AM63" s="23">
        <v>2.089</v>
      </c>
      <c r="AO63" s="23">
        <v>1.148</v>
      </c>
      <c r="AP63" s="23">
        <v>1.006</v>
      </c>
      <c r="AQ63" s="23">
        <v>2.103</v>
      </c>
      <c r="AR63" s="23">
        <v>0.856</v>
      </c>
      <c r="AS63" s="23">
        <v>0.782</v>
      </c>
      <c r="AU63" s="23">
        <v>0.522</v>
      </c>
      <c r="AV63" s="23">
        <v>0.831</v>
      </c>
      <c r="AW63" s="23">
        <v>1.336</v>
      </c>
      <c r="AX63" s="23">
        <v>0.904</v>
      </c>
      <c r="AY63" s="23">
        <v>1.178</v>
      </c>
      <c r="AZ63" s="23">
        <v>1.304</v>
      </c>
      <c r="BA63" s="23">
        <v>1.057</v>
      </c>
      <c r="BB63" s="23">
        <v>0.988</v>
      </c>
      <c r="BC63" s="23">
        <v>0.997</v>
      </c>
      <c r="BD63" s="23">
        <v>0.938</v>
      </c>
      <c r="BE63" s="23">
        <v>0.781</v>
      </c>
      <c r="BF63" s="23">
        <v>0.87</v>
      </c>
      <c r="BG63" s="23">
        <v>0.859</v>
      </c>
      <c r="BH63" s="23">
        <v>0.758</v>
      </c>
      <c r="BI63" s="23">
        <v>1.021</v>
      </c>
      <c r="BJ63" s="23">
        <v>0.881</v>
      </c>
      <c r="BK63" s="23">
        <v>0.87</v>
      </c>
      <c r="BL63" s="23">
        <v>0.843</v>
      </c>
      <c r="BM63" s="23">
        <v>0.814</v>
      </c>
      <c r="BN63" s="23">
        <v>0.502</v>
      </c>
    </row>
    <row r="64" ht="14.25" customHeight="1">
      <c r="A64" s="21" t="s">
        <v>195</v>
      </c>
      <c r="B64" s="22"/>
      <c r="C64" s="22"/>
      <c r="D64" s="21">
        <v>0.006</v>
      </c>
      <c r="E64" s="23">
        <v>0.043</v>
      </c>
      <c r="F64" s="23">
        <v>0.492</v>
      </c>
      <c r="G64" s="23">
        <v>0.19</v>
      </c>
      <c r="H64" s="23">
        <v>0.203</v>
      </c>
      <c r="I64" s="23">
        <v>1.432</v>
      </c>
      <c r="J64" s="23">
        <v>0.37</v>
      </c>
      <c r="L64" s="23">
        <v>0.046</v>
      </c>
      <c r="M64" s="23">
        <v>0.639</v>
      </c>
      <c r="N64" s="23">
        <v>0.147</v>
      </c>
      <c r="O64" s="23">
        <v>0.111</v>
      </c>
      <c r="P64" s="23">
        <v>0.041</v>
      </c>
      <c r="Q64" s="23">
        <v>0.035</v>
      </c>
      <c r="R64" s="23">
        <v>0.193</v>
      </c>
      <c r="S64" s="23">
        <v>0.215</v>
      </c>
      <c r="T64" s="23">
        <v>1.64</v>
      </c>
      <c r="U64" s="23">
        <v>0.374</v>
      </c>
      <c r="V64" s="23">
        <v>1.456</v>
      </c>
      <c r="W64" s="23">
        <v>0.735</v>
      </c>
      <c r="X64" s="23">
        <v>1.12</v>
      </c>
      <c r="Y64" s="23">
        <v>1.169</v>
      </c>
      <c r="Z64" s="23">
        <v>0.971</v>
      </c>
      <c r="AA64" s="23">
        <v>0.936</v>
      </c>
      <c r="AB64" s="23">
        <v>0.798</v>
      </c>
      <c r="AC64" s="23">
        <v>1.326</v>
      </c>
      <c r="AD64" s="23">
        <v>0.992</v>
      </c>
      <c r="AE64" s="23">
        <v>1.024</v>
      </c>
      <c r="AF64" s="23">
        <v>1.055</v>
      </c>
      <c r="AG64" s="23">
        <v>0.85</v>
      </c>
      <c r="AH64" s="23">
        <v>1.062</v>
      </c>
      <c r="AL64" s="23">
        <v>1.265</v>
      </c>
      <c r="AM64" s="23">
        <v>1.028</v>
      </c>
      <c r="AO64" s="23">
        <v>1.18</v>
      </c>
      <c r="AP64" s="23">
        <v>1.039</v>
      </c>
      <c r="AQ64" s="23">
        <v>1.458</v>
      </c>
      <c r="AR64" s="23">
        <v>0.82</v>
      </c>
      <c r="AS64" s="23">
        <v>0.714</v>
      </c>
      <c r="AU64" s="23">
        <v>0.493</v>
      </c>
      <c r="AV64" s="23">
        <v>0.537</v>
      </c>
      <c r="AW64" s="23">
        <v>0.903</v>
      </c>
      <c r="AX64" s="23">
        <v>0.752</v>
      </c>
      <c r="AY64" s="23">
        <v>0.832</v>
      </c>
      <c r="AZ64" s="23">
        <v>1.24</v>
      </c>
      <c r="BA64" s="23">
        <v>1.22</v>
      </c>
      <c r="BB64" s="23">
        <v>1.14</v>
      </c>
      <c r="BC64" s="23">
        <v>1.151</v>
      </c>
      <c r="BD64" s="23">
        <v>1.082</v>
      </c>
      <c r="BE64" s="23">
        <v>0.902</v>
      </c>
      <c r="BF64" s="23">
        <v>1.004</v>
      </c>
      <c r="BG64" s="23">
        <v>0.991</v>
      </c>
      <c r="BH64" s="23">
        <v>0.874</v>
      </c>
      <c r="BI64" s="23">
        <v>1.179</v>
      </c>
      <c r="BJ64" s="23">
        <v>1.016</v>
      </c>
      <c r="BK64" s="23">
        <v>1.004</v>
      </c>
      <c r="BL64" s="23">
        <v>0.973</v>
      </c>
      <c r="BM64" s="23">
        <v>0.94</v>
      </c>
      <c r="BN64" s="23">
        <v>0.579</v>
      </c>
    </row>
    <row r="65" ht="14.25" customHeight="1">
      <c r="A65" s="21"/>
      <c r="B65" s="22"/>
      <c r="C65" s="22"/>
      <c r="D65" s="21"/>
    </row>
    <row r="66" ht="14.25" customHeight="1">
      <c r="A66" s="104" t="s">
        <v>642</v>
      </c>
      <c r="D66" s="21"/>
    </row>
    <row r="67" ht="14.25" customHeight="1">
      <c r="D67" s="21"/>
    </row>
    <row r="68" ht="14.25" customHeight="1">
      <c r="D68" s="21"/>
    </row>
    <row r="69" ht="14.25" customHeight="1">
      <c r="A69" s="105" t="s">
        <v>643</v>
      </c>
      <c r="B69" s="37"/>
      <c r="C69" s="38"/>
      <c r="D69" s="21"/>
    </row>
    <row r="70" ht="14.25" customHeight="1">
      <c r="A70" s="41"/>
      <c r="B70" s="42"/>
      <c r="C70" s="43"/>
      <c r="D70" s="21"/>
    </row>
    <row r="71" ht="14.25" customHeight="1">
      <c r="A71" s="106" t="s">
        <v>644</v>
      </c>
      <c r="D71" s="21"/>
    </row>
    <row r="72" ht="14.25" customHeight="1">
      <c r="D72" s="21"/>
    </row>
    <row r="73" ht="14.25" customHeight="1">
      <c r="D73" s="21"/>
    </row>
    <row r="74" ht="14.25" customHeight="1">
      <c r="A74" s="21"/>
      <c r="B74" s="22"/>
      <c r="C74" s="22"/>
      <c r="D74" s="21"/>
    </row>
    <row r="75" ht="14.25" customHeight="1">
      <c r="A75" s="21"/>
      <c r="B75" s="22"/>
      <c r="C75" s="22"/>
      <c r="D75" s="21"/>
    </row>
    <row r="76" ht="14.25" customHeight="1">
      <c r="A76" s="21"/>
      <c r="B76" s="22"/>
      <c r="C76" s="22"/>
      <c r="D76" s="21"/>
    </row>
    <row r="77" ht="14.25" customHeight="1">
      <c r="A77" s="21"/>
      <c r="B77" s="22"/>
      <c r="C77" s="22"/>
      <c r="D77" s="21"/>
    </row>
    <row r="78" ht="14.25" customHeight="1">
      <c r="A78" s="21"/>
      <c r="B78" s="22"/>
      <c r="C78" s="22"/>
      <c r="D78" s="21"/>
    </row>
    <row r="79" ht="14.25" customHeight="1">
      <c r="A79" s="21"/>
      <c r="B79" s="22"/>
      <c r="C79" s="22"/>
      <c r="D79" s="21"/>
    </row>
    <row r="80" ht="14.25" customHeight="1">
      <c r="A80" s="21"/>
      <c r="B80" s="22"/>
      <c r="C80" s="22"/>
      <c r="D80" s="21"/>
    </row>
    <row r="81" ht="14.25" customHeight="1">
      <c r="A81" s="21"/>
      <c r="B81" s="22"/>
      <c r="C81" s="22"/>
      <c r="D81" s="21"/>
    </row>
    <row r="82" ht="14.25" customHeight="1">
      <c r="A82" s="21"/>
      <c r="B82" s="22"/>
      <c r="C82" s="22"/>
      <c r="D82" s="21"/>
    </row>
    <row r="83" ht="14.25" customHeight="1">
      <c r="A83" s="21"/>
      <c r="B83" s="22"/>
      <c r="C83" s="22"/>
      <c r="D83" s="21"/>
    </row>
    <row r="84" ht="14.25" customHeight="1">
      <c r="A84" s="21"/>
      <c r="B84" s="22"/>
      <c r="C84" s="22"/>
      <c r="D84" s="21"/>
    </row>
    <row r="85" ht="14.25" customHeight="1">
      <c r="A85" s="21"/>
      <c r="B85" s="22"/>
      <c r="C85" s="22"/>
      <c r="D85" s="21"/>
    </row>
    <row r="86" ht="14.25" customHeight="1">
      <c r="A86" s="21"/>
      <c r="B86" s="22"/>
      <c r="C86" s="22"/>
      <c r="D86" s="21"/>
    </row>
    <row r="87" ht="14.25" customHeight="1">
      <c r="A87" s="21"/>
      <c r="B87" s="22"/>
      <c r="C87" s="22"/>
      <c r="D87" s="21"/>
    </row>
    <row r="88" ht="14.25" customHeight="1">
      <c r="A88" s="21"/>
      <c r="B88" s="22"/>
      <c r="C88" s="22"/>
      <c r="D88" s="21"/>
    </row>
    <row r="89" ht="14.25" customHeight="1">
      <c r="A89" s="21"/>
      <c r="B89" s="22"/>
      <c r="C89" s="22"/>
      <c r="D89" s="21"/>
    </row>
    <row r="90" ht="14.25" customHeight="1">
      <c r="A90" s="21"/>
      <c r="B90" s="22"/>
      <c r="C90" s="22"/>
      <c r="D90" s="21"/>
    </row>
    <row r="91" ht="14.25" customHeight="1">
      <c r="A91" s="21"/>
      <c r="B91" s="22"/>
      <c r="C91" s="22"/>
      <c r="D91" s="21"/>
    </row>
    <row r="92" ht="14.25" customHeight="1">
      <c r="A92" s="21"/>
      <c r="B92" s="22"/>
      <c r="C92" s="22"/>
      <c r="D92" s="21"/>
    </row>
    <row r="93" ht="14.25" customHeight="1">
      <c r="A93" s="21"/>
      <c r="B93" s="22"/>
      <c r="C93" s="22"/>
      <c r="D93" s="21"/>
    </row>
    <row r="94" ht="14.25" customHeight="1">
      <c r="A94" s="21"/>
      <c r="B94" s="22"/>
      <c r="C94" s="22"/>
      <c r="D94" s="21"/>
    </row>
    <row r="95" ht="14.25" customHeight="1">
      <c r="A95" s="21"/>
      <c r="B95" s="22"/>
      <c r="C95" s="22"/>
      <c r="D95" s="21"/>
    </row>
    <row r="96" ht="14.25" customHeight="1">
      <c r="A96" s="21"/>
      <c r="B96" s="22"/>
      <c r="C96" s="22"/>
      <c r="D96" s="21"/>
    </row>
    <row r="97" ht="14.25" customHeight="1">
      <c r="A97" s="21"/>
      <c r="B97" s="22"/>
      <c r="C97" s="22"/>
      <c r="D97" s="21"/>
    </row>
    <row r="98" ht="14.25" customHeight="1">
      <c r="A98" s="21"/>
      <c r="B98" s="22"/>
      <c r="C98" s="22"/>
      <c r="D98" s="21"/>
    </row>
    <row r="99" ht="14.25" customHeight="1">
      <c r="A99" s="21"/>
      <c r="B99" s="22"/>
      <c r="C99" s="22"/>
      <c r="D99" s="21"/>
    </row>
    <row r="100" ht="14.25" customHeight="1">
      <c r="A100" s="21"/>
      <c r="B100" s="22"/>
      <c r="C100" s="22"/>
      <c r="D100" s="21"/>
    </row>
    <row r="101" ht="14.25" customHeight="1">
      <c r="A101" s="21"/>
      <c r="B101" s="22"/>
      <c r="C101" s="22"/>
      <c r="D101" s="21"/>
    </row>
    <row r="102" ht="14.25" customHeight="1">
      <c r="A102" s="21"/>
      <c r="B102" s="22"/>
      <c r="C102" s="22"/>
      <c r="D102" s="21"/>
    </row>
    <row r="103" ht="14.25" customHeight="1">
      <c r="A103" s="21"/>
      <c r="B103" s="22"/>
      <c r="C103" s="22"/>
      <c r="D103" s="21"/>
    </row>
    <row r="104" ht="14.25" customHeight="1">
      <c r="A104" s="21"/>
      <c r="B104" s="22"/>
      <c r="C104" s="22"/>
      <c r="D104" s="21"/>
    </row>
    <row r="105" ht="14.25" customHeight="1">
      <c r="A105" s="21"/>
      <c r="B105" s="22"/>
      <c r="C105" s="22"/>
      <c r="D105" s="21"/>
    </row>
    <row r="106" ht="14.25" customHeight="1">
      <c r="A106" s="21"/>
      <c r="B106" s="22"/>
      <c r="C106" s="22"/>
      <c r="D106" s="21"/>
    </row>
    <row r="107" ht="14.25" customHeight="1">
      <c r="A107" s="21"/>
      <c r="B107" s="22"/>
      <c r="C107" s="22"/>
      <c r="D107" s="21"/>
    </row>
    <row r="108" ht="14.25" customHeight="1">
      <c r="A108" s="21"/>
      <c r="B108" s="22"/>
      <c r="C108" s="22"/>
      <c r="D108" s="21"/>
    </row>
    <row r="109" ht="14.25" customHeight="1">
      <c r="A109" s="21"/>
      <c r="B109" s="22"/>
      <c r="C109" s="22"/>
      <c r="D109" s="21"/>
    </row>
    <row r="110" ht="14.25" customHeight="1">
      <c r="A110" s="21"/>
      <c r="B110" s="22"/>
      <c r="C110" s="22"/>
      <c r="D110" s="21"/>
    </row>
    <row r="111" ht="14.25" customHeight="1">
      <c r="A111" s="21"/>
      <c r="B111" s="22"/>
      <c r="C111" s="22"/>
      <c r="D111" s="21"/>
    </row>
    <row r="112" ht="14.25" customHeight="1">
      <c r="A112" s="21"/>
      <c r="B112" s="22"/>
      <c r="C112" s="22"/>
      <c r="D112" s="21"/>
    </row>
    <row r="113" ht="14.25" customHeight="1">
      <c r="A113" s="21"/>
      <c r="B113" s="22"/>
      <c r="C113" s="22"/>
      <c r="D113" s="21"/>
    </row>
    <row r="114" ht="14.25" customHeight="1">
      <c r="A114" s="21"/>
      <c r="B114" s="22"/>
      <c r="C114" s="22"/>
      <c r="D114" s="21"/>
    </row>
    <row r="115" ht="14.25" customHeight="1">
      <c r="A115" s="21"/>
      <c r="B115" s="22"/>
      <c r="C115" s="22"/>
      <c r="D115" s="21"/>
    </row>
    <row r="116" ht="14.25" customHeight="1">
      <c r="A116" s="21"/>
      <c r="B116" s="22"/>
      <c r="C116" s="22"/>
      <c r="D116" s="21"/>
    </row>
    <row r="117" ht="14.25" customHeight="1">
      <c r="A117" s="21"/>
      <c r="B117" s="22"/>
      <c r="C117" s="22"/>
      <c r="D117" s="21"/>
    </row>
    <row r="118" ht="14.25" customHeight="1">
      <c r="A118" s="21"/>
      <c r="B118" s="22"/>
      <c r="C118" s="22"/>
      <c r="D118" s="21"/>
    </row>
    <row r="119" ht="14.25" customHeight="1">
      <c r="A119" s="21"/>
      <c r="B119" s="22"/>
      <c r="C119" s="22"/>
      <c r="D119" s="21"/>
    </row>
    <row r="120" ht="14.25" customHeight="1">
      <c r="A120" s="21"/>
      <c r="B120" s="22"/>
      <c r="C120" s="22"/>
      <c r="D120" s="21"/>
    </row>
    <row r="121" ht="14.25" customHeight="1">
      <c r="A121" s="21"/>
      <c r="B121" s="22"/>
      <c r="C121" s="22"/>
      <c r="D121" s="21"/>
    </row>
    <row r="122" ht="14.25" customHeight="1">
      <c r="A122" s="21"/>
      <c r="B122" s="22"/>
      <c r="C122" s="22"/>
      <c r="D122" s="21"/>
    </row>
    <row r="123" ht="14.25" customHeight="1">
      <c r="A123" s="21"/>
      <c r="B123" s="22"/>
      <c r="C123" s="22"/>
      <c r="D123" s="21"/>
    </row>
    <row r="124" ht="14.25" customHeight="1">
      <c r="A124" s="21"/>
      <c r="B124" s="22"/>
      <c r="C124" s="22"/>
      <c r="D124" s="21"/>
    </row>
    <row r="125" ht="14.25" customHeight="1">
      <c r="A125" s="21"/>
      <c r="B125" s="22"/>
      <c r="C125" s="22"/>
      <c r="D125" s="21"/>
    </row>
    <row r="126" ht="14.25" customHeight="1">
      <c r="A126" s="21"/>
      <c r="B126" s="22"/>
      <c r="C126" s="22"/>
      <c r="D126" s="21"/>
    </row>
    <row r="127" ht="14.25" customHeight="1">
      <c r="A127" s="21"/>
      <c r="B127" s="22"/>
      <c r="C127" s="22"/>
      <c r="D127" s="21"/>
    </row>
    <row r="128" ht="14.25" customHeight="1">
      <c r="A128" s="21"/>
      <c r="B128" s="22"/>
      <c r="C128" s="22"/>
      <c r="D128" s="21"/>
    </row>
    <row r="129" ht="14.25" customHeight="1">
      <c r="A129" s="21"/>
      <c r="B129" s="22"/>
      <c r="C129" s="22"/>
      <c r="D129" s="21"/>
    </row>
    <row r="130" ht="14.25" customHeight="1">
      <c r="A130" s="21"/>
      <c r="B130" s="22"/>
      <c r="C130" s="22"/>
      <c r="D130" s="21"/>
    </row>
    <row r="131" ht="14.25" customHeight="1">
      <c r="A131" s="21"/>
      <c r="B131" s="22"/>
      <c r="C131" s="22"/>
      <c r="D131" s="21"/>
    </row>
    <row r="132" ht="14.25" customHeight="1">
      <c r="A132" s="21"/>
      <c r="B132" s="22"/>
      <c r="C132" s="22"/>
      <c r="D132" s="21"/>
    </row>
    <row r="133" ht="14.25" customHeight="1">
      <c r="A133" s="21"/>
      <c r="B133" s="22"/>
      <c r="C133" s="22"/>
      <c r="D133" s="21"/>
    </row>
    <row r="134" ht="14.25" customHeight="1">
      <c r="A134" s="21"/>
      <c r="B134" s="22"/>
      <c r="C134" s="22"/>
      <c r="D134" s="21"/>
    </row>
    <row r="135" ht="14.25" customHeight="1">
      <c r="A135" s="21"/>
      <c r="B135" s="22"/>
      <c r="C135" s="22"/>
      <c r="D135" s="21"/>
    </row>
    <row r="136" ht="14.25" customHeight="1">
      <c r="A136" s="21"/>
      <c r="B136" s="22"/>
      <c r="C136" s="22"/>
      <c r="D136" s="21"/>
    </row>
    <row r="137" ht="14.25" customHeight="1">
      <c r="A137" s="21"/>
      <c r="B137" s="22"/>
      <c r="C137" s="22"/>
      <c r="D137" s="21"/>
    </row>
    <row r="138" ht="14.25" customHeight="1">
      <c r="A138" s="21"/>
      <c r="B138" s="22"/>
      <c r="C138" s="22"/>
      <c r="D138" s="21"/>
    </row>
    <row r="139" ht="14.25" customHeight="1">
      <c r="A139" s="21"/>
      <c r="B139" s="22"/>
      <c r="C139" s="22"/>
      <c r="D139" s="21"/>
    </row>
    <row r="140" ht="14.25" customHeight="1">
      <c r="A140" s="21"/>
      <c r="B140" s="22"/>
      <c r="C140" s="22"/>
      <c r="D140" s="21"/>
    </row>
    <row r="141" ht="14.25" customHeight="1">
      <c r="A141" s="21"/>
      <c r="B141" s="22"/>
      <c r="C141" s="22"/>
      <c r="D141" s="21"/>
    </row>
    <row r="142" ht="14.25" customHeight="1">
      <c r="A142" s="21"/>
      <c r="B142" s="22"/>
      <c r="C142" s="22"/>
      <c r="D142" s="21"/>
    </row>
    <row r="143" ht="14.25" customHeight="1">
      <c r="A143" s="21"/>
      <c r="B143" s="22"/>
      <c r="C143" s="22"/>
      <c r="D143" s="21"/>
    </row>
    <row r="144" ht="14.25" customHeight="1">
      <c r="A144" s="21"/>
      <c r="B144" s="22"/>
      <c r="C144" s="22"/>
      <c r="D144" s="21"/>
    </row>
    <row r="145" ht="14.25" customHeight="1">
      <c r="A145" s="21"/>
      <c r="B145" s="22"/>
      <c r="C145" s="22"/>
      <c r="D145" s="21"/>
    </row>
    <row r="146" ht="14.25" customHeight="1">
      <c r="A146" s="21"/>
      <c r="B146" s="22"/>
      <c r="C146" s="22"/>
      <c r="D146" s="21"/>
    </row>
    <row r="147" ht="14.25" customHeight="1">
      <c r="A147" s="21"/>
      <c r="B147" s="22"/>
      <c r="C147" s="22"/>
      <c r="D147" s="21"/>
    </row>
    <row r="148" ht="14.25" customHeight="1">
      <c r="A148" s="21"/>
      <c r="B148" s="22"/>
      <c r="C148" s="22"/>
      <c r="D148" s="21"/>
    </row>
    <row r="149" ht="14.25" customHeight="1">
      <c r="A149" s="21"/>
      <c r="B149" s="22"/>
      <c r="C149" s="22"/>
      <c r="D149" s="21"/>
    </row>
    <row r="150" ht="14.25" customHeight="1">
      <c r="A150" s="21"/>
      <c r="B150" s="22"/>
      <c r="C150" s="22"/>
      <c r="D150" s="21"/>
    </row>
    <row r="151" ht="14.25" customHeight="1">
      <c r="A151" s="21"/>
      <c r="B151" s="22"/>
      <c r="C151" s="22"/>
      <c r="D151" s="21"/>
    </row>
    <row r="152" ht="14.25" customHeight="1">
      <c r="A152" s="21"/>
      <c r="B152" s="22"/>
      <c r="C152" s="22"/>
      <c r="D152" s="21"/>
    </row>
    <row r="153" ht="14.25" customHeight="1">
      <c r="A153" s="21"/>
      <c r="B153" s="22"/>
      <c r="C153" s="22"/>
      <c r="D153" s="21"/>
    </row>
    <row r="154" ht="14.25" customHeight="1">
      <c r="A154" s="21"/>
      <c r="B154" s="22"/>
      <c r="C154" s="22"/>
      <c r="D154" s="21"/>
    </row>
    <row r="155" ht="14.25" customHeight="1">
      <c r="A155" s="21"/>
      <c r="B155" s="22"/>
      <c r="C155" s="22"/>
      <c r="D155" s="21"/>
    </row>
    <row r="156" ht="14.25" customHeight="1">
      <c r="A156" s="21"/>
      <c r="B156" s="22"/>
      <c r="C156" s="22"/>
      <c r="D156" s="21"/>
    </row>
    <row r="157" ht="14.25" customHeight="1">
      <c r="A157" s="21"/>
      <c r="B157" s="22"/>
      <c r="C157" s="22"/>
      <c r="D157" s="21"/>
    </row>
    <row r="158" ht="14.25" customHeight="1">
      <c r="A158" s="21"/>
      <c r="B158" s="22"/>
      <c r="C158" s="22"/>
      <c r="D158" s="21"/>
    </row>
    <row r="159" ht="14.25" customHeight="1">
      <c r="A159" s="21"/>
      <c r="B159" s="22"/>
      <c r="C159" s="22"/>
      <c r="D159" s="21"/>
    </row>
    <row r="160" ht="14.25" customHeight="1">
      <c r="A160" s="21"/>
      <c r="B160" s="22"/>
      <c r="C160" s="22"/>
      <c r="D160" s="21"/>
    </row>
    <row r="161" ht="14.25" customHeight="1">
      <c r="A161" s="21"/>
      <c r="B161" s="22"/>
      <c r="C161" s="22"/>
      <c r="D161" s="21"/>
    </row>
    <row r="162" ht="14.25" customHeight="1">
      <c r="A162" s="21"/>
      <c r="B162" s="22"/>
      <c r="C162" s="22"/>
      <c r="D162" s="21"/>
    </row>
    <row r="163" ht="14.25" customHeight="1">
      <c r="A163" s="21"/>
      <c r="B163" s="22"/>
      <c r="C163" s="22"/>
      <c r="D163" s="21"/>
    </row>
    <row r="164" ht="14.25" customHeight="1">
      <c r="A164" s="21"/>
      <c r="B164" s="22"/>
      <c r="C164" s="22"/>
      <c r="D164" s="21"/>
    </row>
    <row r="165" ht="14.25" customHeight="1">
      <c r="A165" s="21"/>
      <c r="B165" s="22"/>
      <c r="C165" s="22"/>
      <c r="D165" s="21"/>
    </row>
    <row r="166" ht="14.25" customHeight="1">
      <c r="A166" s="21"/>
      <c r="B166" s="22"/>
      <c r="C166" s="22"/>
      <c r="D166" s="21"/>
    </row>
    <row r="167" ht="14.25" customHeight="1">
      <c r="A167" s="21"/>
      <c r="B167" s="22"/>
      <c r="C167" s="22"/>
      <c r="D167" s="21"/>
    </row>
    <row r="168" ht="14.25" customHeight="1">
      <c r="A168" s="21"/>
      <c r="B168" s="22"/>
      <c r="C168" s="22"/>
      <c r="D168" s="21"/>
    </row>
    <row r="169" ht="14.25" customHeight="1">
      <c r="A169" s="21"/>
      <c r="B169" s="22"/>
      <c r="C169" s="22"/>
      <c r="D169" s="21"/>
    </row>
    <row r="170" ht="14.25" customHeight="1">
      <c r="A170" s="21"/>
      <c r="B170" s="22"/>
      <c r="C170" s="22"/>
      <c r="D170" s="21"/>
    </row>
    <row r="171" ht="14.25" customHeight="1">
      <c r="A171" s="21"/>
      <c r="B171" s="22"/>
      <c r="C171" s="22"/>
      <c r="D171" s="21"/>
    </row>
    <row r="172" ht="14.25" customHeight="1">
      <c r="A172" s="21"/>
      <c r="B172" s="22"/>
      <c r="C172" s="22"/>
      <c r="D172" s="21"/>
    </row>
    <row r="173" ht="14.25" customHeight="1">
      <c r="A173" s="21"/>
      <c r="B173" s="22"/>
      <c r="C173" s="22"/>
      <c r="D173" s="21"/>
    </row>
    <row r="174" ht="14.25" customHeight="1">
      <c r="A174" s="21"/>
      <c r="B174" s="22"/>
      <c r="C174" s="22"/>
      <c r="D174" s="21"/>
    </row>
    <row r="175" ht="14.25" customHeight="1">
      <c r="A175" s="21"/>
      <c r="B175" s="22"/>
      <c r="C175" s="22"/>
      <c r="D175" s="21"/>
    </row>
    <row r="176" ht="14.25" customHeight="1">
      <c r="A176" s="21"/>
      <c r="B176" s="22"/>
      <c r="C176" s="22"/>
      <c r="D176" s="21"/>
    </row>
    <row r="177" ht="14.25" customHeight="1">
      <c r="A177" s="21"/>
      <c r="B177" s="22"/>
      <c r="C177" s="22"/>
      <c r="D177" s="21"/>
    </row>
    <row r="178" ht="14.25" customHeight="1">
      <c r="A178" s="21"/>
      <c r="B178" s="22"/>
      <c r="C178" s="22"/>
      <c r="D178" s="21"/>
    </row>
    <row r="179" ht="14.25" customHeight="1">
      <c r="A179" s="21"/>
      <c r="B179" s="22"/>
      <c r="C179" s="22"/>
      <c r="D179" s="21"/>
    </row>
    <row r="180" ht="14.25" customHeight="1">
      <c r="A180" s="21"/>
      <c r="B180" s="22"/>
      <c r="C180" s="22"/>
      <c r="D180" s="21"/>
    </row>
    <row r="181" ht="14.25" customHeight="1">
      <c r="A181" s="21"/>
      <c r="B181" s="22"/>
      <c r="C181" s="22"/>
      <c r="D181" s="21"/>
    </row>
    <row r="182" ht="14.25" customHeight="1">
      <c r="A182" s="21"/>
      <c r="B182" s="22"/>
      <c r="C182" s="22"/>
      <c r="D182" s="21"/>
    </row>
    <row r="183" ht="14.25" customHeight="1">
      <c r="A183" s="21"/>
      <c r="B183" s="22"/>
      <c r="C183" s="22"/>
      <c r="D183" s="21"/>
    </row>
    <row r="184" ht="14.25" customHeight="1">
      <c r="A184" s="21"/>
      <c r="B184" s="22"/>
      <c r="C184" s="22"/>
      <c r="D184" s="21"/>
    </row>
    <row r="185" ht="14.25" customHeight="1">
      <c r="A185" s="21"/>
      <c r="B185" s="22"/>
      <c r="C185" s="22"/>
      <c r="D185" s="21"/>
    </row>
    <row r="186" ht="14.25" customHeight="1">
      <c r="A186" s="21"/>
      <c r="B186" s="22"/>
      <c r="C186" s="22"/>
      <c r="D186" s="21"/>
    </row>
    <row r="187" ht="14.25" customHeight="1">
      <c r="A187" s="21"/>
      <c r="B187" s="22"/>
      <c r="C187" s="22"/>
      <c r="D187" s="21"/>
    </row>
    <row r="188" ht="14.25" customHeight="1">
      <c r="A188" s="21"/>
      <c r="B188" s="22"/>
      <c r="C188" s="22"/>
      <c r="D188" s="21"/>
    </row>
    <row r="189" ht="14.25" customHeight="1">
      <c r="A189" s="21"/>
      <c r="B189" s="22"/>
      <c r="C189" s="22"/>
      <c r="D189" s="21"/>
    </row>
    <row r="190" ht="14.25" customHeight="1">
      <c r="A190" s="21"/>
      <c r="B190" s="22"/>
      <c r="C190" s="22"/>
      <c r="D190" s="21"/>
    </row>
    <row r="191" ht="14.25" customHeight="1">
      <c r="A191" s="21"/>
      <c r="B191" s="22"/>
      <c r="C191" s="22"/>
      <c r="D191" s="21"/>
    </row>
    <row r="192" ht="14.25" customHeight="1">
      <c r="A192" s="21"/>
      <c r="B192" s="22"/>
      <c r="C192" s="22"/>
      <c r="D192" s="21"/>
    </row>
    <row r="193" ht="14.25" customHeight="1">
      <c r="A193" s="21"/>
      <c r="B193" s="22"/>
      <c r="C193" s="22"/>
      <c r="D193" s="21"/>
    </row>
    <row r="194" ht="14.25" customHeight="1">
      <c r="A194" s="21"/>
      <c r="B194" s="22"/>
      <c r="C194" s="22"/>
      <c r="D194" s="21"/>
    </row>
    <row r="195" ht="14.25" customHeight="1">
      <c r="A195" s="21"/>
      <c r="B195" s="22"/>
      <c r="C195" s="22"/>
      <c r="D195" s="21"/>
    </row>
    <row r="196" ht="14.25" customHeight="1">
      <c r="A196" s="21"/>
      <c r="B196" s="22"/>
      <c r="C196" s="22"/>
      <c r="D196" s="21"/>
    </row>
    <row r="197" ht="14.25" customHeight="1">
      <c r="A197" s="21"/>
      <c r="B197" s="22"/>
      <c r="C197" s="22"/>
      <c r="D197" s="21"/>
    </row>
    <row r="198" ht="14.25" customHeight="1">
      <c r="A198" s="21"/>
      <c r="B198" s="22"/>
      <c r="C198" s="22"/>
      <c r="D198" s="21"/>
    </row>
    <row r="199" ht="14.25" customHeight="1">
      <c r="A199" s="21"/>
      <c r="B199" s="22"/>
      <c r="C199" s="22"/>
      <c r="D199" s="21"/>
    </row>
    <row r="200" ht="14.25" customHeight="1">
      <c r="A200" s="21"/>
      <c r="B200" s="22"/>
      <c r="C200" s="22"/>
      <c r="D200" s="21"/>
    </row>
    <row r="201" ht="14.25" customHeight="1">
      <c r="A201" s="21"/>
      <c r="B201" s="22"/>
      <c r="C201" s="22"/>
      <c r="D201" s="21"/>
    </row>
    <row r="202" ht="14.25" customHeight="1">
      <c r="A202" s="21"/>
      <c r="B202" s="22"/>
      <c r="C202" s="22"/>
      <c r="D202" s="21"/>
    </row>
    <row r="203" ht="14.25" customHeight="1">
      <c r="A203" s="21"/>
      <c r="B203" s="22"/>
      <c r="C203" s="22"/>
      <c r="D203" s="21"/>
    </row>
    <row r="204" ht="14.25" customHeight="1">
      <c r="A204" s="21"/>
      <c r="B204" s="22"/>
      <c r="C204" s="22"/>
      <c r="D204" s="21"/>
    </row>
    <row r="205" ht="14.25" customHeight="1">
      <c r="A205" s="21"/>
      <c r="B205" s="22"/>
      <c r="C205" s="22"/>
      <c r="D205" s="21"/>
    </row>
    <row r="206" ht="14.25" customHeight="1">
      <c r="A206" s="21"/>
      <c r="B206" s="22"/>
      <c r="C206" s="22"/>
      <c r="D206" s="21"/>
    </row>
    <row r="207" ht="14.25" customHeight="1">
      <c r="A207" s="21"/>
      <c r="B207" s="22"/>
      <c r="C207" s="22"/>
      <c r="D207" s="21"/>
    </row>
    <row r="208" ht="14.25" customHeight="1">
      <c r="A208" s="21"/>
      <c r="B208" s="22"/>
      <c r="C208" s="22"/>
      <c r="D208" s="21"/>
    </row>
    <row r="209" ht="14.25" customHeight="1">
      <c r="A209" s="21"/>
      <c r="B209" s="22"/>
      <c r="C209" s="22"/>
      <c r="D209" s="21"/>
    </row>
    <row r="210" ht="14.25" customHeight="1">
      <c r="A210" s="21"/>
      <c r="B210" s="22"/>
      <c r="C210" s="22"/>
      <c r="D210" s="21"/>
    </row>
    <row r="211" ht="14.25" customHeight="1">
      <c r="A211" s="21"/>
      <c r="B211" s="22"/>
      <c r="C211" s="22"/>
      <c r="D211" s="21"/>
    </row>
    <row r="212" ht="14.25" customHeight="1">
      <c r="A212" s="21"/>
      <c r="B212" s="22"/>
      <c r="C212" s="22"/>
      <c r="D212" s="21"/>
    </row>
    <row r="213" ht="14.25" customHeight="1">
      <c r="A213" s="21"/>
      <c r="B213" s="22"/>
      <c r="C213" s="22"/>
      <c r="D213" s="21"/>
    </row>
    <row r="214" ht="14.25" customHeight="1">
      <c r="A214" s="21"/>
      <c r="B214" s="22"/>
      <c r="C214" s="22"/>
      <c r="D214" s="21"/>
    </row>
    <row r="215" ht="14.25" customHeight="1">
      <c r="A215" s="21"/>
      <c r="B215" s="22"/>
      <c r="C215" s="22"/>
      <c r="D215" s="21"/>
    </row>
    <row r="216" ht="14.25" customHeight="1">
      <c r="A216" s="21"/>
      <c r="B216" s="22"/>
      <c r="C216" s="22"/>
      <c r="D216" s="21"/>
    </row>
    <row r="217" ht="14.25" customHeight="1">
      <c r="A217" s="21"/>
      <c r="B217" s="22"/>
      <c r="C217" s="22"/>
      <c r="D217" s="21"/>
    </row>
    <row r="218" ht="14.25" customHeight="1">
      <c r="A218" s="21"/>
      <c r="B218" s="22"/>
      <c r="C218" s="22"/>
      <c r="D218" s="21"/>
    </row>
    <row r="219" ht="14.25" customHeight="1">
      <c r="A219" s="21"/>
      <c r="B219" s="22"/>
      <c r="C219" s="22"/>
      <c r="D219" s="21"/>
    </row>
    <row r="220" ht="14.25" customHeight="1">
      <c r="A220" s="21"/>
      <c r="B220" s="22"/>
      <c r="C220" s="22"/>
      <c r="D220" s="21"/>
    </row>
    <row r="221" ht="14.25" customHeight="1">
      <c r="A221" s="21"/>
      <c r="B221" s="22"/>
      <c r="C221" s="22"/>
      <c r="D221" s="21"/>
    </row>
    <row r="222" ht="14.25" customHeight="1">
      <c r="A222" s="21"/>
      <c r="B222" s="22"/>
      <c r="C222" s="22"/>
      <c r="D222" s="21"/>
    </row>
    <row r="223" ht="14.25" customHeight="1">
      <c r="A223" s="21"/>
      <c r="B223" s="22"/>
      <c r="C223" s="22"/>
      <c r="D223" s="21"/>
    </row>
    <row r="224" ht="14.25" customHeight="1">
      <c r="A224" s="21"/>
      <c r="B224" s="22"/>
      <c r="C224" s="22"/>
      <c r="D224" s="21"/>
    </row>
    <row r="225" ht="14.25" customHeight="1">
      <c r="A225" s="21"/>
      <c r="B225" s="22"/>
      <c r="C225" s="22"/>
      <c r="D225" s="21"/>
    </row>
    <row r="226" ht="14.25" customHeight="1">
      <c r="A226" s="21"/>
      <c r="B226" s="22"/>
      <c r="C226" s="22"/>
      <c r="D226" s="21"/>
    </row>
    <row r="227" ht="14.25" customHeight="1">
      <c r="A227" s="21"/>
      <c r="B227" s="22"/>
      <c r="C227" s="22"/>
      <c r="D227" s="21"/>
    </row>
    <row r="228" ht="14.25" customHeight="1">
      <c r="A228" s="21"/>
      <c r="B228" s="22"/>
      <c r="C228" s="22"/>
      <c r="D228" s="21"/>
    </row>
    <row r="229" ht="14.25" customHeight="1">
      <c r="A229" s="21"/>
      <c r="B229" s="22"/>
      <c r="C229" s="22"/>
      <c r="D229" s="21"/>
    </row>
    <row r="230" ht="14.25" customHeight="1">
      <c r="A230" s="21"/>
      <c r="B230" s="22"/>
      <c r="C230" s="22"/>
      <c r="D230" s="21"/>
    </row>
    <row r="231" ht="14.25" customHeight="1">
      <c r="A231" s="21"/>
      <c r="B231" s="22"/>
      <c r="C231" s="22"/>
      <c r="D231" s="21"/>
    </row>
    <row r="232" ht="14.25" customHeight="1">
      <c r="A232" s="21"/>
      <c r="B232" s="22"/>
      <c r="C232" s="22"/>
      <c r="D232" s="21"/>
    </row>
    <row r="233" ht="14.25" customHeight="1">
      <c r="A233" s="21"/>
      <c r="B233" s="22"/>
      <c r="C233" s="22"/>
      <c r="D233" s="21"/>
    </row>
    <row r="234" ht="14.25" customHeight="1">
      <c r="A234" s="21"/>
      <c r="B234" s="22"/>
      <c r="C234" s="22"/>
      <c r="D234" s="21"/>
    </row>
    <row r="235" ht="14.25" customHeight="1">
      <c r="A235" s="21"/>
      <c r="B235" s="22"/>
      <c r="C235" s="22"/>
      <c r="D235" s="21"/>
    </row>
    <row r="236" ht="14.25" customHeight="1">
      <c r="A236" s="21"/>
      <c r="B236" s="22"/>
      <c r="C236" s="22"/>
      <c r="D236" s="21"/>
    </row>
    <row r="237" ht="14.25" customHeight="1">
      <c r="A237" s="21"/>
      <c r="B237" s="22"/>
      <c r="C237" s="22"/>
      <c r="D237" s="21"/>
    </row>
    <row r="238" ht="14.25" customHeight="1">
      <c r="A238" s="21"/>
      <c r="B238" s="22"/>
      <c r="C238" s="22"/>
      <c r="D238" s="21"/>
    </row>
    <row r="239" ht="14.25" customHeight="1">
      <c r="A239" s="21"/>
      <c r="B239" s="22"/>
      <c r="C239" s="22"/>
      <c r="D239" s="21"/>
    </row>
    <row r="240" ht="14.25" customHeight="1">
      <c r="A240" s="21"/>
      <c r="B240" s="22"/>
      <c r="C240" s="22"/>
      <c r="D240" s="21"/>
    </row>
    <row r="241" ht="14.25" customHeight="1">
      <c r="A241" s="21"/>
      <c r="B241" s="22"/>
      <c r="C241" s="22"/>
      <c r="D241" s="21"/>
    </row>
    <row r="242" ht="14.25" customHeight="1">
      <c r="A242" s="21"/>
      <c r="B242" s="22"/>
      <c r="C242" s="22"/>
      <c r="D242" s="21"/>
    </row>
    <row r="243" ht="14.25" customHeight="1">
      <c r="A243" s="21"/>
      <c r="B243" s="22"/>
      <c r="C243" s="22"/>
      <c r="D243" s="21"/>
    </row>
    <row r="244" ht="14.25" customHeight="1">
      <c r="A244" s="21"/>
      <c r="B244" s="22"/>
      <c r="C244" s="22"/>
      <c r="D244" s="21"/>
    </row>
    <row r="245" ht="14.25" customHeight="1">
      <c r="A245" s="21"/>
      <c r="B245" s="22"/>
      <c r="C245" s="22"/>
      <c r="D245" s="21"/>
    </row>
    <row r="246" ht="14.25" customHeight="1">
      <c r="A246" s="21"/>
      <c r="B246" s="22"/>
      <c r="C246" s="22"/>
      <c r="D246" s="21"/>
    </row>
    <row r="247" ht="14.25" customHeight="1">
      <c r="A247" s="21"/>
      <c r="B247" s="22"/>
      <c r="C247" s="22"/>
      <c r="D247" s="21"/>
    </row>
    <row r="248" ht="14.25" customHeight="1">
      <c r="A248" s="21"/>
      <c r="B248" s="22"/>
      <c r="C248" s="22"/>
      <c r="D248" s="21"/>
    </row>
    <row r="249" ht="14.25" customHeight="1">
      <c r="A249" s="21"/>
      <c r="B249" s="22"/>
      <c r="C249" s="22"/>
      <c r="D249" s="21"/>
    </row>
    <row r="250" ht="14.25" customHeight="1">
      <c r="A250" s="21"/>
      <c r="B250" s="22"/>
      <c r="C250" s="22"/>
      <c r="D250" s="21"/>
    </row>
    <row r="251" ht="14.25" customHeight="1">
      <c r="A251" s="21"/>
      <c r="B251" s="22"/>
      <c r="C251" s="22"/>
      <c r="D251" s="21"/>
    </row>
    <row r="252" ht="14.25" customHeight="1">
      <c r="A252" s="21"/>
      <c r="B252" s="22"/>
      <c r="C252" s="22"/>
      <c r="D252" s="21"/>
    </row>
    <row r="253" ht="14.25" customHeight="1">
      <c r="A253" s="21"/>
      <c r="B253" s="22"/>
      <c r="C253" s="22"/>
      <c r="D253" s="21"/>
    </row>
    <row r="254" ht="14.25" customHeight="1">
      <c r="A254" s="21"/>
      <c r="B254" s="22"/>
      <c r="C254" s="22"/>
      <c r="D254" s="21"/>
    </row>
    <row r="255" ht="14.25" customHeight="1">
      <c r="A255" s="21"/>
      <c r="B255" s="22"/>
      <c r="C255" s="22"/>
      <c r="D255" s="21"/>
    </row>
    <row r="256" ht="14.25" customHeight="1">
      <c r="A256" s="21"/>
      <c r="B256" s="22"/>
      <c r="C256" s="22"/>
      <c r="D256" s="21"/>
    </row>
    <row r="257" ht="14.25" customHeight="1">
      <c r="A257" s="21"/>
      <c r="B257" s="22"/>
      <c r="C257" s="22"/>
      <c r="D257" s="21"/>
    </row>
    <row r="258" ht="14.25" customHeight="1">
      <c r="A258" s="21"/>
      <c r="B258" s="22"/>
      <c r="C258" s="22"/>
      <c r="D258" s="21"/>
    </row>
    <row r="259" ht="14.25" customHeight="1">
      <c r="A259" s="21"/>
      <c r="B259" s="22"/>
      <c r="C259" s="22"/>
      <c r="D259" s="21"/>
    </row>
    <row r="260" ht="14.25" customHeight="1">
      <c r="A260" s="21"/>
      <c r="B260" s="22"/>
      <c r="C260" s="22"/>
      <c r="D260" s="21"/>
    </row>
    <row r="261" ht="14.25" customHeight="1">
      <c r="A261" s="21"/>
      <c r="B261" s="22"/>
      <c r="C261" s="22"/>
      <c r="D261" s="21"/>
    </row>
    <row r="262" ht="14.25" customHeight="1">
      <c r="A262" s="21"/>
      <c r="B262" s="22"/>
      <c r="C262" s="22"/>
      <c r="D262" s="21"/>
    </row>
    <row r="263" ht="14.25" customHeight="1">
      <c r="A263" s="21"/>
      <c r="B263" s="22"/>
      <c r="C263" s="22"/>
      <c r="D263" s="21"/>
    </row>
    <row r="264" ht="14.25" customHeight="1">
      <c r="A264" s="21"/>
      <c r="B264" s="22"/>
      <c r="C264" s="22"/>
      <c r="D264" s="21"/>
    </row>
    <row r="265" ht="14.25" customHeight="1">
      <c r="A265" s="21"/>
      <c r="B265" s="22"/>
      <c r="C265" s="22"/>
      <c r="D265" s="21"/>
    </row>
    <row r="266" ht="14.25" customHeight="1">
      <c r="A266" s="21"/>
      <c r="B266" s="22"/>
      <c r="C266" s="22"/>
      <c r="D266" s="21"/>
    </row>
    <row r="267" ht="14.25" customHeight="1">
      <c r="A267" s="21"/>
      <c r="B267" s="22"/>
      <c r="C267" s="22"/>
      <c r="D267" s="21"/>
    </row>
    <row r="268" ht="14.25" customHeight="1">
      <c r="A268" s="21"/>
      <c r="B268" s="22"/>
      <c r="C268" s="22"/>
      <c r="D268" s="21"/>
    </row>
    <row r="269" ht="14.25" customHeight="1">
      <c r="A269" s="21"/>
      <c r="B269" s="22"/>
      <c r="C269" s="22"/>
      <c r="D269" s="21"/>
    </row>
    <row r="270" ht="14.25" customHeight="1">
      <c r="A270" s="21"/>
      <c r="B270" s="22"/>
      <c r="C270" s="22"/>
      <c r="D270" s="21"/>
    </row>
    <row r="271" ht="14.25" customHeight="1">
      <c r="A271" s="21"/>
      <c r="B271" s="22"/>
      <c r="C271" s="22"/>
      <c r="D271" s="21"/>
    </row>
    <row r="272" ht="14.25" customHeight="1">
      <c r="A272" s="21"/>
      <c r="B272" s="22"/>
      <c r="C272" s="22"/>
      <c r="D272" s="21"/>
    </row>
    <row r="273" ht="14.25" customHeight="1">
      <c r="A273" s="21"/>
      <c r="B273" s="22"/>
      <c r="C273" s="22"/>
      <c r="D273" s="21"/>
    </row>
    <row r="274" ht="14.25" customHeight="1">
      <c r="A274" s="21"/>
      <c r="B274" s="22"/>
      <c r="C274" s="22"/>
      <c r="D274" s="21"/>
    </row>
    <row r="275" ht="14.25" customHeight="1">
      <c r="A275" s="21"/>
      <c r="B275" s="22"/>
      <c r="C275" s="22"/>
      <c r="D275" s="21"/>
    </row>
    <row r="276" ht="14.25" customHeight="1">
      <c r="A276" s="21"/>
      <c r="B276" s="22"/>
      <c r="C276" s="22"/>
      <c r="D276" s="21"/>
    </row>
    <row r="277" ht="14.25" customHeight="1">
      <c r="A277" s="21"/>
      <c r="B277" s="22"/>
      <c r="C277" s="22"/>
      <c r="D277" s="21"/>
    </row>
    <row r="278" ht="14.25" customHeight="1">
      <c r="A278" s="21"/>
      <c r="B278" s="22"/>
      <c r="C278" s="22"/>
      <c r="D278" s="21"/>
    </row>
    <row r="279" ht="14.25" customHeight="1">
      <c r="A279" s="21"/>
      <c r="B279" s="22"/>
      <c r="C279" s="22"/>
      <c r="D279" s="21"/>
    </row>
    <row r="280" ht="14.25" customHeight="1">
      <c r="A280" s="21"/>
      <c r="B280" s="22"/>
      <c r="C280" s="22"/>
      <c r="D280" s="21"/>
    </row>
    <row r="281" ht="14.25" customHeight="1">
      <c r="A281" s="21"/>
      <c r="B281" s="22"/>
      <c r="C281" s="22"/>
      <c r="D281" s="21"/>
    </row>
    <row r="282" ht="14.25" customHeight="1">
      <c r="A282" s="21"/>
      <c r="B282" s="22"/>
      <c r="C282" s="22"/>
      <c r="D282" s="21"/>
    </row>
    <row r="283" ht="14.25" customHeight="1">
      <c r="A283" s="21"/>
      <c r="B283" s="22"/>
      <c r="C283" s="22"/>
      <c r="D283" s="21"/>
    </row>
    <row r="284" ht="14.25" customHeight="1">
      <c r="A284" s="21"/>
      <c r="B284" s="22"/>
      <c r="C284" s="22"/>
      <c r="D284" s="21"/>
    </row>
    <row r="285" ht="14.25" customHeight="1">
      <c r="A285" s="21"/>
      <c r="B285" s="22"/>
      <c r="C285" s="22"/>
      <c r="D285" s="21"/>
    </row>
    <row r="286" ht="14.25" customHeight="1">
      <c r="A286" s="21"/>
      <c r="B286" s="22"/>
      <c r="C286" s="22"/>
      <c r="D286" s="21"/>
    </row>
    <row r="287" ht="14.25" customHeight="1">
      <c r="A287" s="21"/>
      <c r="B287" s="22"/>
      <c r="C287" s="22"/>
      <c r="D287" s="21"/>
    </row>
    <row r="288" ht="14.25" customHeight="1">
      <c r="A288" s="21"/>
      <c r="B288" s="22"/>
      <c r="C288" s="22"/>
      <c r="D288" s="21"/>
    </row>
    <row r="289" ht="14.25" customHeight="1">
      <c r="A289" s="21"/>
      <c r="B289" s="22"/>
      <c r="C289" s="22"/>
      <c r="D289" s="21"/>
    </row>
    <row r="290" ht="14.25" customHeight="1">
      <c r="A290" s="21"/>
      <c r="B290" s="22"/>
      <c r="C290" s="22"/>
      <c r="D290" s="21"/>
    </row>
    <row r="291" ht="14.25" customHeight="1">
      <c r="A291" s="21"/>
      <c r="B291" s="22"/>
      <c r="C291" s="22"/>
      <c r="D291" s="21"/>
    </row>
    <row r="292" ht="14.25" customHeight="1">
      <c r="A292" s="21"/>
      <c r="B292" s="22"/>
      <c r="C292" s="22"/>
      <c r="D292" s="21"/>
    </row>
    <row r="293" ht="14.25" customHeight="1">
      <c r="A293" s="21"/>
      <c r="B293" s="22"/>
      <c r="C293" s="22"/>
      <c r="D293" s="21"/>
    </row>
    <row r="294" ht="14.25" customHeight="1">
      <c r="A294" s="21"/>
      <c r="B294" s="22"/>
      <c r="C294" s="22"/>
      <c r="D294" s="21"/>
    </row>
    <row r="295" ht="14.25" customHeight="1">
      <c r="A295" s="21"/>
      <c r="B295" s="22"/>
      <c r="C295" s="22"/>
      <c r="D295" s="21"/>
    </row>
    <row r="296" ht="14.25" customHeight="1">
      <c r="A296" s="21"/>
      <c r="B296" s="22"/>
      <c r="C296" s="22"/>
      <c r="D296" s="21"/>
    </row>
    <row r="297" ht="14.25" customHeight="1">
      <c r="A297" s="21"/>
      <c r="B297" s="22"/>
      <c r="C297" s="22"/>
      <c r="D297" s="21"/>
    </row>
    <row r="298" ht="14.25" customHeight="1">
      <c r="A298" s="21"/>
      <c r="B298" s="22"/>
      <c r="C298" s="22"/>
      <c r="D298" s="21"/>
    </row>
    <row r="299" ht="14.25" customHeight="1">
      <c r="A299" s="21"/>
      <c r="B299" s="22"/>
      <c r="C299" s="22"/>
      <c r="D299" s="21"/>
    </row>
    <row r="300" ht="14.25" customHeight="1">
      <c r="A300" s="21"/>
      <c r="B300" s="22"/>
      <c r="C300" s="22"/>
      <c r="D300" s="21"/>
    </row>
    <row r="301" ht="14.25" customHeight="1">
      <c r="A301" s="21"/>
      <c r="B301" s="22"/>
      <c r="C301" s="22"/>
      <c r="D301" s="21"/>
    </row>
    <row r="302" ht="14.25" customHeight="1">
      <c r="A302" s="21"/>
      <c r="B302" s="22"/>
      <c r="C302" s="22"/>
      <c r="D302" s="21"/>
    </row>
    <row r="303" ht="14.25" customHeight="1">
      <c r="A303" s="21"/>
      <c r="B303" s="22"/>
      <c r="C303" s="22"/>
      <c r="D303" s="21"/>
    </row>
    <row r="304" ht="14.25" customHeight="1">
      <c r="A304" s="21"/>
      <c r="B304" s="22"/>
      <c r="C304" s="22"/>
      <c r="D304" s="21"/>
    </row>
    <row r="305" ht="14.25" customHeight="1">
      <c r="A305" s="21"/>
      <c r="B305" s="22"/>
      <c r="C305" s="22"/>
      <c r="D305" s="21"/>
    </row>
    <row r="306" ht="14.25" customHeight="1">
      <c r="A306" s="21"/>
      <c r="B306" s="22"/>
      <c r="C306" s="22"/>
      <c r="D306" s="21"/>
    </row>
    <row r="307" ht="14.25" customHeight="1">
      <c r="A307" s="21"/>
      <c r="B307" s="22"/>
      <c r="C307" s="22"/>
      <c r="D307" s="21"/>
    </row>
    <row r="308" ht="14.25" customHeight="1">
      <c r="A308" s="21"/>
      <c r="B308" s="22"/>
      <c r="C308" s="22"/>
      <c r="D308" s="21"/>
    </row>
    <row r="309" ht="14.25" customHeight="1">
      <c r="A309" s="21"/>
      <c r="B309" s="22"/>
      <c r="C309" s="22"/>
      <c r="D309" s="21"/>
    </row>
    <row r="310" ht="14.25" customHeight="1">
      <c r="A310" s="21"/>
      <c r="B310" s="22"/>
      <c r="C310" s="22"/>
      <c r="D310" s="21"/>
    </row>
    <row r="311" ht="14.25" customHeight="1">
      <c r="A311" s="21"/>
      <c r="B311" s="22"/>
      <c r="C311" s="22"/>
      <c r="D311" s="21"/>
    </row>
    <row r="312" ht="14.25" customHeight="1">
      <c r="A312" s="21"/>
      <c r="B312" s="22"/>
      <c r="C312" s="22"/>
      <c r="D312" s="21"/>
    </row>
    <row r="313" ht="14.25" customHeight="1">
      <c r="A313" s="21"/>
      <c r="B313" s="22"/>
      <c r="C313" s="22"/>
      <c r="D313" s="21"/>
    </row>
    <row r="314" ht="14.25" customHeight="1">
      <c r="A314" s="21"/>
      <c r="B314" s="22"/>
      <c r="C314" s="22"/>
      <c r="D314" s="21"/>
    </row>
    <row r="315" ht="14.25" customHeight="1">
      <c r="A315" s="21"/>
      <c r="B315" s="22"/>
      <c r="C315" s="22"/>
      <c r="D315" s="21"/>
    </row>
    <row r="316" ht="14.25" customHeight="1">
      <c r="A316" s="21"/>
      <c r="B316" s="22"/>
      <c r="C316" s="22"/>
      <c r="D316" s="21"/>
    </row>
    <row r="317" ht="14.25" customHeight="1">
      <c r="A317" s="21"/>
      <c r="B317" s="22"/>
      <c r="C317" s="22"/>
      <c r="D317" s="21"/>
    </row>
    <row r="318" ht="14.25" customHeight="1">
      <c r="A318" s="21"/>
      <c r="B318" s="22"/>
      <c r="C318" s="22"/>
      <c r="D318" s="21"/>
    </row>
    <row r="319" ht="14.25" customHeight="1">
      <c r="A319" s="21"/>
      <c r="B319" s="22"/>
      <c r="C319" s="22"/>
      <c r="D319" s="21"/>
    </row>
    <row r="320" ht="14.25" customHeight="1">
      <c r="A320" s="21"/>
      <c r="B320" s="22"/>
      <c r="C320" s="22"/>
      <c r="D320" s="21"/>
    </row>
    <row r="321" ht="14.25" customHeight="1">
      <c r="A321" s="21"/>
      <c r="B321" s="22"/>
      <c r="C321" s="22"/>
      <c r="D321" s="21"/>
    </row>
    <row r="322" ht="14.25" customHeight="1">
      <c r="A322" s="21"/>
      <c r="B322" s="22"/>
      <c r="C322" s="22"/>
      <c r="D322" s="21"/>
    </row>
    <row r="323" ht="14.25" customHeight="1">
      <c r="A323" s="21"/>
      <c r="B323" s="22"/>
      <c r="C323" s="22"/>
      <c r="D323" s="21"/>
    </row>
    <row r="324" ht="14.25" customHeight="1">
      <c r="A324" s="21"/>
      <c r="B324" s="22"/>
      <c r="C324" s="22"/>
      <c r="D324" s="21"/>
    </row>
    <row r="325" ht="14.25" customHeight="1">
      <c r="A325" s="21"/>
      <c r="B325" s="22"/>
      <c r="C325" s="22"/>
      <c r="D325" s="21"/>
    </row>
    <row r="326" ht="14.25" customHeight="1">
      <c r="A326" s="21"/>
      <c r="B326" s="22"/>
      <c r="C326" s="22"/>
      <c r="D326" s="21"/>
    </row>
    <row r="327" ht="14.25" customHeight="1">
      <c r="A327" s="21"/>
      <c r="B327" s="22"/>
      <c r="C327" s="22"/>
      <c r="D327" s="21"/>
    </row>
    <row r="328" ht="14.25" customHeight="1">
      <c r="A328" s="21"/>
      <c r="B328" s="22"/>
      <c r="C328" s="22"/>
      <c r="D328" s="21"/>
    </row>
    <row r="329" ht="14.25" customHeight="1">
      <c r="A329" s="21"/>
      <c r="B329" s="22"/>
      <c r="C329" s="22"/>
      <c r="D329" s="21"/>
    </row>
    <row r="330" ht="14.25" customHeight="1">
      <c r="A330" s="21"/>
      <c r="B330" s="22"/>
      <c r="C330" s="22"/>
      <c r="D330" s="21"/>
    </row>
    <row r="331" ht="14.25" customHeight="1">
      <c r="A331" s="21"/>
      <c r="B331" s="22"/>
      <c r="C331" s="22"/>
      <c r="D331" s="21"/>
    </row>
    <row r="332" ht="14.25" customHeight="1">
      <c r="A332" s="21"/>
      <c r="B332" s="22"/>
      <c r="C332" s="22"/>
      <c r="D332" s="21"/>
    </row>
    <row r="333" ht="14.25" customHeight="1">
      <c r="A333" s="21"/>
      <c r="B333" s="22"/>
      <c r="C333" s="22"/>
      <c r="D333" s="21"/>
    </row>
    <row r="334" ht="14.25" customHeight="1">
      <c r="A334" s="21"/>
      <c r="B334" s="22"/>
      <c r="C334" s="22"/>
      <c r="D334" s="21"/>
    </row>
    <row r="335" ht="14.25" customHeight="1">
      <c r="A335" s="21"/>
      <c r="B335" s="22"/>
      <c r="C335" s="22"/>
      <c r="D335" s="21"/>
    </row>
    <row r="336" ht="14.25" customHeight="1">
      <c r="A336" s="21"/>
      <c r="B336" s="22"/>
      <c r="C336" s="22"/>
      <c r="D336" s="21"/>
    </row>
    <row r="337" ht="14.25" customHeight="1">
      <c r="A337" s="21"/>
      <c r="B337" s="22"/>
      <c r="C337" s="22"/>
      <c r="D337" s="21"/>
    </row>
    <row r="338" ht="14.25" customHeight="1">
      <c r="A338" s="21"/>
      <c r="B338" s="22"/>
      <c r="C338" s="22"/>
      <c r="D338" s="21"/>
    </row>
    <row r="339" ht="14.25" customHeight="1">
      <c r="A339" s="21"/>
      <c r="B339" s="22"/>
      <c r="C339" s="22"/>
      <c r="D339" s="21"/>
    </row>
    <row r="340" ht="14.25" customHeight="1">
      <c r="A340" s="21"/>
      <c r="B340" s="22"/>
      <c r="C340" s="22"/>
      <c r="D340" s="21"/>
    </row>
    <row r="341" ht="14.25" customHeight="1">
      <c r="A341" s="21"/>
      <c r="B341" s="22"/>
      <c r="C341" s="22"/>
      <c r="D341" s="21"/>
    </row>
    <row r="342" ht="14.25" customHeight="1">
      <c r="A342" s="21"/>
      <c r="B342" s="22"/>
      <c r="C342" s="22"/>
      <c r="D342" s="21"/>
    </row>
    <row r="343" ht="14.25" customHeight="1">
      <c r="A343" s="21"/>
      <c r="B343" s="22"/>
      <c r="C343" s="22"/>
      <c r="D343" s="21"/>
    </row>
    <row r="344" ht="14.25" customHeight="1">
      <c r="A344" s="21"/>
      <c r="B344" s="22"/>
      <c r="C344" s="22"/>
      <c r="D344" s="21"/>
    </row>
    <row r="345" ht="14.25" customHeight="1">
      <c r="A345" s="21"/>
      <c r="B345" s="22"/>
      <c r="C345" s="22"/>
      <c r="D345" s="21"/>
    </row>
    <row r="346" ht="14.25" customHeight="1">
      <c r="A346" s="21"/>
      <c r="B346" s="22"/>
      <c r="C346" s="22"/>
      <c r="D346" s="21"/>
    </row>
    <row r="347" ht="14.25" customHeight="1">
      <c r="A347" s="21"/>
      <c r="B347" s="22"/>
      <c r="C347" s="22"/>
      <c r="D347" s="21"/>
    </row>
    <row r="348" ht="14.25" customHeight="1">
      <c r="A348" s="21"/>
      <c r="B348" s="22"/>
      <c r="C348" s="22"/>
      <c r="D348" s="21"/>
    </row>
    <row r="349" ht="14.25" customHeight="1">
      <c r="A349" s="21"/>
      <c r="B349" s="22"/>
      <c r="C349" s="22"/>
      <c r="D349" s="21"/>
    </row>
    <row r="350" ht="14.25" customHeight="1">
      <c r="A350" s="21"/>
      <c r="B350" s="22"/>
      <c r="C350" s="22"/>
      <c r="D350" s="21"/>
    </row>
    <row r="351" ht="14.25" customHeight="1">
      <c r="A351" s="21"/>
      <c r="B351" s="22"/>
      <c r="C351" s="22"/>
      <c r="D351" s="21"/>
    </row>
    <row r="352" ht="14.25" customHeight="1">
      <c r="A352" s="21"/>
      <c r="B352" s="22"/>
      <c r="C352" s="22"/>
      <c r="D352" s="21"/>
    </row>
    <row r="353" ht="14.25" customHeight="1">
      <c r="A353" s="21"/>
      <c r="B353" s="22"/>
      <c r="C353" s="22"/>
      <c r="D353" s="21"/>
    </row>
    <row r="354" ht="14.25" customHeight="1">
      <c r="A354" s="21"/>
      <c r="B354" s="22"/>
      <c r="C354" s="22"/>
      <c r="D354" s="21"/>
    </row>
    <row r="355" ht="14.25" customHeight="1">
      <c r="A355" s="21"/>
      <c r="B355" s="22"/>
      <c r="C355" s="22"/>
      <c r="D355" s="21"/>
    </row>
    <row r="356" ht="14.25" customHeight="1">
      <c r="A356" s="21"/>
      <c r="B356" s="22"/>
      <c r="C356" s="22"/>
      <c r="D356" s="21"/>
    </row>
    <row r="357" ht="14.25" customHeight="1">
      <c r="A357" s="21"/>
      <c r="B357" s="22"/>
      <c r="C357" s="22"/>
      <c r="D357" s="21"/>
    </row>
    <row r="358" ht="14.25" customHeight="1">
      <c r="A358" s="21"/>
      <c r="B358" s="22"/>
      <c r="C358" s="22"/>
      <c r="D358" s="21"/>
    </row>
    <row r="359" ht="14.25" customHeight="1">
      <c r="A359" s="21"/>
      <c r="B359" s="22"/>
      <c r="C359" s="22"/>
      <c r="D359" s="21"/>
    </row>
    <row r="360" ht="14.25" customHeight="1">
      <c r="A360" s="21"/>
      <c r="B360" s="22"/>
      <c r="C360" s="22"/>
      <c r="D360" s="21"/>
    </row>
    <row r="361" ht="14.25" customHeight="1">
      <c r="A361" s="21"/>
      <c r="B361" s="22"/>
      <c r="C361" s="22"/>
      <c r="D361" s="21"/>
    </row>
    <row r="362" ht="14.25" customHeight="1">
      <c r="A362" s="21"/>
      <c r="B362" s="22"/>
      <c r="C362" s="22"/>
      <c r="D362" s="21"/>
    </row>
    <row r="363" ht="14.25" customHeight="1">
      <c r="A363" s="21"/>
      <c r="B363" s="22"/>
      <c r="C363" s="22"/>
      <c r="D363" s="21"/>
    </row>
    <row r="364" ht="14.25" customHeight="1">
      <c r="A364" s="21"/>
      <c r="B364" s="22"/>
      <c r="C364" s="22"/>
      <c r="D364" s="21"/>
    </row>
    <row r="365" ht="14.25" customHeight="1">
      <c r="A365" s="21"/>
      <c r="B365" s="22"/>
      <c r="C365" s="22"/>
      <c r="D365" s="21"/>
    </row>
    <row r="366" ht="14.25" customHeight="1">
      <c r="A366" s="21"/>
      <c r="B366" s="22"/>
      <c r="C366" s="22"/>
      <c r="D366" s="21"/>
    </row>
    <row r="367" ht="14.25" customHeight="1">
      <c r="A367" s="21"/>
      <c r="B367" s="22"/>
      <c r="C367" s="22"/>
      <c r="D367" s="21"/>
    </row>
    <row r="368" ht="14.25" customHeight="1">
      <c r="A368" s="21"/>
      <c r="B368" s="22"/>
      <c r="C368" s="22"/>
      <c r="D368" s="21"/>
    </row>
    <row r="369" ht="14.25" customHeight="1">
      <c r="A369" s="21"/>
      <c r="B369" s="22"/>
      <c r="C369" s="22"/>
      <c r="D369" s="21"/>
    </row>
    <row r="370" ht="14.25" customHeight="1">
      <c r="A370" s="21"/>
      <c r="B370" s="22"/>
      <c r="C370" s="22"/>
      <c r="D370" s="21"/>
    </row>
    <row r="371" ht="14.25" customHeight="1">
      <c r="A371" s="21"/>
      <c r="B371" s="22"/>
      <c r="C371" s="22"/>
      <c r="D371" s="21"/>
    </row>
    <row r="372" ht="14.25" customHeight="1">
      <c r="A372" s="21"/>
      <c r="B372" s="22"/>
      <c r="C372" s="22"/>
      <c r="D372" s="21"/>
    </row>
    <row r="373" ht="14.25" customHeight="1">
      <c r="A373" s="21"/>
      <c r="B373" s="22"/>
      <c r="C373" s="22"/>
      <c r="D373" s="21"/>
    </row>
    <row r="374" ht="14.25" customHeight="1">
      <c r="A374" s="21"/>
      <c r="B374" s="22"/>
      <c r="C374" s="22"/>
      <c r="D374" s="21"/>
    </row>
    <row r="375" ht="14.25" customHeight="1">
      <c r="A375" s="21"/>
      <c r="B375" s="22"/>
      <c r="C375" s="22"/>
      <c r="D375" s="21"/>
    </row>
    <row r="376" ht="14.25" customHeight="1">
      <c r="A376" s="21"/>
      <c r="B376" s="22"/>
      <c r="C376" s="22"/>
      <c r="D376" s="21"/>
    </row>
    <row r="377" ht="14.25" customHeight="1">
      <c r="A377" s="21"/>
      <c r="B377" s="22"/>
      <c r="C377" s="22"/>
      <c r="D377" s="21"/>
    </row>
    <row r="378" ht="14.25" customHeight="1">
      <c r="A378" s="21"/>
      <c r="B378" s="22"/>
      <c r="C378" s="22"/>
      <c r="D378" s="21"/>
    </row>
    <row r="379" ht="14.25" customHeight="1">
      <c r="A379" s="21"/>
      <c r="B379" s="22"/>
      <c r="C379" s="22"/>
      <c r="D379" s="21"/>
    </row>
    <row r="380" ht="14.25" customHeight="1">
      <c r="A380" s="21"/>
      <c r="B380" s="22"/>
      <c r="C380" s="22"/>
      <c r="D380" s="21"/>
    </row>
    <row r="381" ht="14.25" customHeight="1">
      <c r="A381" s="21"/>
      <c r="B381" s="22"/>
      <c r="C381" s="22"/>
      <c r="D381" s="21"/>
    </row>
    <row r="382" ht="14.25" customHeight="1">
      <c r="A382" s="21"/>
      <c r="B382" s="22"/>
      <c r="C382" s="22"/>
      <c r="D382" s="21"/>
    </row>
    <row r="383" ht="14.25" customHeight="1">
      <c r="A383" s="21"/>
      <c r="B383" s="22"/>
      <c r="C383" s="22"/>
      <c r="D383" s="21"/>
    </row>
    <row r="384" ht="14.25" customHeight="1">
      <c r="A384" s="21"/>
      <c r="B384" s="22"/>
      <c r="C384" s="22"/>
      <c r="D384" s="21"/>
    </row>
    <row r="385" ht="14.25" customHeight="1">
      <c r="A385" s="21"/>
      <c r="B385" s="22"/>
      <c r="C385" s="22"/>
      <c r="D385" s="21"/>
    </row>
    <row r="386" ht="14.25" customHeight="1">
      <c r="A386" s="21"/>
      <c r="B386" s="22"/>
      <c r="C386" s="22"/>
      <c r="D386" s="21"/>
    </row>
    <row r="387" ht="14.25" customHeight="1">
      <c r="A387" s="21"/>
      <c r="B387" s="22"/>
      <c r="C387" s="22"/>
      <c r="D387" s="21"/>
    </row>
    <row r="388" ht="14.25" customHeight="1">
      <c r="A388" s="21"/>
      <c r="B388" s="22"/>
      <c r="C388" s="22"/>
      <c r="D388" s="21"/>
    </row>
    <row r="389" ht="14.25" customHeight="1">
      <c r="A389" s="21"/>
      <c r="B389" s="22"/>
      <c r="C389" s="22"/>
      <c r="D389" s="21"/>
    </row>
    <row r="390" ht="14.25" customHeight="1">
      <c r="A390" s="21"/>
      <c r="B390" s="22"/>
      <c r="C390" s="22"/>
      <c r="D390" s="21"/>
    </row>
    <row r="391" ht="14.25" customHeight="1">
      <c r="A391" s="21"/>
      <c r="B391" s="22"/>
      <c r="C391" s="22"/>
      <c r="D391" s="21"/>
    </row>
    <row r="392" ht="14.25" customHeight="1">
      <c r="A392" s="21"/>
      <c r="B392" s="22"/>
      <c r="C392" s="22"/>
      <c r="D392" s="21"/>
    </row>
    <row r="393" ht="14.25" customHeight="1">
      <c r="A393" s="21"/>
      <c r="B393" s="22"/>
      <c r="C393" s="22"/>
      <c r="D393" s="21"/>
    </row>
    <row r="394" ht="14.25" customHeight="1">
      <c r="A394" s="21"/>
      <c r="B394" s="22"/>
      <c r="C394" s="22"/>
      <c r="D394" s="21"/>
    </row>
    <row r="395" ht="14.25" customHeight="1">
      <c r="A395" s="21"/>
      <c r="B395" s="22"/>
      <c r="C395" s="22"/>
      <c r="D395" s="21"/>
    </row>
    <row r="396" ht="14.25" customHeight="1">
      <c r="A396" s="21"/>
      <c r="B396" s="22"/>
      <c r="C396" s="22"/>
      <c r="D396" s="21"/>
    </row>
    <row r="397" ht="14.25" customHeight="1">
      <c r="A397" s="21"/>
      <c r="B397" s="22"/>
      <c r="C397" s="22"/>
      <c r="D397" s="21"/>
    </row>
    <row r="398" ht="14.25" customHeight="1">
      <c r="A398" s="21"/>
      <c r="B398" s="22"/>
      <c r="C398" s="22"/>
      <c r="D398" s="21"/>
    </row>
    <row r="399" ht="14.25" customHeight="1">
      <c r="A399" s="21"/>
      <c r="B399" s="22"/>
      <c r="C399" s="22"/>
      <c r="D399" s="21"/>
    </row>
    <row r="400" ht="14.25" customHeight="1">
      <c r="A400" s="21"/>
      <c r="B400" s="22"/>
      <c r="C400" s="22"/>
      <c r="D400" s="21"/>
    </row>
    <row r="401" ht="14.25" customHeight="1">
      <c r="A401" s="21"/>
      <c r="B401" s="22"/>
      <c r="C401" s="22"/>
      <c r="D401" s="21"/>
    </row>
    <row r="402" ht="14.25" customHeight="1">
      <c r="A402" s="21"/>
      <c r="B402" s="22"/>
      <c r="C402" s="22"/>
      <c r="D402" s="21"/>
    </row>
    <row r="403" ht="14.25" customHeight="1">
      <c r="A403" s="21"/>
      <c r="B403" s="22"/>
      <c r="C403" s="22"/>
      <c r="D403" s="21"/>
    </row>
    <row r="404" ht="14.25" customHeight="1">
      <c r="A404" s="21"/>
      <c r="B404" s="22"/>
      <c r="C404" s="22"/>
      <c r="D404" s="21"/>
    </row>
    <row r="405" ht="14.25" customHeight="1">
      <c r="A405" s="21"/>
      <c r="B405" s="22"/>
      <c r="C405" s="22"/>
      <c r="D405" s="21"/>
    </row>
    <row r="406" ht="14.25" customHeight="1">
      <c r="A406" s="21"/>
      <c r="B406" s="22"/>
      <c r="C406" s="22"/>
      <c r="D406" s="21"/>
    </row>
    <row r="407" ht="14.25" customHeight="1">
      <c r="A407" s="21"/>
      <c r="B407" s="22"/>
      <c r="C407" s="22"/>
      <c r="D407" s="21"/>
    </row>
    <row r="408" ht="14.25" customHeight="1">
      <c r="A408" s="21"/>
      <c r="B408" s="22"/>
      <c r="C408" s="22"/>
      <c r="D408" s="21"/>
    </row>
    <row r="409" ht="14.25" customHeight="1">
      <c r="A409" s="21"/>
      <c r="B409" s="22"/>
      <c r="C409" s="22"/>
      <c r="D409" s="21"/>
    </row>
    <row r="410" ht="14.25" customHeight="1">
      <c r="A410" s="21"/>
      <c r="B410" s="22"/>
      <c r="C410" s="22"/>
      <c r="D410" s="21"/>
    </row>
    <row r="411" ht="14.25" customHeight="1">
      <c r="A411" s="21"/>
      <c r="B411" s="22"/>
      <c r="C411" s="22"/>
      <c r="D411" s="21"/>
    </row>
    <row r="412" ht="14.25" customHeight="1">
      <c r="A412" s="21"/>
      <c r="B412" s="22"/>
      <c r="C412" s="22"/>
      <c r="D412" s="21"/>
    </row>
    <row r="413" ht="14.25" customHeight="1">
      <c r="A413" s="21"/>
      <c r="B413" s="22"/>
      <c r="C413" s="22"/>
      <c r="D413" s="21"/>
    </row>
    <row r="414" ht="14.25" customHeight="1">
      <c r="A414" s="21"/>
      <c r="B414" s="22"/>
      <c r="C414" s="22"/>
      <c r="D414" s="21"/>
    </row>
    <row r="415" ht="14.25" customHeight="1">
      <c r="A415" s="21"/>
      <c r="B415" s="22"/>
      <c r="C415" s="22"/>
      <c r="D415" s="21"/>
    </row>
    <row r="416" ht="14.25" customHeight="1">
      <c r="A416" s="21"/>
      <c r="B416" s="22"/>
      <c r="C416" s="22"/>
      <c r="D416" s="21"/>
    </row>
    <row r="417" ht="14.25" customHeight="1">
      <c r="A417" s="21"/>
      <c r="B417" s="22"/>
      <c r="C417" s="22"/>
      <c r="D417" s="21"/>
    </row>
    <row r="418" ht="14.25" customHeight="1">
      <c r="A418" s="21"/>
      <c r="B418" s="22"/>
      <c r="C418" s="22"/>
      <c r="D418" s="21"/>
    </row>
    <row r="419" ht="14.25" customHeight="1">
      <c r="A419" s="21"/>
      <c r="B419" s="22"/>
      <c r="C419" s="22"/>
      <c r="D419" s="21"/>
    </row>
    <row r="420" ht="14.25" customHeight="1">
      <c r="A420" s="21"/>
      <c r="B420" s="22"/>
      <c r="C420" s="22"/>
      <c r="D420" s="21"/>
    </row>
    <row r="421" ht="14.25" customHeight="1">
      <c r="A421" s="21"/>
      <c r="B421" s="22"/>
      <c r="C421" s="22"/>
      <c r="D421" s="21"/>
    </row>
    <row r="422" ht="14.25" customHeight="1">
      <c r="A422" s="21"/>
      <c r="B422" s="22"/>
      <c r="C422" s="22"/>
      <c r="D422" s="21"/>
    </row>
    <row r="423" ht="14.25" customHeight="1">
      <c r="A423" s="21"/>
      <c r="B423" s="22"/>
      <c r="C423" s="22"/>
      <c r="D423" s="21"/>
    </row>
    <row r="424" ht="14.25" customHeight="1">
      <c r="A424" s="21"/>
      <c r="B424" s="22"/>
      <c r="C424" s="22"/>
      <c r="D424" s="21"/>
    </row>
    <row r="425" ht="14.25" customHeight="1">
      <c r="A425" s="21"/>
      <c r="B425" s="22"/>
      <c r="C425" s="22"/>
      <c r="D425" s="21"/>
    </row>
    <row r="426" ht="14.25" customHeight="1">
      <c r="A426" s="21"/>
      <c r="B426" s="22"/>
      <c r="C426" s="22"/>
      <c r="D426" s="21"/>
    </row>
    <row r="427" ht="14.25" customHeight="1">
      <c r="A427" s="21"/>
      <c r="B427" s="22"/>
      <c r="C427" s="22"/>
      <c r="D427" s="21"/>
    </row>
    <row r="428" ht="14.25" customHeight="1">
      <c r="A428" s="21"/>
      <c r="B428" s="22"/>
      <c r="C428" s="22"/>
      <c r="D428" s="21"/>
    </row>
    <row r="429" ht="14.25" customHeight="1">
      <c r="A429" s="21"/>
      <c r="B429" s="22"/>
      <c r="C429" s="22"/>
      <c r="D429" s="21"/>
    </row>
    <row r="430" ht="14.25" customHeight="1">
      <c r="A430" s="21"/>
      <c r="B430" s="22"/>
      <c r="C430" s="22"/>
      <c r="D430" s="21"/>
    </row>
    <row r="431" ht="14.25" customHeight="1">
      <c r="A431" s="21"/>
      <c r="B431" s="22"/>
      <c r="C431" s="22"/>
      <c r="D431" s="21"/>
    </row>
    <row r="432" ht="14.25" customHeight="1">
      <c r="A432" s="21"/>
      <c r="B432" s="22"/>
      <c r="C432" s="22"/>
      <c r="D432" s="21"/>
    </row>
    <row r="433" ht="14.25" customHeight="1">
      <c r="A433" s="21"/>
      <c r="B433" s="22"/>
      <c r="C433" s="22"/>
      <c r="D433" s="21"/>
    </row>
    <row r="434" ht="14.25" customHeight="1">
      <c r="A434" s="21"/>
      <c r="B434" s="22"/>
      <c r="C434" s="22"/>
      <c r="D434" s="21"/>
    </row>
    <row r="435" ht="14.25" customHeight="1">
      <c r="A435" s="21"/>
      <c r="B435" s="22"/>
      <c r="C435" s="22"/>
      <c r="D435" s="21"/>
    </row>
    <row r="436" ht="14.25" customHeight="1">
      <c r="A436" s="21"/>
      <c r="B436" s="22"/>
      <c r="C436" s="22"/>
      <c r="D436" s="21"/>
    </row>
    <row r="437" ht="14.25" customHeight="1">
      <c r="A437" s="21"/>
      <c r="B437" s="22"/>
      <c r="C437" s="22"/>
      <c r="D437" s="21"/>
    </row>
    <row r="438" ht="14.25" customHeight="1">
      <c r="A438" s="21"/>
      <c r="B438" s="22"/>
      <c r="C438" s="22"/>
      <c r="D438" s="21"/>
    </row>
    <row r="439" ht="14.25" customHeight="1">
      <c r="A439" s="21"/>
      <c r="B439" s="22"/>
      <c r="C439" s="22"/>
      <c r="D439" s="21"/>
    </row>
    <row r="440" ht="14.25" customHeight="1">
      <c r="A440" s="21"/>
      <c r="B440" s="22"/>
      <c r="C440" s="22"/>
      <c r="D440" s="21"/>
    </row>
    <row r="441" ht="14.25" customHeight="1">
      <c r="A441" s="21"/>
      <c r="B441" s="22"/>
      <c r="C441" s="22"/>
      <c r="D441" s="21"/>
    </row>
    <row r="442" ht="14.25" customHeight="1">
      <c r="A442" s="21"/>
      <c r="B442" s="22"/>
      <c r="C442" s="22"/>
      <c r="D442" s="21"/>
    </row>
    <row r="443" ht="14.25" customHeight="1">
      <c r="A443" s="21"/>
      <c r="B443" s="22"/>
      <c r="C443" s="22"/>
      <c r="D443" s="21"/>
    </row>
    <row r="444" ht="14.25" customHeight="1">
      <c r="A444" s="21"/>
      <c r="B444" s="22"/>
      <c r="C444" s="22"/>
      <c r="D444" s="21"/>
    </row>
    <row r="445" ht="14.25" customHeight="1">
      <c r="A445" s="21"/>
      <c r="B445" s="22"/>
      <c r="C445" s="22"/>
      <c r="D445" s="21"/>
    </row>
    <row r="446" ht="14.25" customHeight="1">
      <c r="A446" s="21"/>
      <c r="B446" s="22"/>
      <c r="C446" s="22"/>
      <c r="D446" s="21"/>
    </row>
    <row r="447" ht="14.25" customHeight="1">
      <c r="A447" s="21"/>
      <c r="B447" s="22"/>
      <c r="C447" s="22"/>
      <c r="D447" s="21"/>
    </row>
    <row r="448" ht="14.25" customHeight="1">
      <c r="A448" s="21"/>
      <c r="B448" s="22"/>
      <c r="C448" s="22"/>
      <c r="D448" s="21"/>
    </row>
    <row r="449" ht="14.25" customHeight="1">
      <c r="A449" s="21"/>
      <c r="B449" s="22"/>
      <c r="C449" s="22"/>
      <c r="D449" s="21"/>
    </row>
    <row r="450" ht="14.25" customHeight="1">
      <c r="A450" s="21"/>
      <c r="B450" s="22"/>
      <c r="C450" s="22"/>
      <c r="D450" s="21"/>
    </row>
    <row r="451" ht="14.25" customHeight="1">
      <c r="A451" s="21"/>
      <c r="B451" s="22"/>
      <c r="C451" s="22"/>
      <c r="D451" s="21"/>
    </row>
    <row r="452" ht="14.25" customHeight="1">
      <c r="A452" s="21"/>
      <c r="B452" s="22"/>
      <c r="C452" s="22"/>
      <c r="D452" s="21"/>
    </row>
    <row r="453" ht="14.25" customHeight="1">
      <c r="A453" s="21"/>
      <c r="B453" s="22"/>
      <c r="C453" s="22"/>
      <c r="D453" s="21"/>
    </row>
    <row r="454" ht="14.25" customHeight="1">
      <c r="A454" s="21"/>
      <c r="B454" s="22"/>
      <c r="C454" s="22"/>
      <c r="D454" s="21"/>
    </row>
    <row r="455" ht="14.25" customHeight="1">
      <c r="A455" s="21"/>
      <c r="B455" s="22"/>
      <c r="C455" s="22"/>
      <c r="D455" s="21"/>
    </row>
    <row r="456" ht="14.25" customHeight="1">
      <c r="A456" s="21"/>
      <c r="B456" s="22"/>
      <c r="C456" s="22"/>
      <c r="D456" s="21"/>
    </row>
    <row r="457" ht="14.25" customHeight="1">
      <c r="A457" s="21"/>
      <c r="B457" s="22"/>
      <c r="C457" s="22"/>
      <c r="D457" s="21"/>
    </row>
    <row r="458" ht="14.25" customHeight="1">
      <c r="A458" s="21"/>
      <c r="B458" s="22"/>
      <c r="C458" s="22"/>
      <c r="D458" s="21"/>
    </row>
    <row r="459" ht="14.25" customHeight="1">
      <c r="A459" s="21"/>
      <c r="B459" s="22"/>
      <c r="C459" s="22"/>
      <c r="D459" s="21"/>
    </row>
    <row r="460" ht="14.25" customHeight="1">
      <c r="A460" s="21"/>
      <c r="B460" s="22"/>
      <c r="C460" s="22"/>
      <c r="D460" s="21"/>
    </row>
    <row r="461" ht="14.25" customHeight="1">
      <c r="A461" s="21"/>
      <c r="B461" s="22"/>
      <c r="C461" s="22"/>
      <c r="D461" s="21"/>
    </row>
    <row r="462" ht="14.25" customHeight="1">
      <c r="A462" s="21"/>
      <c r="B462" s="22"/>
      <c r="C462" s="22"/>
      <c r="D462" s="21"/>
    </row>
    <row r="463" ht="14.25" customHeight="1">
      <c r="A463" s="21"/>
      <c r="B463" s="22"/>
      <c r="C463" s="22"/>
      <c r="D463" s="21"/>
    </row>
    <row r="464" ht="14.25" customHeight="1">
      <c r="A464" s="21"/>
      <c r="B464" s="22"/>
      <c r="C464" s="22"/>
      <c r="D464" s="21"/>
    </row>
    <row r="465" ht="14.25" customHeight="1">
      <c r="A465" s="21"/>
      <c r="B465" s="22"/>
      <c r="C465" s="22"/>
      <c r="D465" s="21"/>
    </row>
    <row r="466" ht="14.25" customHeight="1">
      <c r="A466" s="21"/>
      <c r="B466" s="22"/>
      <c r="C466" s="22"/>
      <c r="D466" s="21"/>
    </row>
    <row r="467" ht="14.25" customHeight="1">
      <c r="A467" s="21"/>
      <c r="B467" s="22"/>
      <c r="C467" s="22"/>
      <c r="D467" s="21"/>
    </row>
    <row r="468" ht="14.25" customHeight="1">
      <c r="A468" s="21"/>
      <c r="B468" s="22"/>
      <c r="C468" s="22"/>
      <c r="D468" s="21"/>
    </row>
    <row r="469" ht="14.25" customHeight="1">
      <c r="A469" s="21"/>
      <c r="B469" s="22"/>
      <c r="C469" s="22"/>
      <c r="D469" s="21"/>
    </row>
    <row r="470" ht="14.25" customHeight="1">
      <c r="A470" s="21"/>
      <c r="B470" s="22"/>
      <c r="C470" s="22"/>
      <c r="D470" s="21"/>
    </row>
    <row r="471" ht="14.25" customHeight="1">
      <c r="A471" s="21"/>
      <c r="B471" s="22"/>
      <c r="C471" s="22"/>
      <c r="D471" s="21"/>
    </row>
    <row r="472" ht="14.25" customHeight="1">
      <c r="A472" s="21"/>
      <c r="B472" s="22"/>
      <c r="C472" s="22"/>
      <c r="D472" s="21"/>
    </row>
    <row r="473" ht="14.25" customHeight="1">
      <c r="A473" s="21"/>
      <c r="B473" s="22"/>
      <c r="C473" s="22"/>
      <c r="D473" s="21"/>
    </row>
    <row r="474" ht="14.25" customHeight="1">
      <c r="A474" s="21"/>
      <c r="B474" s="22"/>
      <c r="C474" s="22"/>
      <c r="D474" s="21"/>
    </row>
    <row r="475" ht="14.25" customHeight="1">
      <c r="A475" s="21"/>
      <c r="B475" s="22"/>
      <c r="C475" s="22"/>
      <c r="D475" s="21"/>
    </row>
    <row r="476" ht="14.25" customHeight="1">
      <c r="A476" s="21"/>
      <c r="B476" s="22"/>
      <c r="C476" s="22"/>
      <c r="D476" s="21"/>
    </row>
    <row r="477" ht="14.25" customHeight="1">
      <c r="A477" s="21"/>
      <c r="B477" s="22"/>
      <c r="C477" s="22"/>
      <c r="D477" s="21"/>
    </row>
    <row r="478" ht="14.25" customHeight="1">
      <c r="A478" s="21"/>
      <c r="B478" s="22"/>
      <c r="C478" s="22"/>
      <c r="D478" s="21"/>
    </row>
    <row r="479" ht="14.25" customHeight="1">
      <c r="A479" s="21"/>
      <c r="B479" s="22"/>
      <c r="C479" s="22"/>
      <c r="D479" s="21"/>
    </row>
    <row r="480" ht="14.25" customHeight="1">
      <c r="A480" s="21"/>
      <c r="B480" s="22"/>
      <c r="C480" s="22"/>
      <c r="D480" s="21"/>
    </row>
    <row r="481" ht="14.25" customHeight="1">
      <c r="A481" s="21"/>
      <c r="B481" s="22"/>
      <c r="C481" s="22"/>
      <c r="D481" s="21"/>
    </row>
    <row r="482" ht="14.25" customHeight="1">
      <c r="A482" s="21"/>
      <c r="B482" s="22"/>
      <c r="C482" s="22"/>
      <c r="D482" s="21"/>
    </row>
    <row r="483" ht="14.25" customHeight="1">
      <c r="A483" s="21"/>
      <c r="B483" s="22"/>
      <c r="C483" s="22"/>
      <c r="D483" s="21"/>
    </row>
    <row r="484" ht="14.25" customHeight="1">
      <c r="A484" s="21"/>
      <c r="B484" s="22"/>
      <c r="C484" s="22"/>
      <c r="D484" s="21"/>
    </row>
    <row r="485" ht="14.25" customHeight="1">
      <c r="A485" s="21"/>
      <c r="B485" s="22"/>
      <c r="C485" s="22"/>
      <c r="D485" s="21"/>
    </row>
    <row r="486" ht="14.25" customHeight="1">
      <c r="A486" s="21"/>
      <c r="B486" s="22"/>
      <c r="C486" s="22"/>
      <c r="D486" s="21"/>
    </row>
    <row r="487" ht="14.25" customHeight="1">
      <c r="A487" s="21"/>
      <c r="B487" s="22"/>
      <c r="C487" s="22"/>
      <c r="D487" s="21"/>
    </row>
    <row r="488" ht="14.25" customHeight="1">
      <c r="A488" s="21"/>
      <c r="B488" s="22"/>
      <c r="C488" s="22"/>
      <c r="D488" s="21"/>
    </row>
    <row r="489" ht="14.25" customHeight="1">
      <c r="A489" s="21"/>
      <c r="B489" s="22"/>
      <c r="C489" s="22"/>
      <c r="D489" s="21"/>
    </row>
    <row r="490" ht="14.25" customHeight="1">
      <c r="A490" s="21"/>
      <c r="B490" s="22"/>
      <c r="C490" s="22"/>
      <c r="D490" s="21"/>
    </row>
    <row r="491" ht="14.25" customHeight="1">
      <c r="A491" s="21"/>
      <c r="B491" s="22"/>
      <c r="C491" s="22"/>
      <c r="D491" s="21"/>
    </row>
    <row r="492" ht="14.25" customHeight="1">
      <c r="A492" s="21"/>
      <c r="B492" s="22"/>
      <c r="C492" s="22"/>
      <c r="D492" s="21"/>
    </row>
    <row r="493" ht="14.25" customHeight="1">
      <c r="A493" s="21"/>
      <c r="B493" s="22"/>
      <c r="C493" s="22"/>
      <c r="D493" s="21"/>
    </row>
    <row r="494" ht="14.25" customHeight="1">
      <c r="A494" s="21"/>
      <c r="B494" s="22"/>
      <c r="C494" s="22"/>
      <c r="D494" s="21"/>
    </row>
    <row r="495" ht="14.25" customHeight="1">
      <c r="A495" s="21"/>
      <c r="B495" s="22"/>
      <c r="C495" s="22"/>
      <c r="D495" s="21"/>
    </row>
    <row r="496" ht="14.25" customHeight="1">
      <c r="A496" s="21"/>
      <c r="B496" s="22"/>
      <c r="C496" s="22"/>
      <c r="D496" s="21"/>
    </row>
    <row r="497" ht="14.25" customHeight="1">
      <c r="A497" s="21"/>
      <c r="B497" s="22"/>
      <c r="C497" s="22"/>
      <c r="D497" s="21"/>
    </row>
    <row r="498" ht="14.25" customHeight="1">
      <c r="A498" s="21"/>
      <c r="B498" s="22"/>
      <c r="C498" s="22"/>
      <c r="D498" s="21"/>
    </row>
    <row r="499" ht="14.25" customHeight="1">
      <c r="A499" s="21"/>
      <c r="B499" s="22"/>
      <c r="C499" s="22"/>
      <c r="D499" s="21"/>
    </row>
    <row r="500" ht="14.25" customHeight="1">
      <c r="A500" s="21"/>
      <c r="B500" s="22"/>
      <c r="C500" s="22"/>
      <c r="D500" s="21"/>
    </row>
    <row r="501" ht="14.25" customHeight="1">
      <c r="A501" s="21"/>
      <c r="B501" s="22"/>
      <c r="C501" s="22"/>
      <c r="D501" s="21"/>
    </row>
    <row r="502" ht="14.25" customHeight="1">
      <c r="A502" s="21"/>
      <c r="B502" s="22"/>
      <c r="C502" s="22"/>
      <c r="D502" s="21"/>
    </row>
    <row r="503" ht="14.25" customHeight="1">
      <c r="A503" s="21"/>
      <c r="B503" s="22"/>
      <c r="C503" s="22"/>
      <c r="D503" s="21"/>
    </row>
    <row r="504" ht="14.25" customHeight="1">
      <c r="A504" s="21"/>
      <c r="B504" s="22"/>
      <c r="C504" s="22"/>
      <c r="D504" s="21"/>
    </row>
    <row r="505" ht="14.25" customHeight="1">
      <c r="A505" s="21"/>
      <c r="B505" s="22"/>
      <c r="C505" s="22"/>
      <c r="D505" s="21"/>
    </row>
    <row r="506" ht="14.25" customHeight="1">
      <c r="A506" s="21"/>
      <c r="B506" s="22"/>
      <c r="C506" s="22"/>
      <c r="D506" s="21"/>
    </row>
    <row r="507" ht="14.25" customHeight="1">
      <c r="A507" s="21"/>
      <c r="B507" s="22"/>
      <c r="C507" s="22"/>
      <c r="D507" s="21"/>
    </row>
    <row r="508" ht="14.25" customHeight="1">
      <c r="A508" s="21"/>
      <c r="B508" s="22"/>
      <c r="C508" s="22"/>
      <c r="D508" s="21"/>
    </row>
    <row r="509" ht="14.25" customHeight="1">
      <c r="A509" s="21"/>
      <c r="B509" s="22"/>
      <c r="C509" s="22"/>
      <c r="D509" s="21"/>
    </row>
    <row r="510" ht="14.25" customHeight="1">
      <c r="A510" s="21"/>
      <c r="B510" s="22"/>
      <c r="C510" s="22"/>
      <c r="D510" s="21"/>
    </row>
    <row r="511" ht="14.25" customHeight="1">
      <c r="A511" s="21"/>
      <c r="B511" s="22"/>
      <c r="C511" s="22"/>
      <c r="D511" s="21"/>
    </row>
    <row r="512" ht="14.25" customHeight="1">
      <c r="A512" s="21"/>
      <c r="B512" s="22"/>
      <c r="C512" s="22"/>
      <c r="D512" s="21"/>
    </row>
    <row r="513" ht="14.25" customHeight="1">
      <c r="A513" s="21"/>
      <c r="B513" s="22"/>
      <c r="C513" s="22"/>
      <c r="D513" s="21"/>
    </row>
    <row r="514" ht="14.25" customHeight="1">
      <c r="A514" s="21"/>
      <c r="B514" s="22"/>
      <c r="C514" s="22"/>
      <c r="D514" s="21"/>
    </row>
    <row r="515" ht="14.25" customHeight="1">
      <c r="A515" s="21"/>
      <c r="B515" s="22"/>
      <c r="C515" s="22"/>
      <c r="D515" s="21"/>
    </row>
    <row r="516" ht="14.25" customHeight="1">
      <c r="A516" s="21"/>
      <c r="B516" s="22"/>
      <c r="C516" s="22"/>
      <c r="D516" s="21"/>
    </row>
    <row r="517" ht="14.25" customHeight="1">
      <c r="A517" s="21"/>
      <c r="B517" s="22"/>
      <c r="C517" s="22"/>
      <c r="D517" s="21"/>
    </row>
    <row r="518" ht="14.25" customHeight="1">
      <c r="A518" s="21"/>
      <c r="B518" s="22"/>
      <c r="C518" s="22"/>
      <c r="D518" s="21"/>
    </row>
    <row r="519" ht="14.25" customHeight="1">
      <c r="A519" s="21"/>
      <c r="B519" s="22"/>
      <c r="C519" s="22"/>
      <c r="D519" s="21"/>
    </row>
    <row r="520" ht="14.25" customHeight="1">
      <c r="A520" s="21"/>
      <c r="B520" s="22"/>
      <c r="C520" s="22"/>
      <c r="D520" s="21"/>
    </row>
    <row r="521" ht="14.25" customHeight="1">
      <c r="A521" s="21"/>
      <c r="B521" s="22"/>
      <c r="C521" s="22"/>
      <c r="D521" s="21"/>
    </row>
    <row r="522" ht="14.25" customHeight="1">
      <c r="A522" s="21"/>
      <c r="B522" s="22"/>
      <c r="C522" s="22"/>
      <c r="D522" s="21"/>
    </row>
    <row r="523" ht="14.25" customHeight="1">
      <c r="A523" s="21"/>
      <c r="B523" s="22"/>
      <c r="C523" s="22"/>
      <c r="D523" s="21"/>
    </row>
    <row r="524" ht="14.25" customHeight="1">
      <c r="A524" s="21"/>
      <c r="B524" s="22"/>
      <c r="C524" s="22"/>
      <c r="D524" s="21"/>
    </row>
    <row r="525" ht="14.25" customHeight="1">
      <c r="A525" s="21"/>
      <c r="B525" s="22"/>
      <c r="C525" s="22"/>
      <c r="D525" s="21"/>
    </row>
    <row r="526" ht="14.25" customHeight="1">
      <c r="A526" s="21"/>
      <c r="B526" s="22"/>
      <c r="C526" s="22"/>
      <c r="D526" s="21"/>
    </row>
    <row r="527" ht="14.25" customHeight="1">
      <c r="A527" s="21"/>
      <c r="B527" s="22"/>
      <c r="C527" s="22"/>
      <c r="D527" s="21"/>
    </row>
    <row r="528" ht="14.25" customHeight="1">
      <c r="A528" s="21"/>
      <c r="B528" s="22"/>
      <c r="C528" s="22"/>
      <c r="D528" s="21"/>
    </row>
    <row r="529" ht="14.25" customHeight="1">
      <c r="A529" s="21"/>
      <c r="B529" s="22"/>
      <c r="C529" s="22"/>
      <c r="D529" s="21"/>
    </row>
    <row r="530" ht="14.25" customHeight="1">
      <c r="A530" s="21"/>
      <c r="B530" s="22"/>
      <c r="C530" s="22"/>
      <c r="D530" s="21"/>
    </row>
    <row r="531" ht="14.25" customHeight="1">
      <c r="A531" s="21"/>
      <c r="B531" s="22"/>
      <c r="C531" s="22"/>
      <c r="D531" s="21"/>
    </row>
    <row r="532" ht="14.25" customHeight="1">
      <c r="A532" s="21"/>
      <c r="B532" s="22"/>
      <c r="C532" s="22"/>
      <c r="D532" s="21"/>
    </row>
    <row r="533" ht="14.25" customHeight="1">
      <c r="A533" s="21"/>
      <c r="B533" s="22"/>
      <c r="C533" s="22"/>
      <c r="D533" s="21"/>
    </row>
    <row r="534" ht="14.25" customHeight="1">
      <c r="A534" s="21"/>
      <c r="B534" s="22"/>
      <c r="C534" s="22"/>
      <c r="D534" s="21"/>
    </row>
    <row r="535" ht="14.25" customHeight="1">
      <c r="A535" s="21"/>
      <c r="B535" s="22"/>
      <c r="C535" s="22"/>
      <c r="D535" s="21"/>
    </row>
    <row r="536" ht="14.25" customHeight="1">
      <c r="A536" s="21"/>
      <c r="B536" s="22"/>
      <c r="C536" s="22"/>
      <c r="D536" s="21"/>
    </row>
    <row r="537" ht="14.25" customHeight="1">
      <c r="A537" s="21"/>
      <c r="B537" s="22"/>
      <c r="C537" s="22"/>
      <c r="D537" s="21"/>
    </row>
    <row r="538" ht="14.25" customHeight="1">
      <c r="A538" s="21"/>
      <c r="B538" s="22"/>
      <c r="C538" s="22"/>
      <c r="D538" s="21"/>
    </row>
    <row r="539" ht="14.25" customHeight="1">
      <c r="A539" s="21"/>
      <c r="B539" s="22"/>
      <c r="C539" s="22"/>
      <c r="D539" s="21"/>
    </row>
    <row r="540" ht="14.25" customHeight="1">
      <c r="A540" s="21"/>
      <c r="B540" s="22"/>
      <c r="C540" s="22"/>
      <c r="D540" s="21"/>
    </row>
    <row r="541" ht="14.25" customHeight="1">
      <c r="A541" s="21"/>
      <c r="B541" s="22"/>
      <c r="C541" s="22"/>
      <c r="D541" s="21"/>
    </row>
    <row r="542" ht="14.25" customHeight="1">
      <c r="A542" s="21"/>
      <c r="B542" s="22"/>
      <c r="C542" s="22"/>
      <c r="D542" s="21"/>
    </row>
    <row r="543" ht="14.25" customHeight="1">
      <c r="A543" s="21"/>
      <c r="B543" s="22"/>
      <c r="C543" s="22"/>
      <c r="D543" s="21"/>
    </row>
    <row r="544" ht="14.25" customHeight="1">
      <c r="A544" s="21"/>
      <c r="B544" s="22"/>
      <c r="C544" s="22"/>
      <c r="D544" s="21"/>
    </row>
    <row r="545" ht="14.25" customHeight="1">
      <c r="A545" s="21"/>
      <c r="B545" s="22"/>
      <c r="C545" s="22"/>
      <c r="D545" s="21"/>
    </row>
    <row r="546" ht="14.25" customHeight="1">
      <c r="A546" s="21"/>
      <c r="B546" s="22"/>
      <c r="C546" s="22"/>
      <c r="D546" s="21"/>
    </row>
    <row r="547" ht="14.25" customHeight="1">
      <c r="A547" s="21"/>
      <c r="B547" s="22"/>
      <c r="C547" s="22"/>
      <c r="D547" s="21"/>
    </row>
    <row r="548" ht="14.25" customHeight="1">
      <c r="A548" s="21"/>
      <c r="B548" s="22"/>
      <c r="C548" s="22"/>
      <c r="D548" s="21"/>
    </row>
    <row r="549" ht="14.25" customHeight="1">
      <c r="A549" s="21"/>
      <c r="B549" s="22"/>
      <c r="C549" s="22"/>
      <c r="D549" s="21"/>
    </row>
    <row r="550" ht="14.25" customHeight="1">
      <c r="A550" s="21"/>
      <c r="B550" s="22"/>
      <c r="C550" s="22"/>
      <c r="D550" s="21"/>
    </row>
    <row r="551" ht="14.25" customHeight="1">
      <c r="A551" s="21"/>
      <c r="B551" s="22"/>
      <c r="C551" s="22"/>
      <c r="D551" s="21"/>
    </row>
    <row r="552" ht="14.25" customHeight="1">
      <c r="A552" s="21"/>
      <c r="B552" s="22"/>
      <c r="C552" s="22"/>
      <c r="D552" s="21"/>
    </row>
    <row r="553" ht="14.25" customHeight="1">
      <c r="A553" s="21"/>
      <c r="B553" s="22"/>
      <c r="C553" s="22"/>
      <c r="D553" s="21"/>
    </row>
    <row r="554" ht="14.25" customHeight="1">
      <c r="A554" s="21"/>
      <c r="B554" s="22"/>
      <c r="C554" s="22"/>
      <c r="D554" s="21"/>
    </row>
    <row r="555" ht="14.25" customHeight="1">
      <c r="A555" s="21"/>
      <c r="B555" s="22"/>
      <c r="C555" s="22"/>
      <c r="D555" s="21"/>
    </row>
    <row r="556" ht="14.25" customHeight="1">
      <c r="A556" s="21"/>
      <c r="B556" s="22"/>
      <c r="C556" s="22"/>
      <c r="D556" s="21"/>
    </row>
    <row r="557" ht="14.25" customHeight="1">
      <c r="A557" s="21"/>
      <c r="B557" s="22"/>
      <c r="C557" s="22"/>
      <c r="D557" s="21"/>
    </row>
    <row r="558" ht="14.25" customHeight="1">
      <c r="A558" s="21"/>
      <c r="B558" s="22"/>
      <c r="C558" s="22"/>
      <c r="D558" s="21"/>
    </row>
    <row r="559" ht="14.25" customHeight="1">
      <c r="A559" s="21"/>
      <c r="B559" s="22"/>
      <c r="C559" s="22"/>
      <c r="D559" s="21"/>
    </row>
    <row r="560" ht="14.25" customHeight="1">
      <c r="A560" s="21"/>
      <c r="B560" s="22"/>
      <c r="C560" s="22"/>
      <c r="D560" s="21"/>
    </row>
    <row r="561" ht="14.25" customHeight="1">
      <c r="A561" s="21"/>
      <c r="B561" s="22"/>
      <c r="C561" s="22"/>
      <c r="D561" s="21"/>
    </row>
    <row r="562" ht="14.25" customHeight="1">
      <c r="A562" s="21"/>
      <c r="B562" s="22"/>
      <c r="C562" s="22"/>
      <c r="D562" s="21"/>
    </row>
    <row r="563" ht="14.25" customHeight="1">
      <c r="A563" s="21"/>
      <c r="B563" s="22"/>
      <c r="C563" s="22"/>
      <c r="D563" s="21"/>
    </row>
    <row r="564" ht="14.25" customHeight="1">
      <c r="A564" s="21"/>
      <c r="B564" s="22"/>
      <c r="C564" s="22"/>
      <c r="D564" s="21"/>
    </row>
    <row r="565" ht="14.25" customHeight="1">
      <c r="A565" s="21"/>
      <c r="B565" s="22"/>
      <c r="C565" s="22"/>
      <c r="D565" s="21"/>
    </row>
    <row r="566" ht="14.25" customHeight="1">
      <c r="A566" s="21"/>
      <c r="B566" s="22"/>
      <c r="C566" s="22"/>
      <c r="D566" s="21"/>
    </row>
    <row r="567" ht="14.25" customHeight="1">
      <c r="A567" s="21"/>
      <c r="B567" s="22"/>
      <c r="C567" s="22"/>
      <c r="D567" s="21"/>
    </row>
    <row r="568" ht="14.25" customHeight="1">
      <c r="A568" s="21"/>
      <c r="B568" s="22"/>
      <c r="C568" s="22"/>
      <c r="D568" s="21"/>
    </row>
    <row r="569" ht="14.25" customHeight="1">
      <c r="A569" s="21"/>
      <c r="B569" s="22"/>
      <c r="C569" s="22"/>
      <c r="D569" s="21"/>
    </row>
    <row r="570" ht="14.25" customHeight="1">
      <c r="A570" s="21"/>
      <c r="B570" s="22"/>
      <c r="C570" s="22"/>
      <c r="D570" s="21"/>
    </row>
    <row r="571" ht="14.25" customHeight="1">
      <c r="A571" s="21"/>
      <c r="B571" s="22"/>
      <c r="C571" s="22"/>
      <c r="D571" s="21"/>
    </row>
    <row r="572" ht="14.25" customHeight="1">
      <c r="A572" s="21"/>
      <c r="B572" s="22"/>
      <c r="C572" s="22"/>
      <c r="D572" s="21"/>
    </row>
    <row r="573" ht="14.25" customHeight="1">
      <c r="A573" s="21"/>
      <c r="B573" s="22"/>
      <c r="C573" s="22"/>
      <c r="D573" s="21"/>
    </row>
    <row r="574" ht="14.25" customHeight="1">
      <c r="A574" s="21"/>
      <c r="B574" s="22"/>
      <c r="C574" s="22"/>
      <c r="D574" s="21"/>
    </row>
    <row r="575" ht="14.25" customHeight="1">
      <c r="A575" s="21"/>
      <c r="B575" s="22"/>
      <c r="C575" s="22"/>
      <c r="D575" s="21"/>
    </row>
    <row r="576" ht="14.25" customHeight="1">
      <c r="A576" s="21"/>
      <c r="B576" s="22"/>
      <c r="C576" s="22"/>
      <c r="D576" s="21"/>
    </row>
    <row r="577" ht="14.25" customHeight="1">
      <c r="A577" s="21"/>
      <c r="B577" s="22"/>
      <c r="C577" s="22"/>
      <c r="D577" s="21"/>
    </row>
    <row r="578" ht="14.25" customHeight="1">
      <c r="A578" s="21"/>
      <c r="B578" s="22"/>
      <c r="C578" s="22"/>
      <c r="D578" s="21"/>
    </row>
    <row r="579" ht="14.25" customHeight="1">
      <c r="A579" s="21"/>
      <c r="B579" s="22"/>
      <c r="C579" s="22"/>
      <c r="D579" s="21"/>
    </row>
    <row r="580" ht="14.25" customHeight="1">
      <c r="A580" s="21"/>
      <c r="B580" s="22"/>
      <c r="C580" s="22"/>
      <c r="D580" s="21"/>
    </row>
    <row r="581" ht="14.25" customHeight="1">
      <c r="A581" s="21"/>
      <c r="B581" s="22"/>
      <c r="C581" s="22"/>
      <c r="D581" s="21"/>
    </row>
    <row r="582" ht="14.25" customHeight="1">
      <c r="A582" s="21"/>
      <c r="B582" s="22"/>
      <c r="C582" s="22"/>
      <c r="D582" s="21"/>
    </row>
    <row r="583" ht="14.25" customHeight="1">
      <c r="A583" s="21"/>
      <c r="B583" s="22"/>
      <c r="C583" s="22"/>
      <c r="D583" s="21"/>
    </row>
    <row r="584" ht="14.25" customHeight="1">
      <c r="A584" s="21"/>
      <c r="B584" s="22"/>
      <c r="C584" s="22"/>
      <c r="D584" s="21"/>
    </row>
    <row r="585" ht="14.25" customHeight="1">
      <c r="A585" s="21"/>
      <c r="B585" s="22"/>
      <c r="C585" s="22"/>
      <c r="D585" s="21"/>
    </row>
    <row r="586" ht="14.25" customHeight="1">
      <c r="A586" s="21"/>
      <c r="B586" s="22"/>
      <c r="C586" s="22"/>
      <c r="D586" s="21"/>
    </row>
    <row r="587" ht="14.25" customHeight="1">
      <c r="A587" s="21"/>
      <c r="B587" s="22"/>
      <c r="C587" s="22"/>
      <c r="D587" s="21"/>
    </row>
    <row r="588" ht="14.25" customHeight="1">
      <c r="A588" s="21"/>
      <c r="B588" s="22"/>
      <c r="C588" s="22"/>
      <c r="D588" s="21"/>
    </row>
    <row r="589" ht="14.25" customHeight="1">
      <c r="A589" s="21"/>
      <c r="B589" s="22"/>
      <c r="C589" s="22"/>
      <c r="D589" s="21"/>
    </row>
    <row r="590" ht="14.25" customHeight="1">
      <c r="A590" s="21"/>
      <c r="B590" s="22"/>
      <c r="C590" s="22"/>
      <c r="D590" s="21"/>
    </row>
    <row r="591" ht="14.25" customHeight="1">
      <c r="A591" s="21"/>
      <c r="B591" s="22"/>
      <c r="C591" s="22"/>
      <c r="D591" s="21"/>
    </row>
    <row r="592" ht="14.25" customHeight="1">
      <c r="A592" s="21"/>
      <c r="B592" s="22"/>
      <c r="C592" s="22"/>
      <c r="D592" s="21"/>
    </row>
    <row r="593" ht="14.25" customHeight="1">
      <c r="A593" s="21"/>
      <c r="B593" s="22"/>
      <c r="C593" s="22"/>
      <c r="D593" s="21"/>
    </row>
    <row r="594" ht="14.25" customHeight="1">
      <c r="A594" s="21"/>
      <c r="B594" s="22"/>
      <c r="C594" s="22"/>
      <c r="D594" s="21"/>
    </row>
    <row r="595" ht="14.25" customHeight="1">
      <c r="A595" s="21"/>
      <c r="B595" s="22"/>
      <c r="C595" s="22"/>
      <c r="D595" s="21"/>
    </row>
    <row r="596" ht="14.25" customHeight="1">
      <c r="A596" s="21"/>
      <c r="B596" s="22"/>
      <c r="C596" s="22"/>
      <c r="D596" s="21"/>
    </row>
    <row r="597" ht="14.25" customHeight="1">
      <c r="A597" s="21"/>
      <c r="B597" s="22"/>
      <c r="C597" s="22"/>
      <c r="D597" s="21"/>
    </row>
    <row r="598" ht="14.25" customHeight="1">
      <c r="A598" s="21"/>
      <c r="B598" s="22"/>
      <c r="C598" s="22"/>
      <c r="D598" s="21"/>
    </row>
    <row r="599" ht="14.25" customHeight="1">
      <c r="A599" s="21"/>
      <c r="B599" s="22"/>
      <c r="C599" s="22"/>
      <c r="D599" s="21"/>
    </row>
    <row r="600" ht="14.25" customHeight="1">
      <c r="A600" s="21"/>
      <c r="B600" s="22"/>
      <c r="C600" s="22"/>
      <c r="D600" s="21"/>
    </row>
    <row r="601" ht="14.25" customHeight="1">
      <c r="A601" s="21"/>
      <c r="B601" s="22"/>
      <c r="C601" s="22"/>
      <c r="D601" s="21"/>
    </row>
    <row r="602" ht="14.25" customHeight="1">
      <c r="A602" s="21"/>
      <c r="B602" s="22"/>
      <c r="C602" s="22"/>
      <c r="D602" s="21"/>
    </row>
    <row r="603" ht="14.25" customHeight="1">
      <c r="A603" s="21"/>
      <c r="B603" s="22"/>
      <c r="C603" s="22"/>
      <c r="D603" s="21"/>
    </row>
    <row r="604" ht="14.25" customHeight="1">
      <c r="A604" s="21"/>
      <c r="B604" s="22"/>
      <c r="C604" s="22"/>
      <c r="D604" s="21"/>
    </row>
    <row r="605" ht="14.25" customHeight="1">
      <c r="A605" s="21"/>
      <c r="B605" s="22"/>
      <c r="C605" s="22"/>
      <c r="D605" s="21"/>
    </row>
    <row r="606" ht="14.25" customHeight="1">
      <c r="A606" s="21"/>
      <c r="B606" s="22"/>
      <c r="C606" s="22"/>
      <c r="D606" s="21"/>
    </row>
    <row r="607" ht="14.25" customHeight="1">
      <c r="A607" s="21"/>
      <c r="B607" s="22"/>
      <c r="C607" s="22"/>
      <c r="D607" s="21"/>
    </row>
    <row r="608" ht="14.25" customHeight="1">
      <c r="A608" s="21"/>
      <c r="B608" s="22"/>
      <c r="C608" s="22"/>
      <c r="D608" s="21"/>
    </row>
    <row r="609" ht="14.25" customHeight="1">
      <c r="A609" s="21"/>
      <c r="B609" s="22"/>
      <c r="C609" s="22"/>
      <c r="D609" s="21"/>
    </row>
    <row r="610" ht="14.25" customHeight="1">
      <c r="A610" s="21"/>
      <c r="B610" s="22"/>
      <c r="C610" s="22"/>
      <c r="D610" s="21"/>
    </row>
    <row r="611" ht="14.25" customHeight="1">
      <c r="A611" s="21"/>
      <c r="B611" s="22"/>
      <c r="C611" s="22"/>
      <c r="D611" s="21"/>
    </row>
    <row r="612" ht="14.25" customHeight="1">
      <c r="A612" s="21"/>
      <c r="B612" s="22"/>
      <c r="C612" s="22"/>
      <c r="D612" s="21"/>
    </row>
    <row r="613" ht="14.25" customHeight="1">
      <c r="A613" s="21"/>
      <c r="B613" s="22"/>
      <c r="C613" s="22"/>
      <c r="D613" s="21"/>
    </row>
    <row r="614" ht="14.25" customHeight="1">
      <c r="A614" s="21"/>
      <c r="B614" s="22"/>
      <c r="C614" s="22"/>
      <c r="D614" s="21"/>
    </row>
    <row r="615" ht="14.25" customHeight="1">
      <c r="A615" s="21"/>
      <c r="B615" s="22"/>
      <c r="C615" s="22"/>
      <c r="D615" s="21"/>
    </row>
    <row r="616" ht="14.25" customHeight="1">
      <c r="A616" s="21"/>
      <c r="B616" s="22"/>
      <c r="C616" s="22"/>
      <c r="D616" s="21"/>
    </row>
    <row r="617" ht="14.25" customHeight="1">
      <c r="A617" s="21"/>
      <c r="B617" s="22"/>
      <c r="C617" s="22"/>
      <c r="D617" s="21"/>
    </row>
    <row r="618" ht="14.25" customHeight="1">
      <c r="A618" s="21"/>
      <c r="B618" s="22"/>
      <c r="C618" s="22"/>
      <c r="D618" s="21"/>
    </row>
    <row r="619" ht="14.25" customHeight="1">
      <c r="A619" s="21"/>
      <c r="B619" s="22"/>
      <c r="C619" s="22"/>
      <c r="D619" s="21"/>
    </row>
    <row r="620" ht="14.25" customHeight="1">
      <c r="A620" s="21"/>
      <c r="B620" s="22"/>
      <c r="C620" s="22"/>
      <c r="D620" s="21"/>
    </row>
    <row r="621" ht="14.25" customHeight="1">
      <c r="A621" s="21"/>
      <c r="B621" s="22"/>
      <c r="C621" s="22"/>
      <c r="D621" s="21"/>
    </row>
    <row r="622" ht="14.25" customHeight="1">
      <c r="A622" s="21"/>
      <c r="B622" s="22"/>
      <c r="C622" s="22"/>
      <c r="D622" s="21"/>
    </row>
    <row r="623" ht="14.25" customHeight="1">
      <c r="A623" s="21"/>
      <c r="B623" s="22"/>
      <c r="C623" s="22"/>
      <c r="D623" s="21"/>
    </row>
    <row r="624" ht="14.25" customHeight="1">
      <c r="A624" s="21"/>
      <c r="B624" s="22"/>
      <c r="C624" s="22"/>
      <c r="D624" s="21"/>
    </row>
    <row r="625" ht="14.25" customHeight="1">
      <c r="A625" s="21"/>
      <c r="B625" s="22"/>
      <c r="C625" s="22"/>
      <c r="D625" s="21"/>
    </row>
    <row r="626" ht="14.25" customHeight="1">
      <c r="A626" s="21"/>
      <c r="B626" s="22"/>
      <c r="C626" s="22"/>
      <c r="D626" s="21"/>
    </row>
    <row r="627" ht="14.25" customHeight="1">
      <c r="A627" s="21"/>
      <c r="B627" s="22"/>
      <c r="C627" s="22"/>
      <c r="D627" s="21"/>
    </row>
    <row r="628" ht="14.25" customHeight="1">
      <c r="A628" s="21"/>
      <c r="B628" s="22"/>
      <c r="C628" s="22"/>
      <c r="D628" s="21"/>
    </row>
    <row r="629" ht="14.25" customHeight="1">
      <c r="A629" s="21"/>
      <c r="B629" s="22"/>
      <c r="C629" s="22"/>
      <c r="D629" s="21"/>
    </row>
    <row r="630" ht="14.25" customHeight="1">
      <c r="A630" s="21"/>
      <c r="B630" s="22"/>
      <c r="C630" s="22"/>
      <c r="D630" s="21"/>
    </row>
    <row r="631" ht="14.25" customHeight="1">
      <c r="A631" s="21"/>
      <c r="B631" s="22"/>
      <c r="C631" s="22"/>
      <c r="D631" s="21"/>
    </row>
    <row r="632" ht="14.25" customHeight="1">
      <c r="A632" s="21"/>
      <c r="B632" s="22"/>
      <c r="C632" s="22"/>
      <c r="D632" s="21"/>
    </row>
    <row r="633" ht="14.25" customHeight="1">
      <c r="A633" s="21"/>
      <c r="B633" s="22"/>
      <c r="C633" s="22"/>
      <c r="D633" s="21"/>
    </row>
    <row r="634" ht="14.25" customHeight="1">
      <c r="A634" s="21"/>
      <c r="B634" s="22"/>
      <c r="C634" s="22"/>
      <c r="D634" s="21"/>
    </row>
    <row r="635" ht="14.25" customHeight="1">
      <c r="A635" s="21"/>
      <c r="B635" s="22"/>
      <c r="C635" s="22"/>
      <c r="D635" s="21"/>
    </row>
    <row r="636" ht="14.25" customHeight="1">
      <c r="A636" s="21"/>
      <c r="B636" s="22"/>
      <c r="C636" s="22"/>
      <c r="D636" s="21"/>
    </row>
    <row r="637" ht="14.25" customHeight="1">
      <c r="A637" s="21"/>
      <c r="B637" s="22"/>
      <c r="C637" s="22"/>
      <c r="D637" s="21"/>
    </row>
    <row r="638" ht="14.25" customHeight="1">
      <c r="A638" s="21"/>
      <c r="B638" s="22"/>
      <c r="C638" s="22"/>
      <c r="D638" s="21"/>
    </row>
    <row r="639" ht="14.25" customHeight="1">
      <c r="A639" s="21"/>
      <c r="B639" s="22"/>
      <c r="C639" s="22"/>
      <c r="D639" s="21"/>
    </row>
    <row r="640" ht="14.25" customHeight="1">
      <c r="A640" s="21"/>
      <c r="B640" s="22"/>
      <c r="C640" s="22"/>
      <c r="D640" s="21"/>
    </row>
    <row r="641" ht="14.25" customHeight="1">
      <c r="A641" s="21"/>
      <c r="B641" s="22"/>
      <c r="C641" s="22"/>
      <c r="D641" s="21"/>
    </row>
    <row r="642" ht="14.25" customHeight="1">
      <c r="A642" s="21"/>
      <c r="B642" s="22"/>
      <c r="C642" s="22"/>
      <c r="D642" s="21"/>
    </row>
    <row r="643" ht="14.25" customHeight="1">
      <c r="A643" s="21"/>
      <c r="B643" s="22"/>
      <c r="C643" s="22"/>
      <c r="D643" s="21"/>
    </row>
    <row r="644" ht="14.25" customHeight="1">
      <c r="A644" s="21"/>
      <c r="B644" s="22"/>
      <c r="C644" s="22"/>
      <c r="D644" s="21"/>
    </row>
    <row r="645" ht="14.25" customHeight="1">
      <c r="A645" s="21"/>
      <c r="B645" s="22"/>
      <c r="C645" s="22"/>
      <c r="D645" s="21"/>
    </row>
    <row r="646" ht="14.25" customHeight="1">
      <c r="A646" s="21"/>
      <c r="B646" s="22"/>
      <c r="C646" s="22"/>
      <c r="D646" s="21"/>
    </row>
    <row r="647" ht="14.25" customHeight="1">
      <c r="A647" s="21"/>
      <c r="B647" s="22"/>
      <c r="C647" s="22"/>
      <c r="D647" s="21"/>
    </row>
    <row r="648" ht="14.25" customHeight="1">
      <c r="A648" s="21"/>
      <c r="B648" s="22"/>
      <c r="C648" s="22"/>
      <c r="D648" s="21"/>
    </row>
    <row r="649" ht="14.25" customHeight="1">
      <c r="A649" s="21"/>
      <c r="B649" s="22"/>
      <c r="C649" s="22"/>
      <c r="D649" s="21"/>
    </row>
    <row r="650" ht="14.25" customHeight="1">
      <c r="A650" s="21"/>
      <c r="B650" s="22"/>
      <c r="C650" s="22"/>
      <c r="D650" s="21"/>
    </row>
    <row r="651" ht="14.25" customHeight="1">
      <c r="A651" s="21"/>
      <c r="B651" s="22"/>
      <c r="C651" s="22"/>
      <c r="D651" s="21"/>
    </row>
    <row r="652" ht="14.25" customHeight="1">
      <c r="A652" s="21"/>
      <c r="B652" s="22"/>
      <c r="C652" s="22"/>
      <c r="D652" s="21"/>
    </row>
    <row r="653" ht="14.25" customHeight="1">
      <c r="A653" s="21"/>
      <c r="B653" s="22"/>
      <c r="C653" s="22"/>
      <c r="D653" s="21"/>
    </row>
    <row r="654" ht="14.25" customHeight="1">
      <c r="A654" s="21"/>
      <c r="B654" s="22"/>
      <c r="C654" s="22"/>
      <c r="D654" s="21"/>
    </row>
    <row r="655" ht="14.25" customHeight="1">
      <c r="A655" s="21"/>
      <c r="B655" s="22"/>
      <c r="C655" s="22"/>
      <c r="D655" s="21"/>
    </row>
    <row r="656" ht="14.25" customHeight="1">
      <c r="A656" s="21"/>
      <c r="B656" s="22"/>
      <c r="C656" s="22"/>
      <c r="D656" s="21"/>
    </row>
    <row r="657" ht="14.25" customHeight="1">
      <c r="A657" s="21"/>
      <c r="B657" s="22"/>
      <c r="C657" s="22"/>
      <c r="D657" s="21"/>
    </row>
    <row r="658" ht="14.25" customHeight="1">
      <c r="A658" s="21"/>
      <c r="B658" s="22"/>
      <c r="C658" s="22"/>
      <c r="D658" s="21"/>
    </row>
    <row r="659" ht="14.25" customHeight="1">
      <c r="A659" s="21"/>
      <c r="B659" s="22"/>
      <c r="C659" s="22"/>
      <c r="D659" s="21"/>
    </row>
    <row r="660" ht="14.25" customHeight="1">
      <c r="A660" s="21"/>
      <c r="B660" s="22"/>
      <c r="C660" s="22"/>
      <c r="D660" s="21"/>
    </row>
    <row r="661" ht="14.25" customHeight="1">
      <c r="A661" s="21"/>
      <c r="B661" s="22"/>
      <c r="C661" s="22"/>
      <c r="D661" s="21"/>
    </row>
    <row r="662" ht="14.25" customHeight="1">
      <c r="A662" s="21"/>
      <c r="B662" s="22"/>
      <c r="C662" s="22"/>
      <c r="D662" s="21"/>
    </row>
    <row r="663" ht="14.25" customHeight="1">
      <c r="A663" s="21"/>
      <c r="B663" s="22"/>
      <c r="C663" s="22"/>
      <c r="D663" s="21"/>
    </row>
    <row r="664" ht="14.25" customHeight="1">
      <c r="A664" s="21"/>
      <c r="B664" s="22"/>
      <c r="C664" s="22"/>
      <c r="D664" s="21"/>
    </row>
    <row r="665" ht="14.25" customHeight="1">
      <c r="A665" s="21"/>
      <c r="B665" s="22"/>
      <c r="C665" s="22"/>
      <c r="D665" s="21"/>
    </row>
    <row r="666" ht="14.25" customHeight="1">
      <c r="A666" s="21"/>
      <c r="B666" s="22"/>
      <c r="C666" s="22"/>
      <c r="D666" s="21"/>
    </row>
    <row r="667" ht="14.25" customHeight="1">
      <c r="A667" s="21"/>
      <c r="B667" s="22"/>
      <c r="C667" s="22"/>
      <c r="D667" s="21"/>
    </row>
    <row r="668" ht="14.25" customHeight="1">
      <c r="A668" s="21"/>
      <c r="B668" s="22"/>
      <c r="C668" s="22"/>
      <c r="D668" s="21"/>
    </row>
    <row r="669" ht="14.25" customHeight="1">
      <c r="A669" s="21"/>
      <c r="B669" s="22"/>
      <c r="C669" s="22"/>
      <c r="D669" s="21"/>
    </row>
    <row r="670" ht="14.25" customHeight="1">
      <c r="A670" s="21"/>
      <c r="B670" s="22"/>
      <c r="C670" s="22"/>
      <c r="D670" s="21"/>
    </row>
    <row r="671" ht="14.25" customHeight="1">
      <c r="A671" s="21"/>
      <c r="B671" s="22"/>
      <c r="C671" s="22"/>
      <c r="D671" s="21"/>
    </row>
    <row r="672" ht="14.25" customHeight="1">
      <c r="A672" s="21"/>
      <c r="B672" s="22"/>
      <c r="C672" s="22"/>
      <c r="D672" s="21"/>
    </row>
    <row r="673" ht="14.25" customHeight="1">
      <c r="A673" s="21"/>
      <c r="B673" s="22"/>
      <c r="C673" s="22"/>
      <c r="D673" s="21"/>
    </row>
    <row r="674" ht="14.25" customHeight="1">
      <c r="A674" s="21"/>
      <c r="B674" s="22"/>
      <c r="C674" s="22"/>
      <c r="D674" s="21"/>
    </row>
    <row r="675" ht="14.25" customHeight="1">
      <c r="A675" s="21"/>
      <c r="B675" s="22"/>
      <c r="C675" s="22"/>
      <c r="D675" s="21"/>
    </row>
    <row r="676" ht="14.25" customHeight="1">
      <c r="A676" s="21"/>
      <c r="B676" s="22"/>
      <c r="C676" s="22"/>
      <c r="D676" s="21"/>
    </row>
    <row r="677" ht="14.25" customHeight="1">
      <c r="A677" s="21"/>
      <c r="B677" s="22"/>
      <c r="C677" s="22"/>
      <c r="D677" s="21"/>
    </row>
    <row r="678" ht="14.25" customHeight="1">
      <c r="A678" s="21"/>
      <c r="B678" s="22"/>
      <c r="C678" s="22"/>
      <c r="D678" s="21"/>
    </row>
    <row r="679" ht="14.25" customHeight="1">
      <c r="A679" s="21"/>
      <c r="B679" s="22"/>
      <c r="C679" s="22"/>
      <c r="D679" s="21"/>
    </row>
    <row r="680" ht="14.25" customHeight="1">
      <c r="A680" s="21"/>
      <c r="B680" s="22"/>
      <c r="C680" s="22"/>
      <c r="D680" s="21"/>
    </row>
    <row r="681" ht="14.25" customHeight="1">
      <c r="A681" s="21"/>
      <c r="B681" s="22"/>
      <c r="C681" s="22"/>
      <c r="D681" s="21"/>
    </row>
    <row r="682" ht="14.25" customHeight="1">
      <c r="A682" s="21"/>
      <c r="B682" s="22"/>
      <c r="C682" s="22"/>
      <c r="D682" s="21"/>
    </row>
    <row r="683" ht="14.25" customHeight="1">
      <c r="A683" s="21"/>
      <c r="B683" s="22"/>
      <c r="C683" s="22"/>
      <c r="D683" s="21"/>
    </row>
    <row r="684" ht="14.25" customHeight="1">
      <c r="A684" s="21"/>
      <c r="B684" s="22"/>
      <c r="C684" s="22"/>
      <c r="D684" s="21"/>
    </row>
    <row r="685" ht="14.25" customHeight="1">
      <c r="A685" s="21"/>
      <c r="B685" s="22"/>
      <c r="C685" s="22"/>
      <c r="D685" s="21"/>
    </row>
    <row r="686" ht="14.25" customHeight="1">
      <c r="A686" s="21"/>
      <c r="B686" s="22"/>
      <c r="C686" s="22"/>
      <c r="D686" s="21"/>
    </row>
    <row r="687" ht="14.25" customHeight="1">
      <c r="A687" s="21"/>
      <c r="B687" s="22"/>
      <c r="C687" s="22"/>
      <c r="D687" s="21"/>
    </row>
    <row r="688" ht="14.25" customHeight="1">
      <c r="A688" s="21"/>
      <c r="B688" s="22"/>
      <c r="C688" s="22"/>
      <c r="D688" s="21"/>
    </row>
    <row r="689" ht="14.25" customHeight="1">
      <c r="A689" s="21"/>
      <c r="B689" s="22"/>
      <c r="C689" s="22"/>
      <c r="D689" s="21"/>
    </row>
    <row r="690" ht="14.25" customHeight="1">
      <c r="A690" s="21"/>
      <c r="B690" s="22"/>
      <c r="C690" s="22"/>
      <c r="D690" s="21"/>
    </row>
    <row r="691" ht="14.25" customHeight="1">
      <c r="A691" s="21"/>
      <c r="B691" s="22"/>
      <c r="C691" s="22"/>
      <c r="D691" s="21"/>
    </row>
    <row r="692" ht="14.25" customHeight="1">
      <c r="A692" s="21"/>
      <c r="B692" s="22"/>
      <c r="C692" s="22"/>
      <c r="D692" s="21"/>
    </row>
    <row r="693" ht="14.25" customHeight="1">
      <c r="A693" s="21"/>
      <c r="B693" s="22"/>
      <c r="C693" s="22"/>
      <c r="D693" s="21"/>
    </row>
    <row r="694" ht="14.25" customHeight="1">
      <c r="A694" s="21"/>
      <c r="B694" s="22"/>
      <c r="C694" s="22"/>
      <c r="D694" s="21"/>
    </row>
    <row r="695" ht="14.25" customHeight="1">
      <c r="A695" s="21"/>
      <c r="B695" s="22"/>
      <c r="C695" s="22"/>
      <c r="D695" s="21"/>
    </row>
    <row r="696" ht="14.25" customHeight="1">
      <c r="A696" s="21"/>
      <c r="B696" s="22"/>
      <c r="C696" s="22"/>
      <c r="D696" s="21"/>
    </row>
    <row r="697" ht="14.25" customHeight="1">
      <c r="A697" s="21"/>
      <c r="B697" s="22"/>
      <c r="C697" s="22"/>
      <c r="D697" s="21"/>
    </row>
    <row r="698" ht="14.25" customHeight="1">
      <c r="A698" s="21"/>
      <c r="B698" s="22"/>
      <c r="C698" s="22"/>
      <c r="D698" s="21"/>
    </row>
    <row r="699" ht="14.25" customHeight="1">
      <c r="A699" s="21"/>
      <c r="B699" s="22"/>
      <c r="C699" s="22"/>
      <c r="D699" s="21"/>
    </row>
    <row r="700" ht="14.25" customHeight="1">
      <c r="A700" s="21"/>
      <c r="B700" s="22"/>
      <c r="C700" s="22"/>
      <c r="D700" s="21"/>
    </row>
    <row r="701" ht="14.25" customHeight="1">
      <c r="A701" s="21"/>
      <c r="B701" s="22"/>
      <c r="C701" s="22"/>
      <c r="D701" s="21"/>
    </row>
    <row r="702" ht="14.25" customHeight="1">
      <c r="A702" s="21"/>
      <c r="B702" s="22"/>
      <c r="C702" s="22"/>
      <c r="D702" s="21"/>
    </row>
    <row r="703" ht="14.25" customHeight="1">
      <c r="A703" s="21"/>
      <c r="B703" s="22"/>
      <c r="C703" s="22"/>
      <c r="D703" s="21"/>
    </row>
    <row r="704" ht="14.25" customHeight="1">
      <c r="A704" s="21"/>
      <c r="B704" s="22"/>
      <c r="C704" s="22"/>
      <c r="D704" s="21"/>
    </row>
    <row r="705" ht="14.25" customHeight="1">
      <c r="A705" s="21"/>
      <c r="B705" s="22"/>
      <c r="C705" s="22"/>
      <c r="D705" s="21"/>
    </row>
    <row r="706" ht="14.25" customHeight="1">
      <c r="A706" s="21"/>
      <c r="B706" s="22"/>
      <c r="C706" s="22"/>
      <c r="D706" s="21"/>
    </row>
    <row r="707" ht="14.25" customHeight="1">
      <c r="A707" s="21"/>
      <c r="B707" s="22"/>
      <c r="C707" s="22"/>
      <c r="D707" s="21"/>
    </row>
    <row r="708" ht="14.25" customHeight="1">
      <c r="A708" s="21"/>
      <c r="B708" s="22"/>
      <c r="C708" s="22"/>
      <c r="D708" s="21"/>
    </row>
    <row r="709" ht="14.25" customHeight="1">
      <c r="A709" s="21"/>
      <c r="B709" s="22"/>
      <c r="C709" s="22"/>
      <c r="D709" s="21"/>
    </row>
    <row r="710" ht="14.25" customHeight="1">
      <c r="A710" s="21"/>
      <c r="B710" s="22"/>
      <c r="C710" s="22"/>
      <c r="D710" s="21"/>
    </row>
    <row r="711" ht="14.25" customHeight="1">
      <c r="A711" s="21"/>
      <c r="B711" s="22"/>
      <c r="C711" s="22"/>
      <c r="D711" s="21"/>
    </row>
    <row r="712" ht="14.25" customHeight="1">
      <c r="A712" s="21"/>
      <c r="B712" s="22"/>
      <c r="C712" s="22"/>
      <c r="D712" s="21"/>
    </row>
    <row r="713" ht="14.25" customHeight="1">
      <c r="A713" s="21"/>
      <c r="B713" s="22"/>
      <c r="C713" s="22"/>
      <c r="D713" s="21"/>
    </row>
    <row r="714" ht="14.25" customHeight="1">
      <c r="A714" s="21"/>
      <c r="B714" s="22"/>
      <c r="C714" s="22"/>
      <c r="D714" s="21"/>
    </row>
    <row r="715" ht="14.25" customHeight="1">
      <c r="A715" s="21"/>
      <c r="B715" s="22"/>
      <c r="C715" s="22"/>
      <c r="D715" s="21"/>
    </row>
    <row r="716" ht="14.25" customHeight="1">
      <c r="A716" s="21"/>
      <c r="B716" s="22"/>
      <c r="C716" s="22"/>
      <c r="D716" s="21"/>
    </row>
    <row r="717" ht="14.25" customHeight="1">
      <c r="A717" s="21"/>
      <c r="B717" s="22"/>
      <c r="C717" s="22"/>
      <c r="D717" s="21"/>
    </row>
    <row r="718" ht="14.25" customHeight="1">
      <c r="A718" s="21"/>
      <c r="B718" s="22"/>
      <c r="C718" s="22"/>
      <c r="D718" s="21"/>
    </row>
    <row r="719" ht="14.25" customHeight="1">
      <c r="A719" s="21"/>
      <c r="B719" s="22"/>
      <c r="C719" s="22"/>
      <c r="D719" s="21"/>
    </row>
    <row r="720" ht="14.25" customHeight="1">
      <c r="A720" s="21"/>
      <c r="B720" s="22"/>
      <c r="C720" s="22"/>
      <c r="D720" s="21"/>
    </row>
    <row r="721" ht="14.25" customHeight="1">
      <c r="A721" s="21"/>
      <c r="B721" s="22"/>
      <c r="C721" s="22"/>
      <c r="D721" s="21"/>
    </row>
    <row r="722" ht="14.25" customHeight="1">
      <c r="A722" s="21"/>
      <c r="B722" s="22"/>
      <c r="C722" s="22"/>
      <c r="D722" s="21"/>
    </row>
    <row r="723" ht="14.25" customHeight="1">
      <c r="A723" s="21"/>
      <c r="B723" s="22"/>
      <c r="C723" s="22"/>
      <c r="D723" s="21"/>
    </row>
    <row r="724" ht="14.25" customHeight="1">
      <c r="A724" s="21"/>
      <c r="B724" s="22"/>
      <c r="C724" s="22"/>
      <c r="D724" s="21"/>
    </row>
    <row r="725" ht="14.25" customHeight="1">
      <c r="A725" s="21"/>
      <c r="B725" s="22"/>
      <c r="C725" s="22"/>
      <c r="D725" s="21"/>
    </row>
    <row r="726" ht="14.25" customHeight="1">
      <c r="A726" s="21"/>
      <c r="B726" s="22"/>
      <c r="C726" s="22"/>
      <c r="D726" s="21"/>
    </row>
    <row r="727" ht="14.25" customHeight="1">
      <c r="A727" s="21"/>
      <c r="B727" s="22"/>
      <c r="C727" s="22"/>
      <c r="D727" s="21"/>
    </row>
    <row r="728" ht="14.25" customHeight="1">
      <c r="A728" s="21"/>
      <c r="B728" s="22"/>
      <c r="C728" s="22"/>
      <c r="D728" s="21"/>
    </row>
    <row r="729" ht="14.25" customHeight="1">
      <c r="A729" s="21"/>
      <c r="B729" s="22"/>
      <c r="C729" s="22"/>
      <c r="D729" s="21"/>
    </row>
    <row r="730" ht="14.25" customHeight="1">
      <c r="A730" s="21"/>
      <c r="B730" s="22"/>
      <c r="C730" s="22"/>
      <c r="D730" s="21"/>
    </row>
    <row r="731" ht="14.25" customHeight="1">
      <c r="A731" s="21"/>
      <c r="B731" s="22"/>
      <c r="C731" s="22"/>
      <c r="D731" s="21"/>
    </row>
    <row r="732" ht="14.25" customHeight="1">
      <c r="A732" s="21"/>
      <c r="B732" s="22"/>
      <c r="C732" s="22"/>
      <c r="D732" s="21"/>
    </row>
    <row r="733" ht="14.25" customHeight="1">
      <c r="A733" s="21"/>
      <c r="B733" s="22"/>
      <c r="C733" s="22"/>
      <c r="D733" s="21"/>
    </row>
    <row r="734" ht="14.25" customHeight="1">
      <c r="A734" s="21"/>
      <c r="B734" s="22"/>
      <c r="C734" s="22"/>
      <c r="D734" s="21"/>
    </row>
    <row r="735" ht="14.25" customHeight="1">
      <c r="A735" s="21"/>
      <c r="B735" s="22"/>
      <c r="C735" s="22"/>
      <c r="D735" s="21"/>
    </row>
    <row r="736" ht="14.25" customHeight="1">
      <c r="A736" s="21"/>
      <c r="B736" s="22"/>
      <c r="C736" s="22"/>
      <c r="D736" s="21"/>
    </row>
    <row r="737" ht="14.25" customHeight="1">
      <c r="A737" s="21"/>
      <c r="B737" s="22"/>
      <c r="C737" s="22"/>
      <c r="D737" s="21"/>
    </row>
    <row r="738" ht="14.25" customHeight="1">
      <c r="A738" s="21"/>
      <c r="B738" s="22"/>
      <c r="C738" s="22"/>
      <c r="D738" s="21"/>
    </row>
    <row r="739" ht="14.25" customHeight="1">
      <c r="A739" s="21"/>
      <c r="B739" s="22"/>
      <c r="C739" s="22"/>
      <c r="D739" s="21"/>
    </row>
    <row r="740" ht="14.25" customHeight="1">
      <c r="A740" s="21"/>
      <c r="B740" s="22"/>
      <c r="C740" s="22"/>
      <c r="D740" s="21"/>
    </row>
    <row r="741" ht="14.25" customHeight="1">
      <c r="A741" s="21"/>
      <c r="B741" s="22"/>
      <c r="C741" s="22"/>
      <c r="D741" s="21"/>
    </row>
    <row r="742" ht="14.25" customHeight="1">
      <c r="A742" s="21"/>
      <c r="B742" s="22"/>
      <c r="C742" s="22"/>
      <c r="D742" s="21"/>
    </row>
    <row r="743" ht="14.25" customHeight="1">
      <c r="A743" s="21"/>
      <c r="B743" s="22"/>
      <c r="C743" s="22"/>
      <c r="D743" s="21"/>
    </row>
    <row r="744" ht="14.25" customHeight="1">
      <c r="A744" s="21"/>
      <c r="B744" s="22"/>
      <c r="C744" s="22"/>
      <c r="D744" s="21"/>
    </row>
    <row r="745" ht="14.25" customHeight="1">
      <c r="A745" s="21"/>
      <c r="B745" s="22"/>
      <c r="C745" s="22"/>
      <c r="D745" s="21"/>
    </row>
    <row r="746" ht="14.25" customHeight="1">
      <c r="A746" s="21"/>
      <c r="B746" s="22"/>
      <c r="C746" s="22"/>
      <c r="D746" s="21"/>
    </row>
    <row r="747" ht="14.25" customHeight="1">
      <c r="A747" s="21"/>
      <c r="B747" s="22"/>
      <c r="C747" s="22"/>
      <c r="D747" s="21"/>
    </row>
    <row r="748" ht="14.25" customHeight="1">
      <c r="A748" s="21"/>
      <c r="B748" s="22"/>
      <c r="C748" s="22"/>
      <c r="D748" s="21"/>
    </row>
    <row r="749" ht="14.25" customHeight="1">
      <c r="A749" s="21"/>
      <c r="B749" s="22"/>
      <c r="C749" s="22"/>
      <c r="D749" s="21"/>
    </row>
    <row r="750" ht="14.25" customHeight="1">
      <c r="A750" s="21"/>
      <c r="B750" s="22"/>
      <c r="C750" s="22"/>
      <c r="D750" s="21"/>
    </row>
    <row r="751" ht="14.25" customHeight="1">
      <c r="A751" s="21"/>
      <c r="B751" s="22"/>
      <c r="C751" s="22"/>
      <c r="D751" s="21"/>
    </row>
    <row r="752" ht="14.25" customHeight="1">
      <c r="A752" s="21"/>
      <c r="B752" s="22"/>
      <c r="C752" s="22"/>
      <c r="D752" s="21"/>
    </row>
    <row r="753" ht="14.25" customHeight="1">
      <c r="A753" s="21"/>
      <c r="B753" s="22"/>
      <c r="C753" s="22"/>
      <c r="D753" s="21"/>
    </row>
    <row r="754" ht="14.25" customHeight="1">
      <c r="A754" s="21"/>
      <c r="B754" s="22"/>
      <c r="C754" s="22"/>
      <c r="D754" s="21"/>
    </row>
    <row r="755" ht="14.25" customHeight="1">
      <c r="A755" s="21"/>
      <c r="B755" s="22"/>
      <c r="C755" s="22"/>
      <c r="D755" s="21"/>
    </row>
    <row r="756" ht="14.25" customHeight="1">
      <c r="A756" s="21"/>
      <c r="B756" s="22"/>
      <c r="C756" s="22"/>
      <c r="D756" s="21"/>
    </row>
    <row r="757" ht="14.25" customHeight="1">
      <c r="A757" s="21"/>
      <c r="B757" s="22"/>
      <c r="C757" s="22"/>
      <c r="D757" s="21"/>
    </row>
    <row r="758" ht="14.25" customHeight="1">
      <c r="A758" s="21"/>
      <c r="B758" s="22"/>
      <c r="C758" s="22"/>
      <c r="D758" s="21"/>
    </row>
    <row r="759" ht="14.25" customHeight="1">
      <c r="A759" s="21"/>
      <c r="B759" s="22"/>
      <c r="C759" s="22"/>
      <c r="D759" s="21"/>
    </row>
    <row r="760" ht="14.25" customHeight="1">
      <c r="A760" s="21"/>
      <c r="B760" s="22"/>
      <c r="C760" s="22"/>
      <c r="D760" s="21"/>
    </row>
    <row r="761" ht="14.25" customHeight="1">
      <c r="A761" s="21"/>
      <c r="B761" s="22"/>
      <c r="C761" s="22"/>
      <c r="D761" s="21"/>
    </row>
    <row r="762" ht="14.25" customHeight="1">
      <c r="A762" s="21"/>
      <c r="B762" s="22"/>
      <c r="C762" s="22"/>
      <c r="D762" s="21"/>
    </row>
    <row r="763" ht="14.25" customHeight="1">
      <c r="A763" s="21"/>
      <c r="B763" s="22"/>
      <c r="C763" s="22"/>
      <c r="D763" s="21"/>
    </row>
    <row r="764" ht="14.25" customHeight="1">
      <c r="A764" s="21"/>
      <c r="B764" s="22"/>
      <c r="C764" s="22"/>
      <c r="D764" s="21"/>
    </row>
    <row r="765" ht="14.25" customHeight="1">
      <c r="A765" s="21"/>
      <c r="B765" s="22"/>
      <c r="C765" s="22"/>
      <c r="D765" s="21"/>
    </row>
    <row r="766" ht="14.25" customHeight="1">
      <c r="A766" s="21"/>
      <c r="B766" s="22"/>
      <c r="C766" s="22"/>
      <c r="D766" s="21"/>
    </row>
    <row r="767" ht="14.25" customHeight="1">
      <c r="A767" s="21"/>
      <c r="B767" s="22"/>
      <c r="C767" s="22"/>
      <c r="D767" s="21"/>
    </row>
    <row r="768" ht="14.25" customHeight="1">
      <c r="A768" s="21"/>
      <c r="B768" s="22"/>
      <c r="C768" s="22"/>
      <c r="D768" s="21"/>
    </row>
    <row r="769" ht="14.25" customHeight="1">
      <c r="A769" s="21"/>
      <c r="B769" s="22"/>
      <c r="C769" s="22"/>
      <c r="D769" s="21"/>
    </row>
    <row r="770" ht="14.25" customHeight="1">
      <c r="A770" s="21"/>
      <c r="B770" s="22"/>
      <c r="C770" s="22"/>
      <c r="D770" s="21"/>
    </row>
    <row r="771" ht="14.25" customHeight="1">
      <c r="A771" s="21"/>
      <c r="B771" s="22"/>
      <c r="C771" s="22"/>
      <c r="D771" s="21"/>
    </row>
    <row r="772" ht="14.25" customHeight="1">
      <c r="A772" s="21"/>
      <c r="B772" s="22"/>
      <c r="C772" s="22"/>
      <c r="D772" s="21"/>
    </row>
    <row r="773" ht="14.25" customHeight="1">
      <c r="A773" s="21"/>
      <c r="B773" s="22"/>
      <c r="C773" s="22"/>
      <c r="D773" s="21"/>
    </row>
    <row r="774" ht="14.25" customHeight="1">
      <c r="A774" s="21"/>
      <c r="B774" s="22"/>
      <c r="C774" s="22"/>
      <c r="D774" s="21"/>
    </row>
    <row r="775" ht="14.25" customHeight="1">
      <c r="A775" s="21"/>
      <c r="B775" s="22"/>
      <c r="C775" s="22"/>
      <c r="D775" s="21"/>
    </row>
    <row r="776" ht="14.25" customHeight="1">
      <c r="A776" s="21"/>
      <c r="B776" s="22"/>
      <c r="C776" s="22"/>
      <c r="D776" s="21"/>
    </row>
    <row r="777" ht="14.25" customHeight="1">
      <c r="A777" s="21"/>
      <c r="B777" s="22"/>
      <c r="C777" s="22"/>
      <c r="D777" s="21"/>
    </row>
    <row r="778" ht="14.25" customHeight="1">
      <c r="A778" s="21"/>
      <c r="B778" s="22"/>
      <c r="C778" s="22"/>
      <c r="D778" s="21"/>
    </row>
    <row r="779" ht="14.25" customHeight="1">
      <c r="A779" s="21"/>
      <c r="B779" s="22"/>
      <c r="C779" s="22"/>
      <c r="D779" s="21"/>
    </row>
    <row r="780" ht="14.25" customHeight="1">
      <c r="A780" s="21"/>
      <c r="B780" s="22"/>
      <c r="C780" s="22"/>
      <c r="D780" s="21"/>
    </row>
    <row r="781" ht="14.25" customHeight="1">
      <c r="A781" s="21"/>
      <c r="B781" s="22"/>
      <c r="C781" s="22"/>
      <c r="D781" s="21"/>
    </row>
    <row r="782" ht="14.25" customHeight="1">
      <c r="A782" s="21"/>
      <c r="B782" s="22"/>
      <c r="C782" s="22"/>
      <c r="D782" s="21"/>
    </row>
    <row r="783" ht="14.25" customHeight="1">
      <c r="A783" s="21"/>
      <c r="B783" s="22"/>
      <c r="C783" s="22"/>
      <c r="D783" s="21"/>
    </row>
    <row r="784" ht="14.25" customHeight="1">
      <c r="A784" s="21"/>
      <c r="B784" s="22"/>
      <c r="C784" s="22"/>
      <c r="D784" s="21"/>
    </row>
    <row r="785" ht="14.25" customHeight="1">
      <c r="A785" s="21"/>
      <c r="B785" s="22"/>
      <c r="C785" s="22"/>
      <c r="D785" s="21"/>
    </row>
    <row r="786" ht="14.25" customHeight="1">
      <c r="A786" s="21"/>
      <c r="B786" s="22"/>
      <c r="C786" s="22"/>
      <c r="D786" s="21"/>
    </row>
    <row r="787" ht="14.25" customHeight="1">
      <c r="A787" s="21"/>
      <c r="B787" s="22"/>
      <c r="C787" s="22"/>
      <c r="D787" s="21"/>
    </row>
    <row r="788" ht="14.25" customHeight="1">
      <c r="A788" s="21"/>
      <c r="B788" s="22"/>
      <c r="C788" s="22"/>
      <c r="D788" s="21"/>
    </row>
    <row r="789" ht="14.25" customHeight="1">
      <c r="A789" s="21"/>
      <c r="B789" s="22"/>
      <c r="C789" s="22"/>
      <c r="D789" s="21"/>
    </row>
    <row r="790" ht="14.25" customHeight="1">
      <c r="A790" s="21"/>
      <c r="B790" s="22"/>
      <c r="C790" s="22"/>
      <c r="D790" s="21"/>
    </row>
    <row r="791" ht="14.25" customHeight="1">
      <c r="A791" s="21"/>
      <c r="B791" s="22"/>
      <c r="C791" s="22"/>
      <c r="D791" s="21"/>
    </row>
    <row r="792" ht="14.25" customHeight="1">
      <c r="A792" s="21"/>
      <c r="B792" s="22"/>
      <c r="C792" s="22"/>
      <c r="D792" s="21"/>
    </row>
    <row r="793" ht="14.25" customHeight="1">
      <c r="A793" s="21"/>
      <c r="B793" s="22"/>
      <c r="C793" s="22"/>
      <c r="D793" s="21"/>
    </row>
    <row r="794" ht="14.25" customHeight="1">
      <c r="A794" s="21"/>
      <c r="B794" s="22"/>
      <c r="C794" s="22"/>
      <c r="D794" s="21"/>
    </row>
    <row r="795" ht="14.25" customHeight="1">
      <c r="A795" s="21"/>
      <c r="B795" s="22"/>
      <c r="C795" s="22"/>
      <c r="D795" s="21"/>
    </row>
    <row r="796" ht="14.25" customHeight="1">
      <c r="A796" s="21"/>
      <c r="B796" s="22"/>
      <c r="C796" s="22"/>
      <c r="D796" s="21"/>
    </row>
    <row r="797" ht="14.25" customHeight="1">
      <c r="A797" s="21"/>
      <c r="B797" s="22"/>
      <c r="C797" s="22"/>
      <c r="D797" s="21"/>
    </row>
    <row r="798" ht="14.25" customHeight="1">
      <c r="A798" s="21"/>
      <c r="B798" s="22"/>
      <c r="C798" s="22"/>
      <c r="D798" s="21"/>
    </row>
    <row r="799" ht="14.25" customHeight="1">
      <c r="A799" s="21"/>
      <c r="B799" s="22"/>
      <c r="C799" s="22"/>
      <c r="D799" s="21"/>
    </row>
    <row r="800" ht="14.25" customHeight="1">
      <c r="A800" s="21"/>
      <c r="B800" s="22"/>
      <c r="C800" s="22"/>
      <c r="D800" s="21"/>
    </row>
    <row r="801" ht="14.25" customHeight="1">
      <c r="A801" s="21"/>
      <c r="B801" s="22"/>
      <c r="C801" s="22"/>
      <c r="D801" s="21"/>
    </row>
    <row r="802" ht="14.25" customHeight="1">
      <c r="A802" s="21"/>
      <c r="B802" s="22"/>
      <c r="C802" s="22"/>
      <c r="D802" s="21"/>
    </row>
    <row r="803" ht="14.25" customHeight="1">
      <c r="A803" s="21"/>
      <c r="B803" s="22"/>
      <c r="C803" s="22"/>
      <c r="D803" s="21"/>
    </row>
    <row r="804" ht="14.25" customHeight="1">
      <c r="A804" s="21"/>
      <c r="B804" s="22"/>
      <c r="C804" s="22"/>
      <c r="D804" s="21"/>
    </row>
    <row r="805" ht="14.25" customHeight="1">
      <c r="A805" s="21"/>
      <c r="B805" s="22"/>
      <c r="C805" s="22"/>
      <c r="D805" s="21"/>
    </row>
    <row r="806" ht="14.25" customHeight="1">
      <c r="A806" s="21"/>
      <c r="B806" s="22"/>
      <c r="C806" s="22"/>
      <c r="D806" s="21"/>
    </row>
    <row r="807" ht="14.25" customHeight="1">
      <c r="A807" s="21"/>
      <c r="B807" s="22"/>
      <c r="C807" s="22"/>
      <c r="D807" s="21"/>
    </row>
    <row r="808" ht="14.25" customHeight="1">
      <c r="A808" s="21"/>
      <c r="B808" s="22"/>
      <c r="C808" s="22"/>
      <c r="D808" s="21"/>
    </row>
    <row r="809" ht="14.25" customHeight="1">
      <c r="A809" s="21"/>
      <c r="B809" s="22"/>
      <c r="C809" s="22"/>
      <c r="D809" s="21"/>
    </row>
    <row r="810" ht="14.25" customHeight="1">
      <c r="A810" s="21"/>
      <c r="B810" s="22"/>
      <c r="C810" s="22"/>
      <c r="D810" s="21"/>
    </row>
    <row r="811" ht="14.25" customHeight="1">
      <c r="A811" s="21"/>
      <c r="B811" s="22"/>
      <c r="C811" s="22"/>
      <c r="D811" s="21"/>
    </row>
    <row r="812" ht="14.25" customHeight="1">
      <c r="A812" s="21"/>
      <c r="B812" s="22"/>
      <c r="C812" s="22"/>
      <c r="D812" s="21"/>
    </row>
    <row r="813" ht="14.25" customHeight="1">
      <c r="A813" s="21"/>
      <c r="B813" s="22"/>
      <c r="C813" s="22"/>
      <c r="D813" s="21"/>
    </row>
    <row r="814" ht="14.25" customHeight="1">
      <c r="A814" s="21"/>
      <c r="B814" s="22"/>
      <c r="C814" s="22"/>
      <c r="D814" s="21"/>
    </row>
    <row r="815" ht="14.25" customHeight="1">
      <c r="A815" s="21"/>
      <c r="B815" s="22"/>
      <c r="C815" s="22"/>
      <c r="D815" s="21"/>
    </row>
    <row r="816" ht="14.25" customHeight="1">
      <c r="A816" s="21"/>
      <c r="B816" s="22"/>
      <c r="C816" s="22"/>
      <c r="D816" s="21"/>
    </row>
    <row r="817" ht="14.25" customHeight="1">
      <c r="A817" s="21"/>
      <c r="B817" s="22"/>
      <c r="C817" s="22"/>
      <c r="D817" s="21"/>
    </row>
    <row r="818" ht="14.25" customHeight="1">
      <c r="A818" s="21"/>
      <c r="B818" s="22"/>
      <c r="C818" s="22"/>
      <c r="D818" s="21"/>
    </row>
    <row r="819" ht="14.25" customHeight="1">
      <c r="A819" s="21"/>
      <c r="B819" s="22"/>
      <c r="C819" s="22"/>
      <c r="D819" s="21"/>
    </row>
    <row r="820" ht="14.25" customHeight="1">
      <c r="A820" s="21"/>
      <c r="B820" s="22"/>
      <c r="C820" s="22"/>
      <c r="D820" s="21"/>
    </row>
    <row r="821" ht="14.25" customHeight="1">
      <c r="A821" s="21"/>
      <c r="B821" s="22"/>
      <c r="C821" s="22"/>
      <c r="D821" s="21"/>
    </row>
    <row r="822" ht="14.25" customHeight="1">
      <c r="A822" s="21"/>
      <c r="B822" s="22"/>
      <c r="C822" s="22"/>
      <c r="D822" s="21"/>
    </row>
    <row r="823" ht="14.25" customHeight="1">
      <c r="A823" s="21"/>
      <c r="B823" s="22"/>
      <c r="C823" s="22"/>
      <c r="D823" s="21"/>
    </row>
    <row r="824" ht="14.25" customHeight="1">
      <c r="A824" s="21"/>
      <c r="B824" s="22"/>
      <c r="C824" s="22"/>
      <c r="D824" s="21"/>
    </row>
    <row r="825" ht="14.25" customHeight="1">
      <c r="A825" s="21"/>
      <c r="B825" s="22"/>
      <c r="C825" s="22"/>
      <c r="D825" s="21"/>
    </row>
    <row r="826" ht="14.25" customHeight="1">
      <c r="A826" s="21"/>
      <c r="B826" s="22"/>
      <c r="C826" s="22"/>
      <c r="D826" s="21"/>
    </row>
    <row r="827" ht="14.25" customHeight="1">
      <c r="A827" s="21"/>
      <c r="B827" s="22"/>
      <c r="C827" s="22"/>
      <c r="D827" s="21"/>
    </row>
    <row r="828" ht="14.25" customHeight="1">
      <c r="A828" s="21"/>
      <c r="B828" s="22"/>
      <c r="C828" s="22"/>
      <c r="D828" s="21"/>
    </row>
    <row r="829" ht="14.25" customHeight="1">
      <c r="A829" s="21"/>
      <c r="B829" s="22"/>
      <c r="C829" s="22"/>
      <c r="D829" s="21"/>
    </row>
    <row r="830" ht="14.25" customHeight="1">
      <c r="A830" s="21"/>
      <c r="B830" s="22"/>
      <c r="C830" s="22"/>
      <c r="D830" s="21"/>
    </row>
    <row r="831" ht="14.25" customHeight="1">
      <c r="A831" s="21"/>
      <c r="B831" s="22"/>
      <c r="C831" s="22"/>
      <c r="D831" s="21"/>
    </row>
    <row r="832" ht="14.25" customHeight="1">
      <c r="A832" s="21"/>
      <c r="B832" s="22"/>
      <c r="C832" s="22"/>
      <c r="D832" s="21"/>
    </row>
    <row r="833" ht="14.25" customHeight="1">
      <c r="A833" s="21"/>
      <c r="B833" s="22"/>
      <c r="C833" s="22"/>
      <c r="D833" s="21"/>
    </row>
    <row r="834" ht="14.25" customHeight="1">
      <c r="A834" s="21"/>
      <c r="B834" s="22"/>
      <c r="C834" s="22"/>
      <c r="D834" s="21"/>
    </row>
    <row r="835" ht="14.25" customHeight="1">
      <c r="A835" s="21"/>
      <c r="B835" s="22"/>
      <c r="C835" s="22"/>
      <c r="D835" s="21"/>
    </row>
    <row r="836" ht="14.25" customHeight="1">
      <c r="A836" s="21"/>
      <c r="B836" s="22"/>
      <c r="C836" s="22"/>
      <c r="D836" s="21"/>
    </row>
    <row r="837" ht="14.25" customHeight="1">
      <c r="A837" s="21"/>
      <c r="B837" s="22"/>
      <c r="C837" s="22"/>
      <c r="D837" s="21"/>
    </row>
    <row r="838" ht="14.25" customHeight="1">
      <c r="A838" s="21"/>
      <c r="B838" s="22"/>
      <c r="C838" s="22"/>
      <c r="D838" s="21"/>
    </row>
    <row r="839" ht="14.25" customHeight="1">
      <c r="A839" s="21"/>
      <c r="B839" s="22"/>
      <c r="C839" s="22"/>
      <c r="D839" s="21"/>
    </row>
    <row r="840" ht="14.25" customHeight="1">
      <c r="A840" s="21"/>
      <c r="B840" s="22"/>
      <c r="C840" s="22"/>
      <c r="D840" s="21"/>
    </row>
    <row r="841" ht="14.25" customHeight="1">
      <c r="A841" s="21"/>
      <c r="B841" s="22"/>
      <c r="C841" s="22"/>
      <c r="D841" s="21"/>
    </row>
    <row r="842" ht="14.25" customHeight="1">
      <c r="A842" s="21"/>
      <c r="B842" s="22"/>
      <c r="C842" s="22"/>
      <c r="D842" s="21"/>
    </row>
    <row r="843" ht="14.25" customHeight="1">
      <c r="A843" s="21"/>
      <c r="B843" s="22"/>
      <c r="C843" s="22"/>
      <c r="D843" s="21"/>
    </row>
    <row r="844" ht="14.25" customHeight="1">
      <c r="A844" s="21"/>
      <c r="B844" s="22"/>
      <c r="C844" s="22"/>
      <c r="D844" s="21"/>
    </row>
    <row r="845" ht="14.25" customHeight="1">
      <c r="A845" s="21"/>
      <c r="B845" s="22"/>
      <c r="C845" s="22"/>
      <c r="D845" s="21"/>
    </row>
    <row r="846" ht="14.25" customHeight="1">
      <c r="A846" s="21"/>
      <c r="B846" s="22"/>
      <c r="C846" s="22"/>
      <c r="D846" s="21"/>
    </row>
    <row r="847" ht="14.25" customHeight="1">
      <c r="A847" s="21"/>
      <c r="B847" s="22"/>
      <c r="C847" s="22"/>
      <c r="D847" s="21"/>
    </row>
    <row r="848" ht="14.25" customHeight="1">
      <c r="A848" s="21"/>
      <c r="B848" s="22"/>
      <c r="C848" s="22"/>
      <c r="D848" s="21"/>
    </row>
    <row r="849" ht="14.25" customHeight="1">
      <c r="A849" s="21"/>
      <c r="B849" s="22"/>
      <c r="C849" s="22"/>
      <c r="D849" s="21"/>
    </row>
    <row r="850" ht="14.25" customHeight="1">
      <c r="A850" s="21"/>
      <c r="B850" s="22"/>
      <c r="C850" s="22"/>
      <c r="D850" s="21"/>
    </row>
    <row r="851" ht="14.25" customHeight="1">
      <c r="A851" s="21"/>
      <c r="B851" s="22"/>
      <c r="C851" s="22"/>
      <c r="D851" s="21"/>
    </row>
    <row r="852" ht="14.25" customHeight="1">
      <c r="A852" s="21"/>
      <c r="B852" s="22"/>
      <c r="C852" s="22"/>
      <c r="D852" s="21"/>
    </row>
    <row r="853" ht="14.25" customHeight="1">
      <c r="A853" s="21"/>
      <c r="B853" s="22"/>
      <c r="C853" s="22"/>
      <c r="D853" s="21"/>
    </row>
    <row r="854" ht="14.25" customHeight="1">
      <c r="A854" s="21"/>
      <c r="B854" s="22"/>
      <c r="C854" s="22"/>
      <c r="D854" s="21"/>
    </row>
    <row r="855" ht="14.25" customHeight="1">
      <c r="A855" s="21"/>
      <c r="B855" s="22"/>
      <c r="C855" s="22"/>
      <c r="D855" s="21"/>
    </row>
    <row r="856" ht="14.25" customHeight="1">
      <c r="A856" s="21"/>
      <c r="B856" s="22"/>
      <c r="C856" s="22"/>
      <c r="D856" s="21"/>
    </row>
    <row r="857" ht="14.25" customHeight="1">
      <c r="A857" s="21"/>
      <c r="B857" s="22"/>
      <c r="C857" s="22"/>
      <c r="D857" s="21"/>
    </row>
    <row r="858" ht="14.25" customHeight="1">
      <c r="A858" s="21"/>
      <c r="B858" s="22"/>
      <c r="C858" s="22"/>
      <c r="D858" s="21"/>
    </row>
    <row r="859" ht="14.25" customHeight="1">
      <c r="A859" s="21"/>
      <c r="B859" s="22"/>
      <c r="C859" s="22"/>
      <c r="D859" s="21"/>
    </row>
    <row r="860" ht="14.25" customHeight="1">
      <c r="A860" s="21"/>
      <c r="B860" s="22"/>
      <c r="C860" s="22"/>
      <c r="D860" s="21"/>
    </row>
    <row r="861" ht="14.25" customHeight="1">
      <c r="A861" s="21"/>
      <c r="B861" s="22"/>
      <c r="C861" s="22"/>
      <c r="D861" s="21"/>
    </row>
    <row r="862" ht="14.25" customHeight="1">
      <c r="A862" s="21"/>
      <c r="B862" s="22"/>
      <c r="C862" s="22"/>
      <c r="D862" s="21"/>
    </row>
    <row r="863" ht="14.25" customHeight="1">
      <c r="A863" s="21"/>
      <c r="B863" s="22"/>
      <c r="C863" s="22"/>
      <c r="D863" s="21"/>
    </row>
    <row r="864" ht="14.25" customHeight="1">
      <c r="A864" s="21"/>
      <c r="B864" s="22"/>
      <c r="C864" s="22"/>
      <c r="D864" s="21"/>
    </row>
    <row r="865" ht="14.25" customHeight="1">
      <c r="A865" s="21"/>
      <c r="B865" s="22"/>
      <c r="C865" s="22"/>
      <c r="D865" s="21"/>
    </row>
    <row r="866" ht="14.25" customHeight="1">
      <c r="A866" s="21"/>
      <c r="B866" s="22"/>
      <c r="C866" s="22"/>
      <c r="D866" s="21"/>
    </row>
    <row r="867" ht="14.25" customHeight="1">
      <c r="A867" s="21"/>
      <c r="B867" s="22"/>
      <c r="C867" s="22"/>
      <c r="D867" s="21"/>
    </row>
    <row r="868" ht="14.25" customHeight="1">
      <c r="A868" s="21"/>
      <c r="B868" s="22"/>
      <c r="C868" s="22"/>
      <c r="D868" s="21"/>
    </row>
    <row r="869" ht="14.25" customHeight="1">
      <c r="A869" s="21"/>
      <c r="B869" s="22"/>
      <c r="C869" s="22"/>
      <c r="D869" s="21"/>
    </row>
    <row r="870" ht="14.25" customHeight="1">
      <c r="A870" s="21"/>
      <c r="B870" s="22"/>
      <c r="C870" s="22"/>
      <c r="D870" s="21"/>
    </row>
    <row r="871" ht="14.25" customHeight="1">
      <c r="A871" s="21"/>
      <c r="B871" s="22"/>
      <c r="C871" s="22"/>
      <c r="D871" s="21"/>
    </row>
    <row r="872" ht="14.25" customHeight="1">
      <c r="A872" s="21"/>
      <c r="B872" s="22"/>
      <c r="C872" s="22"/>
      <c r="D872" s="21"/>
    </row>
    <row r="873" ht="14.25" customHeight="1">
      <c r="A873" s="21"/>
      <c r="B873" s="22"/>
      <c r="C873" s="22"/>
      <c r="D873" s="21"/>
    </row>
    <row r="874" ht="14.25" customHeight="1">
      <c r="A874" s="21"/>
      <c r="B874" s="22"/>
      <c r="C874" s="22"/>
      <c r="D874" s="21"/>
    </row>
    <row r="875" ht="14.25" customHeight="1">
      <c r="A875" s="21"/>
      <c r="B875" s="22"/>
      <c r="C875" s="22"/>
      <c r="D875" s="21"/>
    </row>
    <row r="876" ht="14.25" customHeight="1">
      <c r="A876" s="21"/>
      <c r="B876" s="22"/>
      <c r="C876" s="22"/>
      <c r="D876" s="21"/>
    </row>
    <row r="877" ht="14.25" customHeight="1">
      <c r="A877" s="21"/>
      <c r="B877" s="22"/>
      <c r="C877" s="22"/>
      <c r="D877" s="21"/>
    </row>
    <row r="878" ht="14.25" customHeight="1">
      <c r="A878" s="21"/>
      <c r="B878" s="22"/>
      <c r="C878" s="22"/>
      <c r="D878" s="21"/>
    </row>
    <row r="879" ht="14.25" customHeight="1">
      <c r="A879" s="21"/>
      <c r="B879" s="22"/>
      <c r="C879" s="22"/>
      <c r="D879" s="21"/>
    </row>
    <row r="880" ht="14.25" customHeight="1">
      <c r="A880" s="21"/>
      <c r="B880" s="22"/>
      <c r="C880" s="22"/>
      <c r="D880" s="21"/>
    </row>
    <row r="881" ht="14.25" customHeight="1">
      <c r="A881" s="21"/>
      <c r="B881" s="22"/>
      <c r="C881" s="22"/>
      <c r="D881" s="21"/>
    </row>
    <row r="882" ht="14.25" customHeight="1">
      <c r="A882" s="21"/>
      <c r="B882" s="22"/>
      <c r="C882" s="22"/>
      <c r="D882" s="21"/>
    </row>
    <row r="883" ht="14.25" customHeight="1">
      <c r="A883" s="21"/>
      <c r="B883" s="22"/>
      <c r="C883" s="22"/>
      <c r="D883" s="21"/>
    </row>
    <row r="884" ht="14.25" customHeight="1">
      <c r="A884" s="21"/>
      <c r="B884" s="22"/>
      <c r="C884" s="22"/>
      <c r="D884" s="21"/>
    </row>
    <row r="885" ht="14.25" customHeight="1">
      <c r="A885" s="21"/>
      <c r="B885" s="22"/>
      <c r="C885" s="22"/>
      <c r="D885" s="21"/>
    </row>
    <row r="886" ht="14.25" customHeight="1">
      <c r="A886" s="21"/>
      <c r="B886" s="22"/>
      <c r="C886" s="22"/>
      <c r="D886" s="21"/>
    </row>
    <row r="887" ht="14.25" customHeight="1">
      <c r="A887" s="21"/>
      <c r="B887" s="22"/>
      <c r="C887" s="22"/>
      <c r="D887" s="21"/>
    </row>
    <row r="888" ht="14.25" customHeight="1">
      <c r="A888" s="21"/>
      <c r="B888" s="22"/>
      <c r="C888" s="22"/>
      <c r="D888" s="21"/>
    </row>
    <row r="889" ht="14.25" customHeight="1">
      <c r="A889" s="21"/>
      <c r="B889" s="22"/>
      <c r="C889" s="22"/>
      <c r="D889" s="21"/>
    </row>
    <row r="890" ht="14.25" customHeight="1">
      <c r="A890" s="21"/>
      <c r="B890" s="22"/>
      <c r="C890" s="22"/>
      <c r="D890" s="21"/>
    </row>
    <row r="891" ht="14.25" customHeight="1">
      <c r="A891" s="21"/>
      <c r="B891" s="22"/>
      <c r="C891" s="22"/>
      <c r="D891" s="21"/>
    </row>
    <row r="892" ht="14.25" customHeight="1">
      <c r="A892" s="21"/>
      <c r="B892" s="22"/>
      <c r="C892" s="22"/>
      <c r="D892" s="21"/>
    </row>
    <row r="893" ht="14.25" customHeight="1">
      <c r="A893" s="21"/>
      <c r="B893" s="22"/>
      <c r="C893" s="22"/>
      <c r="D893" s="21"/>
    </row>
    <row r="894" ht="14.25" customHeight="1">
      <c r="A894" s="21"/>
      <c r="B894" s="22"/>
      <c r="C894" s="22"/>
      <c r="D894" s="21"/>
    </row>
    <row r="895" ht="14.25" customHeight="1">
      <c r="A895" s="21"/>
      <c r="B895" s="22"/>
      <c r="C895" s="22"/>
      <c r="D895" s="21"/>
    </row>
    <row r="896" ht="14.25" customHeight="1">
      <c r="A896" s="21"/>
      <c r="B896" s="22"/>
      <c r="C896" s="22"/>
      <c r="D896" s="21"/>
    </row>
    <row r="897" ht="14.25" customHeight="1">
      <c r="A897" s="21"/>
      <c r="B897" s="22"/>
      <c r="C897" s="22"/>
      <c r="D897" s="21"/>
    </row>
    <row r="898" ht="14.25" customHeight="1">
      <c r="A898" s="21"/>
      <c r="B898" s="22"/>
      <c r="C898" s="22"/>
      <c r="D898" s="21"/>
    </row>
    <row r="899" ht="14.25" customHeight="1">
      <c r="A899" s="21"/>
      <c r="B899" s="22"/>
      <c r="C899" s="22"/>
      <c r="D899" s="21"/>
    </row>
    <row r="900" ht="14.25" customHeight="1">
      <c r="A900" s="21"/>
      <c r="B900" s="22"/>
      <c r="C900" s="22"/>
      <c r="D900" s="21"/>
    </row>
    <row r="901" ht="14.25" customHeight="1">
      <c r="A901" s="21"/>
      <c r="B901" s="22"/>
      <c r="C901" s="22"/>
      <c r="D901" s="21"/>
    </row>
    <row r="902" ht="14.25" customHeight="1">
      <c r="A902" s="21"/>
      <c r="B902" s="22"/>
      <c r="C902" s="22"/>
      <c r="D902" s="21"/>
    </row>
    <row r="903" ht="14.25" customHeight="1">
      <c r="A903" s="21"/>
      <c r="B903" s="22"/>
      <c r="C903" s="22"/>
      <c r="D903" s="21"/>
    </row>
    <row r="904" ht="14.25" customHeight="1">
      <c r="A904" s="21"/>
      <c r="B904" s="22"/>
      <c r="C904" s="22"/>
      <c r="D904" s="21"/>
    </row>
    <row r="905" ht="14.25" customHeight="1">
      <c r="A905" s="21"/>
      <c r="B905" s="22"/>
      <c r="C905" s="22"/>
      <c r="D905" s="21"/>
    </row>
    <row r="906" ht="14.25" customHeight="1">
      <c r="A906" s="21"/>
      <c r="B906" s="22"/>
      <c r="C906" s="22"/>
      <c r="D906" s="21"/>
    </row>
    <row r="907" ht="14.25" customHeight="1">
      <c r="A907" s="21"/>
      <c r="B907" s="22"/>
      <c r="C907" s="22"/>
      <c r="D907" s="21"/>
    </row>
    <row r="908" ht="14.25" customHeight="1">
      <c r="A908" s="21"/>
      <c r="B908" s="22"/>
      <c r="C908" s="22"/>
      <c r="D908" s="21"/>
    </row>
    <row r="909" ht="14.25" customHeight="1">
      <c r="A909" s="21"/>
      <c r="B909" s="22"/>
      <c r="C909" s="22"/>
      <c r="D909" s="21"/>
    </row>
    <row r="910" ht="14.25" customHeight="1">
      <c r="A910" s="21"/>
      <c r="B910" s="22"/>
      <c r="C910" s="22"/>
      <c r="D910" s="21"/>
    </row>
    <row r="911" ht="14.25" customHeight="1">
      <c r="A911" s="21"/>
      <c r="B911" s="22"/>
      <c r="C911" s="22"/>
      <c r="D911" s="21"/>
    </row>
    <row r="912" ht="14.25" customHeight="1">
      <c r="A912" s="21"/>
      <c r="B912" s="22"/>
      <c r="C912" s="22"/>
      <c r="D912" s="21"/>
    </row>
    <row r="913" ht="14.25" customHeight="1">
      <c r="A913" s="21"/>
      <c r="B913" s="22"/>
      <c r="C913" s="22"/>
      <c r="D913" s="21"/>
    </row>
    <row r="914" ht="14.25" customHeight="1">
      <c r="A914" s="21"/>
      <c r="B914" s="22"/>
      <c r="C914" s="22"/>
      <c r="D914" s="21"/>
    </row>
    <row r="915" ht="14.25" customHeight="1">
      <c r="A915" s="21"/>
      <c r="B915" s="22"/>
      <c r="C915" s="22"/>
      <c r="D915" s="21"/>
    </row>
    <row r="916" ht="14.25" customHeight="1">
      <c r="A916" s="21"/>
      <c r="B916" s="22"/>
      <c r="C916" s="22"/>
      <c r="D916" s="21"/>
    </row>
    <row r="917" ht="14.25" customHeight="1">
      <c r="A917" s="21"/>
      <c r="B917" s="22"/>
      <c r="C917" s="22"/>
      <c r="D917" s="21"/>
    </row>
    <row r="918" ht="14.25" customHeight="1">
      <c r="A918" s="21"/>
      <c r="B918" s="22"/>
      <c r="C918" s="22"/>
      <c r="D918" s="21"/>
    </row>
    <row r="919" ht="14.25" customHeight="1">
      <c r="A919" s="21"/>
      <c r="B919" s="22"/>
      <c r="C919" s="22"/>
      <c r="D919" s="21"/>
    </row>
    <row r="920" ht="14.25" customHeight="1">
      <c r="A920" s="21"/>
      <c r="B920" s="22"/>
      <c r="C920" s="22"/>
      <c r="D920" s="21"/>
    </row>
    <row r="921" ht="14.25" customHeight="1">
      <c r="A921" s="21"/>
      <c r="B921" s="22"/>
      <c r="C921" s="22"/>
      <c r="D921" s="21"/>
    </row>
    <row r="922" ht="14.25" customHeight="1">
      <c r="A922" s="21"/>
      <c r="B922" s="22"/>
      <c r="C922" s="22"/>
      <c r="D922" s="21"/>
    </row>
    <row r="923" ht="14.25" customHeight="1">
      <c r="A923" s="21"/>
      <c r="B923" s="22"/>
      <c r="C923" s="22"/>
      <c r="D923" s="21"/>
    </row>
    <row r="924" ht="14.25" customHeight="1">
      <c r="A924" s="21"/>
      <c r="B924" s="22"/>
      <c r="C924" s="22"/>
      <c r="D924" s="21"/>
    </row>
    <row r="925" ht="14.25" customHeight="1">
      <c r="A925" s="21"/>
      <c r="B925" s="22"/>
      <c r="C925" s="22"/>
      <c r="D925" s="21"/>
    </row>
    <row r="926" ht="14.25" customHeight="1">
      <c r="A926" s="21"/>
      <c r="B926" s="22"/>
      <c r="C926" s="22"/>
      <c r="D926" s="21"/>
    </row>
    <row r="927" ht="14.25" customHeight="1">
      <c r="A927" s="21"/>
      <c r="B927" s="22"/>
      <c r="C927" s="22"/>
      <c r="D927" s="21"/>
    </row>
    <row r="928" ht="14.25" customHeight="1">
      <c r="A928" s="21"/>
      <c r="B928" s="22"/>
      <c r="C928" s="22"/>
      <c r="D928" s="21"/>
    </row>
    <row r="929" ht="14.25" customHeight="1">
      <c r="A929" s="21"/>
      <c r="B929" s="22"/>
      <c r="C929" s="22"/>
      <c r="D929" s="21"/>
    </row>
    <row r="930" ht="14.25" customHeight="1">
      <c r="A930" s="21"/>
      <c r="B930" s="22"/>
      <c r="C930" s="22"/>
      <c r="D930" s="21"/>
    </row>
    <row r="931" ht="14.25" customHeight="1">
      <c r="A931" s="21"/>
      <c r="B931" s="22"/>
      <c r="C931" s="22"/>
      <c r="D931" s="21"/>
    </row>
    <row r="932" ht="14.25" customHeight="1">
      <c r="A932" s="21"/>
      <c r="B932" s="22"/>
      <c r="C932" s="22"/>
      <c r="D932" s="21"/>
    </row>
    <row r="933" ht="14.25" customHeight="1">
      <c r="A933" s="21"/>
      <c r="B933" s="22"/>
      <c r="C933" s="22"/>
      <c r="D933" s="21"/>
    </row>
    <row r="934" ht="14.25" customHeight="1">
      <c r="A934" s="21"/>
      <c r="B934" s="22"/>
      <c r="C934" s="22"/>
      <c r="D934" s="21"/>
    </row>
    <row r="935" ht="14.25" customHeight="1">
      <c r="A935" s="21"/>
      <c r="B935" s="22"/>
      <c r="C935" s="22"/>
      <c r="D935" s="21"/>
    </row>
    <row r="936" ht="14.25" customHeight="1">
      <c r="A936" s="21"/>
      <c r="B936" s="22"/>
      <c r="C936" s="22"/>
      <c r="D936" s="21"/>
    </row>
    <row r="937" ht="14.25" customHeight="1">
      <c r="A937" s="21"/>
      <c r="B937" s="22"/>
      <c r="C937" s="22"/>
      <c r="D937" s="21"/>
    </row>
    <row r="938" ht="14.25" customHeight="1">
      <c r="A938" s="21"/>
      <c r="B938" s="22"/>
      <c r="C938" s="22"/>
      <c r="D938" s="21"/>
    </row>
    <row r="939" ht="14.25" customHeight="1">
      <c r="A939" s="21"/>
      <c r="B939" s="22"/>
      <c r="C939" s="22"/>
      <c r="D939" s="21"/>
    </row>
    <row r="940" ht="14.25" customHeight="1">
      <c r="A940" s="21"/>
      <c r="B940" s="22"/>
      <c r="C940" s="22"/>
      <c r="D940" s="21"/>
    </row>
    <row r="941" ht="14.25" customHeight="1">
      <c r="A941" s="21"/>
      <c r="B941" s="22"/>
      <c r="C941" s="22"/>
      <c r="D941" s="21"/>
    </row>
    <row r="942" ht="14.25" customHeight="1">
      <c r="A942" s="21"/>
      <c r="B942" s="22"/>
      <c r="C942" s="22"/>
      <c r="D942" s="21"/>
    </row>
    <row r="943" ht="14.25" customHeight="1">
      <c r="A943" s="21"/>
      <c r="B943" s="22"/>
      <c r="C943" s="22"/>
      <c r="D943" s="21"/>
    </row>
    <row r="944" ht="14.25" customHeight="1">
      <c r="A944" s="21"/>
      <c r="B944" s="22"/>
      <c r="C944" s="22"/>
      <c r="D944" s="21"/>
    </row>
    <row r="945" ht="14.25" customHeight="1">
      <c r="A945" s="21"/>
      <c r="B945" s="22"/>
      <c r="C945" s="22"/>
      <c r="D945" s="21"/>
    </row>
    <row r="946" ht="14.25" customHeight="1">
      <c r="A946" s="21"/>
      <c r="B946" s="22"/>
      <c r="C946" s="22"/>
      <c r="D946" s="21"/>
    </row>
    <row r="947" ht="14.25" customHeight="1">
      <c r="A947" s="21"/>
      <c r="B947" s="22"/>
      <c r="C947" s="22"/>
      <c r="D947" s="21"/>
    </row>
    <row r="948" ht="14.25" customHeight="1">
      <c r="A948" s="21"/>
      <c r="B948" s="22"/>
      <c r="C948" s="22"/>
      <c r="D948" s="21"/>
    </row>
    <row r="949" ht="14.25" customHeight="1">
      <c r="A949" s="21"/>
      <c r="B949" s="22"/>
      <c r="C949" s="22"/>
      <c r="D949" s="21"/>
    </row>
    <row r="950" ht="14.25" customHeight="1">
      <c r="A950" s="21"/>
      <c r="B950" s="22"/>
      <c r="C950" s="22"/>
      <c r="D950" s="21"/>
    </row>
    <row r="951" ht="14.25" customHeight="1">
      <c r="A951" s="21"/>
      <c r="B951" s="22"/>
      <c r="C951" s="22"/>
      <c r="D951" s="21"/>
    </row>
    <row r="952" ht="14.25" customHeight="1">
      <c r="A952" s="21"/>
      <c r="B952" s="22"/>
      <c r="C952" s="22"/>
      <c r="D952" s="21"/>
    </row>
    <row r="953" ht="14.25" customHeight="1">
      <c r="A953" s="21"/>
      <c r="B953" s="22"/>
      <c r="C953" s="22"/>
      <c r="D953" s="21"/>
    </row>
    <row r="954" ht="14.25" customHeight="1">
      <c r="A954" s="21"/>
      <c r="B954" s="22"/>
      <c r="C954" s="22"/>
      <c r="D954" s="21"/>
    </row>
    <row r="955" ht="14.25" customHeight="1">
      <c r="A955" s="21"/>
      <c r="B955" s="22"/>
      <c r="C955" s="22"/>
      <c r="D955" s="21"/>
    </row>
    <row r="956" ht="14.25" customHeight="1">
      <c r="A956" s="21"/>
      <c r="B956" s="22"/>
      <c r="C956" s="22"/>
      <c r="D956" s="21"/>
    </row>
    <row r="957" ht="14.25" customHeight="1">
      <c r="A957" s="21"/>
      <c r="B957" s="22"/>
      <c r="C957" s="22"/>
      <c r="D957" s="21"/>
    </row>
    <row r="958" ht="14.25" customHeight="1">
      <c r="A958" s="21"/>
      <c r="B958" s="22"/>
      <c r="C958" s="22"/>
      <c r="D958" s="21"/>
    </row>
    <row r="959" ht="14.25" customHeight="1">
      <c r="A959" s="21"/>
      <c r="B959" s="22"/>
      <c r="C959" s="22"/>
      <c r="D959" s="21"/>
    </row>
    <row r="960" ht="14.25" customHeight="1">
      <c r="A960" s="21"/>
      <c r="B960" s="22"/>
      <c r="C960" s="22"/>
      <c r="D960" s="21"/>
    </row>
    <row r="961" ht="14.25" customHeight="1">
      <c r="A961" s="21"/>
      <c r="B961" s="22"/>
      <c r="C961" s="22"/>
      <c r="D961" s="21"/>
    </row>
    <row r="962" ht="14.25" customHeight="1">
      <c r="A962" s="21"/>
      <c r="B962" s="22"/>
      <c r="C962" s="22"/>
      <c r="D962" s="21"/>
    </row>
    <row r="963" ht="14.25" customHeight="1">
      <c r="A963" s="21"/>
      <c r="B963" s="22"/>
      <c r="C963" s="22"/>
      <c r="D963" s="21"/>
    </row>
    <row r="964" ht="14.25" customHeight="1">
      <c r="A964" s="21"/>
      <c r="B964" s="22"/>
      <c r="C964" s="22"/>
      <c r="D964" s="21"/>
    </row>
    <row r="965" ht="14.25" customHeight="1">
      <c r="A965" s="21"/>
      <c r="B965" s="22"/>
      <c r="C965" s="22"/>
      <c r="D965" s="21"/>
    </row>
    <row r="966" ht="14.25" customHeight="1">
      <c r="A966" s="21"/>
      <c r="B966" s="22"/>
      <c r="C966" s="22"/>
      <c r="D966" s="21"/>
    </row>
    <row r="967" ht="14.25" customHeight="1">
      <c r="A967" s="21"/>
      <c r="B967" s="22"/>
      <c r="C967" s="22"/>
      <c r="D967" s="21"/>
    </row>
    <row r="968" ht="14.25" customHeight="1">
      <c r="A968" s="21"/>
      <c r="B968" s="22"/>
      <c r="C968" s="22"/>
      <c r="D968" s="21"/>
    </row>
    <row r="969" ht="14.25" customHeight="1">
      <c r="A969" s="21"/>
      <c r="B969" s="22"/>
      <c r="C969" s="22"/>
      <c r="D969" s="21"/>
    </row>
    <row r="970" ht="14.25" customHeight="1">
      <c r="A970" s="21"/>
      <c r="B970" s="22"/>
      <c r="C970" s="22"/>
      <c r="D970" s="21"/>
    </row>
    <row r="971" ht="14.25" customHeight="1">
      <c r="A971" s="21"/>
      <c r="B971" s="22"/>
      <c r="C971" s="22"/>
      <c r="D971" s="21"/>
    </row>
    <row r="972" ht="14.25" customHeight="1">
      <c r="A972" s="21"/>
      <c r="B972" s="22"/>
      <c r="C972" s="22"/>
      <c r="D972" s="21"/>
    </row>
    <row r="973" ht="14.25" customHeight="1">
      <c r="A973" s="21"/>
      <c r="B973" s="22"/>
      <c r="C973" s="22"/>
      <c r="D973" s="21"/>
    </row>
    <row r="974" ht="14.25" customHeight="1">
      <c r="A974" s="21"/>
      <c r="B974" s="22"/>
      <c r="C974" s="22"/>
      <c r="D974" s="21"/>
    </row>
    <row r="975" ht="14.25" customHeight="1">
      <c r="A975" s="21"/>
      <c r="B975" s="22"/>
      <c r="C975" s="22"/>
      <c r="D975" s="21"/>
    </row>
    <row r="976" ht="14.25" customHeight="1">
      <c r="A976" s="21"/>
      <c r="B976" s="22"/>
      <c r="C976" s="22"/>
      <c r="D976" s="21"/>
    </row>
    <row r="977" ht="14.25" customHeight="1">
      <c r="A977" s="21"/>
      <c r="B977" s="22"/>
      <c r="C977" s="22"/>
      <c r="D977" s="21"/>
    </row>
    <row r="978" ht="14.25" customHeight="1">
      <c r="A978" s="21"/>
      <c r="B978" s="22"/>
      <c r="C978" s="22"/>
      <c r="D978" s="21"/>
    </row>
    <row r="979" ht="14.25" customHeight="1">
      <c r="A979" s="21"/>
      <c r="B979" s="22"/>
      <c r="C979" s="22"/>
      <c r="D979" s="21"/>
    </row>
    <row r="980" ht="14.25" customHeight="1">
      <c r="A980" s="21"/>
      <c r="B980" s="22"/>
      <c r="C980" s="22"/>
      <c r="D980" s="21"/>
    </row>
    <row r="981" ht="14.25" customHeight="1">
      <c r="A981" s="21"/>
      <c r="B981" s="22"/>
      <c r="C981" s="22"/>
      <c r="D981" s="21"/>
    </row>
    <row r="982" ht="14.25" customHeight="1">
      <c r="A982" s="21"/>
      <c r="B982" s="22"/>
      <c r="C982" s="22"/>
      <c r="D982" s="21"/>
    </row>
    <row r="983" ht="14.25" customHeight="1">
      <c r="A983" s="21"/>
      <c r="B983" s="22"/>
      <c r="C983" s="22"/>
      <c r="D983" s="21"/>
    </row>
    <row r="984" ht="14.25" customHeight="1">
      <c r="A984" s="21"/>
      <c r="B984" s="22"/>
      <c r="C984" s="22"/>
      <c r="D984" s="21"/>
    </row>
    <row r="985" ht="14.25" customHeight="1">
      <c r="A985" s="21"/>
      <c r="B985" s="22"/>
      <c r="C985" s="22"/>
      <c r="D985" s="21"/>
    </row>
    <row r="986" ht="14.25" customHeight="1">
      <c r="A986" s="21"/>
      <c r="B986" s="22"/>
      <c r="C986" s="22"/>
      <c r="D986" s="21"/>
    </row>
    <row r="987" ht="14.25" customHeight="1">
      <c r="A987" s="21"/>
      <c r="B987" s="22"/>
      <c r="C987" s="22"/>
      <c r="D987" s="21"/>
    </row>
    <row r="988" ht="14.25" customHeight="1">
      <c r="A988" s="21"/>
      <c r="B988" s="22"/>
      <c r="C988" s="22"/>
      <c r="D988" s="21"/>
    </row>
    <row r="989" ht="14.25" customHeight="1">
      <c r="A989" s="21"/>
      <c r="B989" s="22"/>
      <c r="C989" s="22"/>
      <c r="D989" s="21"/>
    </row>
    <row r="990" ht="14.25" customHeight="1">
      <c r="A990" s="21"/>
      <c r="B990" s="22"/>
      <c r="C990" s="22"/>
      <c r="D990" s="21"/>
    </row>
    <row r="991" ht="14.25" customHeight="1">
      <c r="A991" s="21"/>
      <c r="B991" s="22"/>
      <c r="C991" s="22"/>
      <c r="D991" s="21"/>
    </row>
    <row r="992" ht="14.25" customHeight="1">
      <c r="A992" s="21"/>
      <c r="B992" s="22"/>
      <c r="C992" s="22"/>
      <c r="D992" s="21"/>
    </row>
    <row r="993" ht="14.25" customHeight="1">
      <c r="A993" s="21"/>
      <c r="B993" s="22"/>
      <c r="C993" s="22"/>
      <c r="D993" s="21"/>
    </row>
    <row r="994" ht="14.25" customHeight="1">
      <c r="A994" s="21"/>
      <c r="B994" s="22"/>
      <c r="C994" s="22"/>
      <c r="D994" s="21"/>
    </row>
    <row r="995" ht="14.25" customHeight="1">
      <c r="A995" s="21"/>
      <c r="B995" s="22"/>
      <c r="C995" s="22"/>
      <c r="D995" s="21"/>
    </row>
    <row r="996" ht="14.25" customHeight="1">
      <c r="A996" s="21"/>
      <c r="B996" s="22"/>
      <c r="C996" s="22"/>
      <c r="D996" s="21"/>
    </row>
    <row r="997" ht="14.25" customHeight="1">
      <c r="A997" s="21"/>
      <c r="B997" s="22"/>
      <c r="C997" s="22"/>
      <c r="D997" s="21"/>
    </row>
    <row r="998" ht="14.25" customHeight="1">
      <c r="A998" s="21"/>
      <c r="B998" s="22"/>
      <c r="C998" s="22"/>
      <c r="D998" s="21"/>
    </row>
    <row r="999" ht="14.25" customHeight="1">
      <c r="A999" s="21"/>
      <c r="B999" s="22"/>
      <c r="C999" s="22"/>
      <c r="D999" s="21"/>
    </row>
    <row r="1000" ht="14.25" customHeight="1">
      <c r="A1000" s="21"/>
      <c r="B1000" s="22"/>
      <c r="C1000" s="22"/>
      <c r="D1000" s="21"/>
    </row>
  </sheetData>
  <mergeCells count="21">
    <mergeCell ref="AE1:AH1"/>
    <mergeCell ref="AI1:AN1"/>
    <mergeCell ref="AO1:AR1"/>
    <mergeCell ref="AS1:AU1"/>
    <mergeCell ref="AV1:AW1"/>
    <mergeCell ref="BA1:BD1"/>
    <mergeCell ref="BE1:BH1"/>
    <mergeCell ref="BM1:BN1"/>
    <mergeCell ref="B2:C2"/>
    <mergeCell ref="A3:C3"/>
    <mergeCell ref="B54:B55"/>
    <mergeCell ref="A66:C68"/>
    <mergeCell ref="A69:C70"/>
    <mergeCell ref="A71:C73"/>
    <mergeCell ref="A1:A2"/>
    <mergeCell ref="B1:C1"/>
    <mergeCell ref="E1:F1"/>
    <mergeCell ref="G1:K1"/>
    <mergeCell ref="L1:S1"/>
    <mergeCell ref="T1:Y1"/>
    <mergeCell ref="Z1:AD1"/>
  </mergeCells>
  <printOptions/>
  <pageMargins bottom="0.75" footer="0.0" header="0.0" left="0.7" right="0.7" top="0.75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5.86"/>
    <col customWidth="1" min="2" max="2" width="11.0"/>
    <col customWidth="1" min="3" max="15" width="9.14"/>
    <col customWidth="1" min="16" max="16" width="11.0"/>
    <col customWidth="1" min="17" max="17" width="9.14"/>
    <col customWidth="1" min="18" max="18" width="24.57"/>
    <col customWidth="1" min="19" max="26" width="8.71"/>
  </cols>
  <sheetData>
    <row r="1" ht="14.25" customHeight="1">
      <c r="A1" s="1"/>
      <c r="B1" s="2" t="s">
        <v>0</v>
      </c>
      <c r="D1" s="3" t="s">
        <v>645</v>
      </c>
      <c r="E1" s="3" t="s">
        <v>646</v>
      </c>
      <c r="F1" s="107" t="s">
        <v>647</v>
      </c>
      <c r="G1" s="3" t="s">
        <v>648</v>
      </c>
      <c r="H1" s="3" t="s">
        <v>649</v>
      </c>
      <c r="I1" s="3" t="s">
        <v>650</v>
      </c>
      <c r="J1" s="3" t="s">
        <v>651</v>
      </c>
      <c r="K1" s="107" t="s">
        <v>652</v>
      </c>
      <c r="L1" s="108" t="s">
        <v>653</v>
      </c>
      <c r="M1" s="109" t="s">
        <v>654</v>
      </c>
      <c r="N1" s="110" t="s">
        <v>655</v>
      </c>
      <c r="O1" s="111" t="s">
        <v>656</v>
      </c>
      <c r="P1" s="112" t="s">
        <v>657</v>
      </c>
      <c r="Q1" s="3"/>
      <c r="R1" s="113"/>
      <c r="S1" s="3"/>
      <c r="T1" s="3"/>
      <c r="U1" s="3"/>
      <c r="V1" s="3"/>
      <c r="W1" s="3"/>
      <c r="X1" s="3"/>
      <c r="Y1" s="3"/>
      <c r="Z1" s="3"/>
    </row>
    <row r="2" ht="14.25" customHeight="1">
      <c r="A2" s="4"/>
      <c r="B2" s="5" t="s">
        <v>44</v>
      </c>
      <c r="C2" s="4"/>
      <c r="D2" s="21"/>
      <c r="E2" s="21"/>
      <c r="G2" s="21"/>
      <c r="H2" s="21"/>
      <c r="I2" s="21"/>
      <c r="J2" s="21"/>
      <c r="L2" s="114"/>
      <c r="M2" s="88"/>
      <c r="N2" s="31"/>
      <c r="O2" s="115"/>
      <c r="P2" s="116">
        <v>60.0</v>
      </c>
      <c r="Q2" s="117"/>
      <c r="R2" s="117"/>
      <c r="S2" s="21"/>
      <c r="T2" s="21"/>
      <c r="U2" s="21"/>
      <c r="V2" s="21"/>
      <c r="W2" s="21"/>
      <c r="X2" s="21"/>
    </row>
    <row r="3" ht="14.25" customHeight="1">
      <c r="A3" s="118" t="s">
        <v>658</v>
      </c>
      <c r="B3" s="16"/>
      <c r="C3" s="16"/>
      <c r="D3" s="21">
        <f>SUM('Фрукты'!D3:ZY3,)</f>
        <v>0</v>
      </c>
      <c r="E3" s="21">
        <f>SUM('Овощи'!D3:AAB3,)</f>
        <v>0</v>
      </c>
      <c r="F3" s="21">
        <f>SUM('Орехи и семена'!D3:ZZ3,)</f>
        <v>0</v>
      </c>
      <c r="G3" s="21">
        <f>SUM('Зерновые'!D3:ZX3,)</f>
        <v>0</v>
      </c>
      <c r="H3" s="21">
        <f>SUM('Бобовые'!D3:AAA3,)</f>
        <v>0</v>
      </c>
      <c r="I3" s="21">
        <f>SUM('Масла'!D3:ZZ3,)</f>
        <v>0</v>
      </c>
      <c r="J3" s="21">
        <f>SUM('Грибы'!D3:ZZ3,)</f>
        <v>0</v>
      </c>
      <c r="K3" s="21">
        <f>SUM('Травы и специи'!D3:ZV3,)</f>
        <v>0</v>
      </c>
      <c r="L3" s="21">
        <f>SUM('Добавки'!D3:ZZ3,)</f>
        <v>0</v>
      </c>
      <c r="M3" s="88">
        <f>SUM('Психоактивы'!D3:ZZ3,)</f>
        <v>0</v>
      </c>
      <c r="N3" s="31">
        <f>SUM('Животные'!D3:ZZ3,)</f>
        <v>0</v>
      </c>
      <c r="O3" s="115">
        <f>SUM(D3:N3,)</f>
        <v>0</v>
      </c>
      <c r="P3" s="3" t="s">
        <v>659</v>
      </c>
      <c r="S3" s="21"/>
      <c r="T3" s="21"/>
      <c r="U3" s="21"/>
      <c r="V3" s="21"/>
      <c r="W3" s="21"/>
      <c r="X3" s="21"/>
      <c r="Y3" s="21"/>
      <c r="Z3" s="21"/>
    </row>
    <row r="4" ht="14.25" customHeight="1">
      <c r="A4" s="19" t="s">
        <v>89</v>
      </c>
      <c r="B4" s="27" t="s">
        <v>90</v>
      </c>
      <c r="C4" s="27" t="s">
        <v>91</v>
      </c>
      <c r="D4" s="19"/>
      <c r="E4" s="19"/>
      <c r="F4" s="19"/>
      <c r="G4" s="19"/>
      <c r="H4" s="19"/>
      <c r="I4" s="19"/>
      <c r="J4" s="19"/>
      <c r="K4" s="19"/>
      <c r="L4" s="19"/>
      <c r="M4" s="119"/>
      <c r="N4" s="120"/>
      <c r="O4" s="19"/>
      <c r="P4" s="121" t="s">
        <v>90</v>
      </c>
      <c r="Q4" s="121" t="s">
        <v>91</v>
      </c>
      <c r="R4" s="122" t="s">
        <v>89</v>
      </c>
      <c r="S4" s="19"/>
      <c r="T4" s="19"/>
      <c r="U4" s="19"/>
      <c r="V4" s="19"/>
      <c r="W4" s="19"/>
      <c r="X4" s="19"/>
      <c r="Y4" s="19"/>
      <c r="Z4" s="19"/>
    </row>
    <row r="5" ht="14.25" customHeight="1">
      <c r="A5" s="21" t="s">
        <v>92</v>
      </c>
      <c r="B5" s="22" t="s">
        <v>93</v>
      </c>
      <c r="C5" s="22"/>
      <c r="D5" s="21">
        <f>SUMPRODUCT('Фрукты'!D5:ZY5,'Фрукты'!D$3:ZY$3%)</f>
        <v>0</v>
      </c>
      <c r="E5" s="21">
        <f>SUMPRODUCT('Овощи'!D5:AAB5,'Овощи'!D$3:AAB$3%)</f>
        <v>0</v>
      </c>
      <c r="F5" s="21">
        <f>SUMPRODUCT('Орехи и семена'!D5:ZZ5,'Орехи и семена'!D$3:ZZ$3%)</f>
        <v>0</v>
      </c>
      <c r="G5" s="21">
        <f>SUMPRODUCT('Зерновые'!D5:AAD5,'Зерновые'!D$3:AAD$3%)</f>
        <v>0</v>
      </c>
      <c r="H5" s="21">
        <f>SUMPRODUCT('Бобовые'!D5:AAA5,'Бобовые'!D$3:AAA$3%)</f>
        <v>0</v>
      </c>
      <c r="I5" s="21">
        <f>SUMPRODUCT('Масла'!D5:ZZ5,'Масла'!D$3:ZZ$3%)</f>
        <v>0</v>
      </c>
      <c r="J5" s="21">
        <f>SUMPRODUCT('Грибы'!D5:ZZ5,'Грибы'!D$3:ZZ$3%)</f>
        <v>0</v>
      </c>
      <c r="K5" s="21">
        <f>SUMPRODUCT('Травы и специи'!D5:ZV5,'Травы и специи'!D$3:ZV$3%)</f>
        <v>0</v>
      </c>
      <c r="L5" s="21">
        <f>SUMPRODUCT('Добавки'!D5:ZZ5,'Добавки'!D$3:ZZ$3%)</f>
        <v>0</v>
      </c>
      <c r="M5" s="88">
        <f>SUMPRODUCT('Психоактивы'!D5:ZZ5,'Психоактивы'!D$3:ZZ$3%)</f>
        <v>0</v>
      </c>
      <c r="N5" s="31">
        <f>SUMPRODUCT('Животные'!D5:ZZ5,'Животные'!D$3:ZZ$3%)</f>
        <v>0</v>
      </c>
      <c r="O5" s="123">
        <f t="shared" ref="O5:O11" si="1">ROUND(SUM(D5:N5),2)</f>
        <v>0</v>
      </c>
      <c r="P5" s="124" t="s">
        <v>93</v>
      </c>
      <c r="Q5" s="124"/>
      <c r="R5" s="117" t="s">
        <v>92</v>
      </c>
      <c r="S5" s="21"/>
      <c r="T5" s="21"/>
      <c r="U5" s="21"/>
      <c r="V5" s="21"/>
      <c r="W5" s="21"/>
      <c r="X5" s="21"/>
    </row>
    <row r="6" ht="14.25" customHeight="1">
      <c r="A6" s="21" t="s">
        <v>94</v>
      </c>
      <c r="B6" s="22" t="s">
        <v>95</v>
      </c>
      <c r="C6" s="22"/>
      <c r="D6" s="21">
        <f>SUMPRODUCT('Фрукты'!D6:ZY6,'Фрукты'!D$3:ZY$3%)</f>
        <v>0</v>
      </c>
      <c r="E6" s="21">
        <f>SUMPRODUCT('Овощи'!D6:AAB6,'Овощи'!D$3:AAB$3%)</f>
        <v>0</v>
      </c>
      <c r="F6" s="21">
        <f>SUMPRODUCT('Орехи и семена'!D6:ZZ6,'Орехи и семена'!D$3:ZZ$3%)</f>
        <v>0</v>
      </c>
      <c r="G6" s="21">
        <f>SUMPRODUCT('Зерновые'!D6:AAD6,'Зерновые'!D$3:AAD$3%)</f>
        <v>0</v>
      </c>
      <c r="H6" s="21">
        <f>SUMPRODUCT('Бобовые'!D6:AAA6,'Бобовые'!D$3:AAA$3%)</f>
        <v>0</v>
      </c>
      <c r="I6" s="21">
        <f>SUMPRODUCT('Масла'!D6:ZZ6,'Масла'!D$3:ZZ$3%)</f>
        <v>0</v>
      </c>
      <c r="J6" s="21">
        <f>SUMPRODUCT('Грибы'!D6:ZZ6,'Грибы'!D$3:ZZ$3%)</f>
        <v>0</v>
      </c>
      <c r="K6" s="21">
        <f>SUMPRODUCT('Травы и специи'!D6:ZV6,'Травы и специи'!D$3:ZV$3%)</f>
        <v>0</v>
      </c>
      <c r="L6" s="21">
        <f>SUMPRODUCT('Добавки'!D6:ZZ6,'Добавки'!D$3:ZZ$3%)</f>
        <v>0</v>
      </c>
      <c r="M6" s="88">
        <f>SUMPRODUCT('Психоактивы'!D6:ZZ6,'Психоактивы'!D$3:ZZ$3%)</f>
        <v>0</v>
      </c>
      <c r="N6" s="31">
        <f>SUMPRODUCT('Животные'!D6:ZZ6,'Животные'!D$3:ZZ$3%)</f>
        <v>0</v>
      </c>
      <c r="O6" s="123">
        <f t="shared" si="1"/>
        <v>0</v>
      </c>
      <c r="P6" s="124" t="s">
        <v>95</v>
      </c>
      <c r="Q6" s="124"/>
      <c r="R6" s="117" t="s">
        <v>94</v>
      </c>
      <c r="S6" s="21"/>
      <c r="T6" s="21"/>
      <c r="U6" s="21"/>
      <c r="V6" s="21"/>
      <c r="W6" s="21"/>
      <c r="X6" s="21"/>
    </row>
    <row r="7" ht="14.25" customHeight="1">
      <c r="A7" s="21" t="s">
        <v>96</v>
      </c>
      <c r="B7" s="22" t="s">
        <v>97</v>
      </c>
      <c r="C7" s="22" t="s">
        <v>98</v>
      </c>
      <c r="D7" s="21">
        <f>SUMPRODUCT('Фрукты'!D7:ZY7,'Фрукты'!D$3:ZY$3%)</f>
        <v>0</v>
      </c>
      <c r="E7" s="21">
        <f>SUMPRODUCT('Овощи'!D7:AAB7,'Овощи'!D$3:AAB$3%)</f>
        <v>0</v>
      </c>
      <c r="F7" s="21">
        <f>SUMPRODUCT('Орехи и семена'!D7:ZZ7,'Орехи и семена'!D$3:ZZ$3%)</f>
        <v>0</v>
      </c>
      <c r="G7" s="21">
        <f>SUMPRODUCT('Зерновые'!D7:AAD7,'Зерновые'!D$3:AAD$3%)</f>
        <v>0</v>
      </c>
      <c r="H7" s="21">
        <f>SUMPRODUCT('Бобовые'!D7:AAA7,'Бобовые'!D$3:AAA$3%)</f>
        <v>0</v>
      </c>
      <c r="I7" s="21">
        <f>SUMPRODUCT('Масла'!D7:ZZ7,'Масла'!D$3:ZZ$3%)</f>
        <v>0</v>
      </c>
      <c r="J7" s="21">
        <f>SUMPRODUCT('Грибы'!D7:ZZ7,'Грибы'!D$3:ZZ$3%)</f>
        <v>0</v>
      </c>
      <c r="K7" s="21">
        <f>SUMPRODUCT('Травы и специи'!D7:ZV7,'Травы и специи'!D$3:ZV$3%)</f>
        <v>0</v>
      </c>
      <c r="L7" s="21">
        <f>SUMPRODUCT('Добавки'!D7:ZZ7,'Добавки'!D$3:ZZ$3%)</f>
        <v>0</v>
      </c>
      <c r="M7" s="88">
        <f>SUMPRODUCT('Психоактивы'!D7:ZZ7,'Психоактивы'!D$3:ZZ$3%)</f>
        <v>0</v>
      </c>
      <c r="N7" s="31">
        <f>SUMPRODUCT('Животные'!D7:ZZ7,'Животные'!D$3:ZZ$3%)</f>
        <v>0</v>
      </c>
      <c r="O7" s="123">
        <f t="shared" si="1"/>
        <v>0</v>
      </c>
      <c r="P7" s="125">
        <f>P2*0.8</f>
        <v>48</v>
      </c>
      <c r="Q7" s="125">
        <f>P2*2</f>
        <v>120</v>
      </c>
      <c r="R7" s="117" t="s">
        <v>96</v>
      </c>
      <c r="S7" s="21"/>
      <c r="T7" s="21"/>
      <c r="U7" s="21"/>
      <c r="V7" s="21"/>
      <c r="W7" s="21"/>
      <c r="X7" s="21"/>
    </row>
    <row r="8" ht="14.25" customHeight="1">
      <c r="A8" s="21" t="s">
        <v>99</v>
      </c>
      <c r="B8" s="22" t="s">
        <v>100</v>
      </c>
      <c r="C8" s="22"/>
      <c r="D8" s="21">
        <f>SUMPRODUCT('Фрукты'!D8:ZY8,'Фрукты'!D$3:ZY$3%)</f>
        <v>0</v>
      </c>
      <c r="E8" s="21">
        <f>SUMPRODUCT('Овощи'!D8:AAB8,'Овощи'!D$3:AAB$3%)</f>
        <v>0</v>
      </c>
      <c r="F8" s="21">
        <f>SUMPRODUCT('Орехи и семена'!D8:ZZ8,'Орехи и семена'!D$3:ZZ$3%)</f>
        <v>0</v>
      </c>
      <c r="G8" s="21">
        <f>SUMPRODUCT('Зерновые'!D8:AAD8,'Зерновые'!D$3:AAD$3%)</f>
        <v>0</v>
      </c>
      <c r="H8" s="21">
        <f>SUMPRODUCT('Бобовые'!D8:AAA8,'Бобовые'!D$3:AAA$3%)</f>
        <v>0</v>
      </c>
      <c r="I8" s="21">
        <f>SUMPRODUCT('Масла'!D8:ZZ8,'Масла'!D$3:ZZ$3%)</f>
        <v>0</v>
      </c>
      <c r="J8" s="21">
        <f>SUMPRODUCT('Грибы'!D8:ZZ8,'Грибы'!D$3:ZZ$3%)</f>
        <v>0</v>
      </c>
      <c r="K8" s="21">
        <f>SUMPRODUCT('Травы и специи'!D8:ZV8,'Травы и специи'!D$3:ZV$3%)</f>
        <v>0</v>
      </c>
      <c r="L8" s="21">
        <f>SUMPRODUCT('Добавки'!D8:ZZ8,'Добавки'!D$3:ZZ$3%)</f>
        <v>0</v>
      </c>
      <c r="M8" s="88">
        <f>SUMPRODUCT('Психоактивы'!D8:ZZ8,'Психоактивы'!D$3:ZZ$3%)</f>
        <v>0</v>
      </c>
      <c r="N8" s="31">
        <f>SUMPRODUCT('Животные'!D8:ZZ8,'Животные'!D$3:ZZ$3%)</f>
        <v>0</v>
      </c>
      <c r="O8" s="123">
        <f t="shared" si="1"/>
        <v>0</v>
      </c>
      <c r="P8" s="124" t="s">
        <v>100</v>
      </c>
      <c r="Q8" s="124"/>
      <c r="R8" s="117" t="s">
        <v>99</v>
      </c>
      <c r="S8" s="21"/>
      <c r="T8" s="21"/>
      <c r="U8" s="21"/>
      <c r="V8" s="21"/>
      <c r="W8" s="21"/>
      <c r="X8" s="21"/>
    </row>
    <row r="9" ht="14.25" customHeight="1">
      <c r="A9" s="21" t="s">
        <v>101</v>
      </c>
      <c r="B9" s="22" t="s">
        <v>102</v>
      </c>
      <c r="C9" s="22"/>
      <c r="D9" s="21">
        <f>SUMPRODUCT('Фрукты'!D9:ZY9,'Фрукты'!D$3:ZY$3%)</f>
        <v>0</v>
      </c>
      <c r="E9" s="21">
        <f>SUMPRODUCT('Овощи'!D9:AAB9,'Овощи'!D$3:AAB$3%)</f>
        <v>0</v>
      </c>
      <c r="F9" s="21">
        <f>SUMPRODUCT('Орехи и семена'!D9:ZZ9,'Орехи и семена'!D$3:ZZ$3%)</f>
        <v>0</v>
      </c>
      <c r="G9" s="21">
        <f>SUMPRODUCT('Зерновые'!D9:AAD9,'Зерновые'!D$3:AAD$3%)</f>
        <v>0</v>
      </c>
      <c r="H9" s="21">
        <f>SUMPRODUCT('Бобовые'!D9:AAA9,'Бобовые'!D$3:AAA$3%)</f>
        <v>0</v>
      </c>
      <c r="I9" s="21">
        <f>SUMPRODUCT('Масла'!D9:ZZ9,'Масла'!D$3:ZZ$3%)</f>
        <v>0</v>
      </c>
      <c r="J9" s="21">
        <f>SUMPRODUCT('Грибы'!D9:ZZ9,'Грибы'!D$3:ZZ$3%)</f>
        <v>0</v>
      </c>
      <c r="K9" s="21">
        <f>SUMPRODUCT('Травы и специи'!D9:ZV9,'Травы и специи'!D$3:ZV$3%)</f>
        <v>0</v>
      </c>
      <c r="L9" s="21">
        <f>SUMPRODUCT('Добавки'!D9:ZZ9,'Добавки'!D$3:ZZ$3%)</f>
        <v>0</v>
      </c>
      <c r="M9" s="88">
        <f>SUMPRODUCT('Психоактивы'!D9:ZZ9,'Психоактивы'!D$3:ZZ$3%)</f>
        <v>0</v>
      </c>
      <c r="N9" s="31">
        <f>SUMPRODUCT('Животные'!D9:ZZ9,'Животные'!D$3:ZZ$3%)</f>
        <v>0</v>
      </c>
      <c r="O9" s="123">
        <f t="shared" si="1"/>
        <v>0</v>
      </c>
      <c r="P9" s="124" t="s">
        <v>102</v>
      </c>
      <c r="Q9" s="124"/>
      <c r="R9" s="117" t="s">
        <v>101</v>
      </c>
      <c r="S9" s="21"/>
      <c r="T9" s="21"/>
      <c r="U9" s="21"/>
      <c r="V9" s="21"/>
      <c r="W9" s="21"/>
      <c r="X9" s="21"/>
    </row>
    <row r="10" ht="14.25" customHeight="1">
      <c r="A10" s="21" t="s">
        <v>103</v>
      </c>
      <c r="B10" s="22" t="s">
        <v>104</v>
      </c>
      <c r="C10" s="22"/>
      <c r="D10" s="21">
        <f>SUMPRODUCT('Фрукты'!D10:ZY10,'Фрукты'!D$3:ZY$3%)</f>
        <v>0</v>
      </c>
      <c r="E10" s="21">
        <f>SUMPRODUCT('Овощи'!D10:AAB10,'Овощи'!D$3:AAB$3%)</f>
        <v>0</v>
      </c>
      <c r="F10" s="21">
        <f>SUMPRODUCT('Орехи и семена'!D10:ZZ10,'Орехи и семена'!D$3:ZZ$3%)</f>
        <v>0</v>
      </c>
      <c r="G10" s="21">
        <f>SUMPRODUCT('Зерновые'!D10:AAD10,'Зерновые'!D$3:AAD$3%)</f>
        <v>0</v>
      </c>
      <c r="H10" s="21">
        <f>SUMPRODUCT('Бобовые'!D10:AAA10,'Бобовые'!D$3:AAA$3%)</f>
        <v>0</v>
      </c>
      <c r="I10" s="21">
        <f>SUMPRODUCT('Масла'!D10:ZZ10,'Масла'!D$3:ZZ$3%)</f>
        <v>0</v>
      </c>
      <c r="J10" s="21">
        <f>SUMPRODUCT('Грибы'!D10:ZZ10,'Грибы'!D$3:ZZ$3%)</f>
        <v>0</v>
      </c>
      <c r="K10" s="21">
        <f>SUMPRODUCT('Травы и специи'!D10:ZV10,'Травы и специи'!D$3:ZV$3%)</f>
        <v>0</v>
      </c>
      <c r="L10" s="21">
        <f>SUMPRODUCT('Добавки'!D10:ZZ10,'Добавки'!D$3:ZZ$3%)</f>
        <v>0</v>
      </c>
      <c r="M10" s="88">
        <f>SUMPRODUCT('Психоактивы'!D10:ZZ10,'Психоактивы'!D$3:ZZ$3%)</f>
        <v>0</v>
      </c>
      <c r="N10" s="31">
        <f>SUMPRODUCT('Животные'!D10:ZZ10,'Животные'!D$3:ZZ$3%)</f>
        <v>0</v>
      </c>
      <c r="O10" s="123">
        <f t="shared" si="1"/>
        <v>0</v>
      </c>
      <c r="P10" s="124" t="s">
        <v>104</v>
      </c>
      <c r="Q10" s="124"/>
      <c r="R10" s="117" t="s">
        <v>103</v>
      </c>
      <c r="S10" s="21"/>
      <c r="T10" s="21"/>
      <c r="U10" s="21"/>
      <c r="V10" s="21"/>
      <c r="W10" s="21"/>
      <c r="X10" s="21"/>
    </row>
    <row r="11" ht="14.25" customHeight="1">
      <c r="A11" s="21" t="s">
        <v>105</v>
      </c>
      <c r="B11" s="22"/>
      <c r="C11" s="22"/>
      <c r="D11" s="21">
        <f>SUMPRODUCT('Фрукты'!D11:ZY11,'Фрукты'!D$3:ZY$3%)</f>
        <v>0</v>
      </c>
      <c r="E11" s="21">
        <f>SUMPRODUCT('Овощи'!D11:AAB11,'Овощи'!D$3:AAB$3%)</f>
        <v>0</v>
      </c>
      <c r="F11" s="21">
        <f>SUMPRODUCT('Орехи и семена'!D11:ZZ11,'Орехи и семена'!D$3:ZZ$3%)</f>
        <v>0</v>
      </c>
      <c r="G11" s="21">
        <f>SUMPRODUCT('Зерновые'!D11:AAD11,'Зерновые'!D$3:AAD$3%)</f>
        <v>0</v>
      </c>
      <c r="H11" s="21">
        <f>SUMPRODUCT('Бобовые'!D11:AAA11,'Бобовые'!D$3:AAA$3%)</f>
        <v>0</v>
      </c>
      <c r="I11" s="21">
        <f>SUMPRODUCT('Масла'!D11:ZZ11,'Масла'!D$3:ZZ$3%)</f>
        <v>0</v>
      </c>
      <c r="J11" s="21">
        <f>SUMPRODUCT('Грибы'!D11:ZZ11,'Грибы'!D$3:ZZ$3%)</f>
        <v>0</v>
      </c>
      <c r="K11" s="21">
        <f>SUMPRODUCT('Травы и специи'!D11:ZV11,'Травы и специи'!D$3:ZV$3%)</f>
        <v>0</v>
      </c>
      <c r="L11" s="21">
        <f>SUMPRODUCT('Добавки'!D11:ZZ11,'Добавки'!D$3:ZZ$3%)</f>
        <v>0</v>
      </c>
      <c r="M11" s="88">
        <f>SUMPRODUCT('Психоактивы'!D11:ZZ11,'Психоактивы'!D$3:ZZ$3%)</f>
        <v>0</v>
      </c>
      <c r="N11" s="31">
        <f>SUMPRODUCT('Животные'!D11:ZZ11,'Животные'!D$3:ZZ$3%)</f>
        <v>0</v>
      </c>
      <c r="O11" s="123">
        <f t="shared" si="1"/>
        <v>0</v>
      </c>
      <c r="P11" s="124"/>
      <c r="Q11" s="124"/>
      <c r="R11" s="117" t="s">
        <v>105</v>
      </c>
      <c r="S11" s="21"/>
      <c r="T11" s="21"/>
      <c r="U11" s="21"/>
      <c r="V11" s="21"/>
      <c r="W11" s="21"/>
      <c r="X11" s="21"/>
    </row>
    <row r="12" ht="14.25" customHeight="1">
      <c r="A12" s="19" t="s">
        <v>106</v>
      </c>
      <c r="B12" s="27"/>
      <c r="C12" s="27"/>
      <c r="D12" s="46"/>
      <c r="E12" s="46"/>
      <c r="F12" s="46"/>
      <c r="G12" s="46"/>
      <c r="H12" s="46"/>
      <c r="I12" s="46"/>
      <c r="J12" s="46"/>
      <c r="K12" s="46"/>
      <c r="L12" s="46"/>
      <c r="M12" s="126"/>
      <c r="N12" s="127"/>
      <c r="O12" s="128"/>
      <c r="P12" s="121"/>
      <c r="Q12" s="121"/>
      <c r="R12" s="122" t="s">
        <v>106</v>
      </c>
      <c r="S12" s="46"/>
      <c r="T12" s="46"/>
      <c r="U12" s="46"/>
      <c r="V12" s="46"/>
      <c r="W12" s="46"/>
      <c r="X12" s="46"/>
      <c r="Y12" s="46"/>
      <c r="Z12" s="46"/>
    </row>
    <row r="13" ht="14.25" customHeight="1">
      <c r="A13" s="21" t="s">
        <v>107</v>
      </c>
      <c r="B13" s="22">
        <v>1000.0</v>
      </c>
      <c r="C13" s="22">
        <v>2500.0</v>
      </c>
      <c r="D13" s="21">
        <f>SUMPRODUCT('Фрукты'!D13:ZY13,'Фрукты'!D$3:ZY$3%)</f>
        <v>0</v>
      </c>
      <c r="E13" s="21">
        <f>SUMPRODUCT('Овощи'!D13:AAB13,'Овощи'!D$3:AAB$3%)</f>
        <v>0</v>
      </c>
      <c r="F13" s="21">
        <f>SUMPRODUCT('Орехи и семена'!D13:ZZ13,'Орехи и семена'!D$3:ZZ$3%)</f>
        <v>0</v>
      </c>
      <c r="G13" s="21">
        <f>SUMPRODUCT('Зерновые'!D13:AAD13,'Зерновые'!D$3:AAD$3%)</f>
        <v>0</v>
      </c>
      <c r="H13" s="21">
        <f>SUMPRODUCT('Бобовые'!D13:AAA13,'Бобовые'!D$3:AAA$3%)</f>
        <v>0</v>
      </c>
      <c r="I13" s="21">
        <f>SUMPRODUCT('Масла'!D13:ZZ13,'Масла'!D$3:ZZ$3%)</f>
        <v>0</v>
      </c>
      <c r="J13" s="21">
        <f>SUMPRODUCT('Грибы'!D13:ZZ13,'Грибы'!D$3:ZZ$3%)</f>
        <v>0</v>
      </c>
      <c r="K13" s="21">
        <f>SUMPRODUCT('Травы и специи'!D13:ZV13,'Травы и специи'!D$3:ZV$3%)</f>
        <v>0</v>
      </c>
      <c r="L13" s="21">
        <f>SUMPRODUCT('Добавки'!D13:ZZ13,'Добавки'!D$3:ZZ$3%)</f>
        <v>0</v>
      </c>
      <c r="M13" s="88">
        <f>SUMPRODUCT('Психоактивы'!D13:ZZ13,'Психоактивы'!D$3:ZZ$3%)</f>
        <v>0</v>
      </c>
      <c r="N13" s="31">
        <f>SUMPRODUCT('Животные'!D13:ZZ13,'Животные'!D$3:ZZ$3%)</f>
        <v>0</v>
      </c>
      <c r="O13" s="123">
        <f t="shared" ref="O13:O23" si="2">ROUND(SUM(D13:N13),2)</f>
        <v>0</v>
      </c>
      <c r="P13" s="124">
        <v>1000.0</v>
      </c>
      <c r="Q13" s="124">
        <v>2500.0</v>
      </c>
      <c r="R13" s="117" t="s">
        <v>107</v>
      </c>
      <c r="S13" s="21"/>
      <c r="T13" s="21"/>
      <c r="U13" s="21"/>
      <c r="V13" s="21"/>
      <c r="W13" s="21"/>
      <c r="X13" s="21"/>
    </row>
    <row r="14" ht="14.25" customHeight="1">
      <c r="A14" s="21" t="s">
        <v>108</v>
      </c>
      <c r="B14" s="22" t="s">
        <v>109</v>
      </c>
      <c r="C14" s="22" t="s">
        <v>110</v>
      </c>
      <c r="D14" s="21">
        <f>SUMPRODUCT('Фрукты'!D14:ZY14,'Фрукты'!D$3:ZY$3%)</f>
        <v>0</v>
      </c>
      <c r="E14" s="21">
        <f>SUMPRODUCT('Овощи'!D14:AAB14,'Овощи'!D$3:AAB$3%)</f>
        <v>0</v>
      </c>
      <c r="F14" s="21">
        <f>SUMPRODUCT('Орехи и семена'!D14:ZZ14,'Орехи и семена'!D$3:ZZ$3%)</f>
        <v>0</v>
      </c>
      <c r="G14" s="21">
        <f>SUMPRODUCT('Зерновые'!D14:AAD14,'Зерновые'!D$3:AAD$3%)</f>
        <v>0</v>
      </c>
      <c r="H14" s="21">
        <f>SUMPRODUCT('Бобовые'!D14:AAA14,'Бобовые'!D$3:AAA$3%)</f>
        <v>0</v>
      </c>
      <c r="I14" s="21">
        <f>SUMPRODUCT('Масла'!D14:ZZ14,'Масла'!D$3:ZZ$3%)</f>
        <v>0</v>
      </c>
      <c r="J14" s="21">
        <f>SUMPRODUCT('Грибы'!D14:ZZ14,'Грибы'!D$3:ZZ$3%)</f>
        <v>0</v>
      </c>
      <c r="K14" s="21">
        <f>SUMPRODUCT('Травы и специи'!D14:ZV14,'Травы и специи'!D$3:ZV$3%)</f>
        <v>0</v>
      </c>
      <c r="L14" s="21">
        <f>SUMPRODUCT('Добавки'!D14:ZZ14,'Добавки'!D$3:ZZ$3%)</f>
        <v>0</v>
      </c>
      <c r="M14" s="88">
        <f>SUMPRODUCT('Психоактивы'!D14:ZZ14,'Психоактивы'!D$3:ZZ$3%)</f>
        <v>0</v>
      </c>
      <c r="N14" s="31">
        <f>SUMPRODUCT('Животные'!D14:ZZ14,'Животные'!D$3:ZZ$3%)</f>
        <v>0</v>
      </c>
      <c r="O14" s="123">
        <f t="shared" si="2"/>
        <v>0</v>
      </c>
      <c r="P14" s="124" t="s">
        <v>109</v>
      </c>
      <c r="Q14" s="124" t="s">
        <v>110</v>
      </c>
      <c r="R14" s="117" t="s">
        <v>108</v>
      </c>
      <c r="S14" s="21"/>
      <c r="T14" s="21"/>
      <c r="U14" s="21"/>
      <c r="V14" s="21"/>
      <c r="W14" s="21"/>
      <c r="X14" s="21"/>
    </row>
    <row r="15" ht="14.25" customHeight="1">
      <c r="A15" s="21" t="s">
        <v>111</v>
      </c>
      <c r="B15" s="22" t="s">
        <v>112</v>
      </c>
      <c r="C15" s="22">
        <v>350.0</v>
      </c>
      <c r="D15" s="21">
        <f>SUMPRODUCT('Фрукты'!D15:ZY15,'Фрукты'!D$3:ZY$3%)</f>
        <v>0</v>
      </c>
      <c r="E15" s="21">
        <f>SUMPRODUCT('Овощи'!D15:AAB15,'Овощи'!D$3:AAB$3%)</f>
        <v>0</v>
      </c>
      <c r="F15" s="21">
        <f>SUMPRODUCT('Орехи и семена'!D15:ZZ15,'Орехи и семена'!D$3:ZZ$3%)</f>
        <v>0</v>
      </c>
      <c r="G15" s="21">
        <f>SUMPRODUCT('Зерновые'!D15:AAD15,'Зерновые'!D$3:AAD$3%)</f>
        <v>0</v>
      </c>
      <c r="H15" s="21">
        <f>SUMPRODUCT('Бобовые'!D15:AAA15,'Бобовые'!D$3:AAA$3%)</f>
        <v>0</v>
      </c>
      <c r="I15" s="21">
        <f>SUMPRODUCT('Масла'!D15:ZZ15,'Масла'!D$3:ZZ$3%)</f>
        <v>0</v>
      </c>
      <c r="J15" s="21">
        <f>SUMPRODUCT('Грибы'!D15:ZZ15,'Грибы'!D$3:ZZ$3%)</f>
        <v>0</v>
      </c>
      <c r="K15" s="21">
        <f>SUMPRODUCT('Травы и специи'!D15:ZV15,'Травы и специи'!D$3:ZV$3%)</f>
        <v>0</v>
      </c>
      <c r="L15" s="21">
        <f>SUMPRODUCT('Добавки'!D15:ZZ15,'Добавки'!D$3:ZZ$3%)</f>
        <v>0</v>
      </c>
      <c r="M15" s="88">
        <f>SUMPRODUCT('Психоактивы'!D15:ZZ15,'Психоактивы'!D$3:ZZ$3%)</f>
        <v>0</v>
      </c>
      <c r="N15" s="31">
        <f>SUMPRODUCT('Животные'!D15:ZZ15,'Животные'!D$3:ZZ$3%)</f>
        <v>0</v>
      </c>
      <c r="O15" s="123">
        <f t="shared" si="2"/>
        <v>0</v>
      </c>
      <c r="P15" s="124" t="s">
        <v>112</v>
      </c>
      <c r="Q15" s="124">
        <v>350.0</v>
      </c>
      <c r="R15" s="117" t="s">
        <v>111</v>
      </c>
      <c r="S15" s="21"/>
      <c r="T15" s="21"/>
      <c r="U15" s="21"/>
      <c r="V15" s="21"/>
      <c r="W15" s="21"/>
      <c r="X15" s="21"/>
    </row>
    <row r="16" ht="14.25" customHeight="1">
      <c r="A16" s="21" t="s">
        <v>113</v>
      </c>
      <c r="B16" s="22" t="s">
        <v>114</v>
      </c>
      <c r="C16" s="22">
        <v>4000.0</v>
      </c>
      <c r="D16" s="21">
        <f>SUMPRODUCT('Фрукты'!D16:ZY16,'Фрукты'!D$3:ZY$3%)</f>
        <v>0</v>
      </c>
      <c r="E16" s="21">
        <f>SUMPRODUCT('Овощи'!D16:AAB16,'Овощи'!D$3:AAB$3%)</f>
        <v>0</v>
      </c>
      <c r="F16" s="21">
        <f>SUMPRODUCT('Орехи и семена'!D16:ZZ16,'Орехи и семена'!D$3:ZZ$3%)</f>
        <v>0</v>
      </c>
      <c r="G16" s="21">
        <f>SUMPRODUCT('Зерновые'!D16:AAD16,'Зерновые'!D$3:AAD$3%)</f>
        <v>0</v>
      </c>
      <c r="H16" s="21">
        <f>SUMPRODUCT('Бобовые'!D16:AAA16,'Бобовые'!D$3:AAA$3%)</f>
        <v>0</v>
      </c>
      <c r="I16" s="21">
        <f>SUMPRODUCT('Масла'!D16:ZZ16,'Масла'!D$3:ZZ$3%)</f>
        <v>0</v>
      </c>
      <c r="J16" s="21">
        <f>SUMPRODUCT('Грибы'!D16:ZZ16,'Грибы'!D$3:ZZ$3%)</f>
        <v>0</v>
      </c>
      <c r="K16" s="21">
        <f>SUMPRODUCT('Травы и специи'!D16:ZV16,'Травы и специи'!D$3:ZV$3%)</f>
        <v>0</v>
      </c>
      <c r="L16" s="21">
        <f>SUMPRODUCT('Добавки'!D16:ZZ16,'Добавки'!D$3:ZZ$3%)</f>
        <v>0</v>
      </c>
      <c r="M16" s="88">
        <f>SUMPRODUCT('Психоактивы'!D16:ZZ16,'Психоактивы'!D$3:ZZ$3%)</f>
        <v>0</v>
      </c>
      <c r="N16" s="31">
        <f>SUMPRODUCT('Животные'!D16:ZZ16,'Животные'!D$3:ZZ$3%)</f>
        <v>0</v>
      </c>
      <c r="O16" s="123">
        <f t="shared" si="2"/>
        <v>0</v>
      </c>
      <c r="P16" s="124" t="s">
        <v>114</v>
      </c>
      <c r="Q16" s="124">
        <v>4000.0</v>
      </c>
      <c r="R16" s="117" t="s">
        <v>113</v>
      </c>
      <c r="S16" s="21"/>
      <c r="T16" s="21"/>
      <c r="U16" s="21"/>
      <c r="V16" s="21"/>
      <c r="W16" s="21"/>
      <c r="X16" s="21"/>
    </row>
    <row r="17" ht="14.25" customHeight="1">
      <c r="A17" s="21" t="s">
        <v>115</v>
      </c>
      <c r="B17" s="22" t="s">
        <v>116</v>
      </c>
      <c r="C17" s="22" t="s">
        <v>100</v>
      </c>
      <c r="D17" s="21">
        <f>SUMPRODUCT('Фрукты'!D17:ZY17,'Фрукты'!D$3:ZY$3%)</f>
        <v>0</v>
      </c>
      <c r="E17" s="21">
        <f>SUMPRODUCT('Овощи'!D17:AAB17,'Овощи'!D$3:AAB$3%)</f>
        <v>0</v>
      </c>
      <c r="F17" s="21">
        <f>SUMPRODUCT('Орехи и семена'!D17:ZZ17,'Орехи и семена'!D$3:ZZ$3%)</f>
        <v>0</v>
      </c>
      <c r="G17" s="21">
        <f>SUMPRODUCT('Зерновые'!D17:AAD17,'Зерновые'!D$3:AAD$3%)</f>
        <v>0</v>
      </c>
      <c r="H17" s="21">
        <f>SUMPRODUCT('Бобовые'!D17:AAA17,'Бобовые'!D$3:AAA$3%)</f>
        <v>0</v>
      </c>
      <c r="I17" s="21">
        <f>SUMPRODUCT('Масла'!D17:ZZ17,'Масла'!D$3:ZZ$3%)</f>
        <v>0</v>
      </c>
      <c r="J17" s="21">
        <f>SUMPRODUCT('Грибы'!D17:ZZ17,'Грибы'!D$3:ZZ$3%)</f>
        <v>0</v>
      </c>
      <c r="K17" s="21">
        <f>SUMPRODUCT('Травы и специи'!D17:ZV17,'Травы и специи'!D$3:ZV$3%)</f>
        <v>0</v>
      </c>
      <c r="L17" s="21">
        <f>SUMPRODUCT('Добавки'!D17:ZZ17,'Добавки'!D$3:ZZ$3%)</f>
        <v>0</v>
      </c>
      <c r="M17" s="88">
        <f>SUMPRODUCT('Психоактивы'!D17:ZZ17,'Психоактивы'!D$3:ZZ$3%)</f>
        <v>0</v>
      </c>
      <c r="N17" s="31">
        <f>SUMPRODUCT('Животные'!D17:ZZ17,'Животные'!D$3:ZZ$3%)</f>
        <v>0</v>
      </c>
      <c r="O17" s="123">
        <f t="shared" si="2"/>
        <v>0</v>
      </c>
      <c r="P17" s="124" t="s">
        <v>116</v>
      </c>
      <c r="Q17" s="124" t="s">
        <v>100</v>
      </c>
      <c r="R17" s="117" t="s">
        <v>115</v>
      </c>
      <c r="S17" s="21"/>
      <c r="T17" s="21"/>
      <c r="U17" s="21"/>
      <c r="V17" s="21"/>
      <c r="W17" s="21"/>
      <c r="X17" s="21"/>
    </row>
    <row r="18" ht="14.25" customHeight="1">
      <c r="A18" s="21" t="s">
        <v>117</v>
      </c>
      <c r="B18" s="22" t="s">
        <v>118</v>
      </c>
      <c r="C18" s="22">
        <v>2300.0</v>
      </c>
      <c r="D18" s="21">
        <f>SUMPRODUCT('Фрукты'!D18:ZY18,'Фрукты'!D$3:ZY$3%)</f>
        <v>0</v>
      </c>
      <c r="E18" s="21">
        <f>SUMPRODUCT('Овощи'!D18:AAB18,'Овощи'!D$3:AAB$3%)</f>
        <v>0</v>
      </c>
      <c r="F18" s="21">
        <f>SUMPRODUCT('Орехи и семена'!D18:ZZ18,'Орехи и семена'!D$3:ZZ$3%)</f>
        <v>0</v>
      </c>
      <c r="G18" s="21">
        <f>SUMPRODUCT('Зерновые'!D18:AAD18,'Зерновые'!D$3:AAD$3%)</f>
        <v>0</v>
      </c>
      <c r="H18" s="21">
        <f>SUMPRODUCT('Бобовые'!D18:AAA18,'Бобовые'!D$3:AAA$3%)</f>
        <v>0</v>
      </c>
      <c r="I18" s="21">
        <f>SUMPRODUCT('Масла'!D18:ZZ18,'Масла'!D$3:ZZ$3%)</f>
        <v>0</v>
      </c>
      <c r="J18" s="21">
        <f>SUMPRODUCT('Грибы'!D18:ZZ18,'Грибы'!D$3:ZZ$3%)</f>
        <v>0</v>
      </c>
      <c r="K18" s="21">
        <f>SUMPRODUCT('Травы и специи'!D18:ZV18,'Травы и специи'!D$3:ZV$3%)</f>
        <v>0</v>
      </c>
      <c r="L18" s="21">
        <f>SUMPRODUCT('Добавки'!D18:ZZ18,'Добавки'!D$3:ZZ$3%)</f>
        <v>0</v>
      </c>
      <c r="M18" s="88">
        <f>SUMPRODUCT('Психоактивы'!D18:ZZ18,'Психоактивы'!D$3:ZZ$3%)</f>
        <v>0</v>
      </c>
      <c r="N18" s="31">
        <f>SUMPRODUCT('Животные'!D18:ZZ18,'Животные'!D$3:ZZ$3%)</f>
        <v>0</v>
      </c>
      <c r="O18" s="123">
        <f t="shared" si="2"/>
        <v>0</v>
      </c>
      <c r="P18" s="124" t="s">
        <v>118</v>
      </c>
      <c r="Q18" s="124">
        <v>2300.0</v>
      </c>
      <c r="R18" s="117" t="s">
        <v>117</v>
      </c>
      <c r="S18" s="21"/>
      <c r="T18" s="21"/>
      <c r="U18" s="21"/>
      <c r="V18" s="21"/>
      <c r="W18" s="21"/>
      <c r="X18" s="21"/>
    </row>
    <row r="19" ht="14.25" customHeight="1">
      <c r="A19" s="21" t="s">
        <v>119</v>
      </c>
      <c r="B19" s="22" t="s">
        <v>120</v>
      </c>
      <c r="C19" s="22">
        <v>40.0</v>
      </c>
      <c r="D19" s="21">
        <f>SUMPRODUCT('Фрукты'!D19:ZY19,'Фрукты'!D$3:ZY$3%)</f>
        <v>0</v>
      </c>
      <c r="E19" s="21">
        <f>SUMPRODUCT('Овощи'!D19:AAB19,'Овощи'!D$3:AAB$3%)</f>
        <v>0</v>
      </c>
      <c r="F19" s="21">
        <f>SUMPRODUCT('Орехи и семена'!D19:ZZ19,'Орехи и семена'!D$3:ZZ$3%)</f>
        <v>0</v>
      </c>
      <c r="G19" s="21">
        <f>SUMPRODUCT('Зерновые'!D19:AAD19,'Зерновые'!D$3:AAD$3%)</f>
        <v>0</v>
      </c>
      <c r="H19" s="21">
        <f>SUMPRODUCT('Бобовые'!D19:AAA19,'Бобовые'!D$3:AAA$3%)</f>
        <v>0</v>
      </c>
      <c r="I19" s="21">
        <f>SUMPRODUCT('Масла'!D19:ZZ19,'Масла'!D$3:ZZ$3%)</f>
        <v>0</v>
      </c>
      <c r="J19" s="21">
        <f>SUMPRODUCT('Грибы'!D19:ZZ19,'Грибы'!D$3:ZZ$3%)</f>
        <v>0</v>
      </c>
      <c r="K19" s="21">
        <f>SUMPRODUCT('Травы и специи'!D19:ZV19,'Травы и специи'!D$3:ZV$3%)</f>
        <v>0</v>
      </c>
      <c r="L19" s="21">
        <f>SUMPRODUCT('Добавки'!D19:ZZ19,'Добавки'!D$3:ZZ$3%)</f>
        <v>0</v>
      </c>
      <c r="M19" s="88">
        <f>SUMPRODUCT('Психоактивы'!D19:ZZ19,'Психоактивы'!D$3:ZZ$3%)</f>
        <v>0</v>
      </c>
      <c r="N19" s="31">
        <f>SUMPRODUCT('Животные'!D19:ZZ19,'Животные'!D$3:ZZ$3%)</f>
        <v>0</v>
      </c>
      <c r="O19" s="123">
        <f t="shared" si="2"/>
        <v>0</v>
      </c>
      <c r="P19" s="124" t="s">
        <v>120</v>
      </c>
      <c r="Q19" s="124">
        <v>40.0</v>
      </c>
      <c r="R19" s="117" t="s">
        <v>119</v>
      </c>
      <c r="S19" s="21"/>
      <c r="T19" s="21"/>
      <c r="U19" s="21"/>
      <c r="V19" s="21"/>
      <c r="W19" s="21"/>
      <c r="X19" s="21"/>
    </row>
    <row r="20" ht="14.25" customHeight="1">
      <c r="A20" s="21" t="s">
        <v>121</v>
      </c>
      <c r="B20" s="22" t="s">
        <v>122</v>
      </c>
      <c r="C20" s="22">
        <v>10.0</v>
      </c>
      <c r="D20" s="21">
        <f>SUMPRODUCT('Фрукты'!D20:ZY20,'Фрукты'!D$3:ZY$3%)</f>
        <v>0</v>
      </c>
      <c r="E20" s="21">
        <f>SUMPRODUCT('Овощи'!D20:AAB20,'Овощи'!D$3:AAB$3%)</f>
        <v>0</v>
      </c>
      <c r="F20" s="21">
        <f>SUMPRODUCT('Орехи и семена'!D20:ZZ20,'Орехи и семена'!D$3:ZZ$3%)</f>
        <v>0</v>
      </c>
      <c r="G20" s="21">
        <f>SUMPRODUCT('Зерновые'!D20:AAD20,'Зерновые'!D$3:AAD$3%)</f>
        <v>0</v>
      </c>
      <c r="H20" s="21">
        <f>SUMPRODUCT('Бобовые'!D20:AAA20,'Бобовые'!D$3:AAA$3%)</f>
        <v>0</v>
      </c>
      <c r="I20" s="21">
        <f>SUMPRODUCT('Масла'!D20:ZZ20,'Масла'!D$3:ZZ$3%)</f>
        <v>0</v>
      </c>
      <c r="J20" s="21">
        <f>SUMPRODUCT('Грибы'!D20:ZZ20,'Грибы'!D$3:ZZ$3%)</f>
        <v>0</v>
      </c>
      <c r="K20" s="21">
        <f>SUMPRODUCT('Травы и специи'!D20:ZV20,'Травы и специи'!D$3:ZV$3%)</f>
        <v>0</v>
      </c>
      <c r="L20" s="21">
        <f>SUMPRODUCT('Добавки'!D20:ZZ20,'Добавки'!D$3:ZZ$3%)</f>
        <v>0</v>
      </c>
      <c r="M20" s="88">
        <f>SUMPRODUCT('Психоактивы'!D20:ZZ20,'Психоактивы'!D$3:ZZ$3%)</f>
        <v>0</v>
      </c>
      <c r="N20" s="31">
        <f>SUMPRODUCT('Животные'!D20:ZZ20,'Животные'!D$3:ZZ$3%)</f>
        <v>0</v>
      </c>
      <c r="O20" s="123">
        <f t="shared" si="2"/>
        <v>0</v>
      </c>
      <c r="P20" s="124" t="s">
        <v>122</v>
      </c>
      <c r="Q20" s="124">
        <v>10.0</v>
      </c>
      <c r="R20" s="117" t="s">
        <v>121</v>
      </c>
      <c r="S20" s="21"/>
      <c r="T20" s="21"/>
      <c r="U20" s="21"/>
      <c r="V20" s="21"/>
      <c r="W20" s="21"/>
      <c r="X20" s="21"/>
    </row>
    <row r="21" ht="14.25" customHeight="1">
      <c r="A21" s="21" t="s">
        <v>123</v>
      </c>
      <c r="B21" s="22" t="s">
        <v>124</v>
      </c>
      <c r="C21" s="22">
        <v>11.0</v>
      </c>
      <c r="D21" s="21">
        <f>SUMPRODUCT('Фрукты'!D21:ZY21,'Фрукты'!D$3:ZY$3%)</f>
        <v>0</v>
      </c>
      <c r="E21" s="21">
        <f>SUMPRODUCT('Овощи'!D21:AAB21,'Овощи'!D$3:AAB$3%)</f>
        <v>0</v>
      </c>
      <c r="F21" s="21">
        <f>SUMPRODUCT('Орехи и семена'!D21:ZZ21,'Орехи и семена'!D$3:ZZ$3%)</f>
        <v>0</v>
      </c>
      <c r="G21" s="21">
        <f>SUMPRODUCT('Зерновые'!D21:AAD21,'Зерновые'!D$3:AAD$3%)</f>
        <v>0</v>
      </c>
      <c r="H21" s="21">
        <f>SUMPRODUCT('Бобовые'!D21:AAA21,'Бобовые'!D$3:AAA$3%)</f>
        <v>0</v>
      </c>
      <c r="I21" s="21">
        <f>SUMPRODUCT('Масла'!D21:ZZ21,'Масла'!D$3:ZZ$3%)</f>
        <v>0</v>
      </c>
      <c r="J21" s="21">
        <f>SUMPRODUCT('Грибы'!D21:ZZ21,'Грибы'!D$3:ZZ$3%)</f>
        <v>0</v>
      </c>
      <c r="K21" s="21">
        <f>SUMPRODUCT('Травы и специи'!D21:ZV21,'Травы и специи'!D$3:ZV$3%)</f>
        <v>0</v>
      </c>
      <c r="L21" s="21">
        <f>SUMPRODUCT('Добавки'!D21:ZZ21,'Добавки'!D$3:ZZ$3%)</f>
        <v>0</v>
      </c>
      <c r="M21" s="88">
        <f>SUMPRODUCT('Психоактивы'!D21:ZZ21,'Психоактивы'!D$3:ZZ$3%)</f>
        <v>0</v>
      </c>
      <c r="N21" s="31">
        <f>SUMPRODUCT('Животные'!D21:ZZ21,'Животные'!D$3:ZZ$3%)</f>
        <v>0</v>
      </c>
      <c r="O21" s="123">
        <f t="shared" si="2"/>
        <v>0</v>
      </c>
      <c r="P21" s="124" t="s">
        <v>124</v>
      </c>
      <c r="Q21" s="124">
        <v>11.0</v>
      </c>
      <c r="R21" s="117" t="s">
        <v>123</v>
      </c>
      <c r="S21" s="21"/>
      <c r="T21" s="21"/>
      <c r="U21" s="21"/>
      <c r="V21" s="21"/>
      <c r="W21" s="21"/>
      <c r="X21" s="21"/>
    </row>
    <row r="22" ht="14.25" customHeight="1">
      <c r="A22" s="21" t="s">
        <v>125</v>
      </c>
      <c r="B22" s="22" t="s">
        <v>126</v>
      </c>
      <c r="C22" s="22">
        <v>400.0</v>
      </c>
      <c r="D22" s="21">
        <f>SUMPRODUCT('Фрукты'!D22:ZY22,'Фрукты'!D$3:ZY$3%)</f>
        <v>0</v>
      </c>
      <c r="E22" s="21">
        <f>SUMPRODUCT('Овощи'!D22:AAB22,'Овощи'!D$3:AAB$3%)</f>
        <v>0</v>
      </c>
      <c r="F22" s="21">
        <f>SUMPRODUCT('Орехи и семена'!D22:ZZ22,'Орехи и семена'!D$3:ZZ$3%)</f>
        <v>0</v>
      </c>
      <c r="G22" s="21">
        <f>SUMPRODUCT('Зерновые'!D22:AAD22,'Зерновые'!D$3:AAD$3%)</f>
        <v>0</v>
      </c>
      <c r="H22" s="21">
        <f>SUMPRODUCT('Бобовые'!D22:AAA22,'Бобовые'!D$3:AAA$3%)</f>
        <v>0</v>
      </c>
      <c r="I22" s="21">
        <f>SUMPRODUCT('Масла'!D22:ZZ22,'Масла'!D$3:ZZ$3%)</f>
        <v>0</v>
      </c>
      <c r="J22" s="21">
        <f>SUMPRODUCT('Грибы'!D22:ZZ22,'Грибы'!D$3:ZZ$3%)</f>
        <v>0</v>
      </c>
      <c r="K22" s="21">
        <f>SUMPRODUCT('Травы и специи'!D22:ZV22,'Травы и специи'!D$3:ZV$3%)</f>
        <v>0</v>
      </c>
      <c r="L22" s="21">
        <f>SUMPRODUCT('Добавки'!D22:ZZ22,'Добавки'!D$3:ZZ$3%)</f>
        <v>0</v>
      </c>
      <c r="M22" s="88">
        <f>SUMPRODUCT('Психоактивы'!D22:ZZ22,'Психоактивы'!D$3:ZZ$3%)</f>
        <v>0</v>
      </c>
      <c r="N22" s="31">
        <f>SUMPRODUCT('Животные'!D22:ZZ22,'Животные'!D$3:ZZ$3%)</f>
        <v>0</v>
      </c>
      <c r="O22" s="123">
        <f t="shared" si="2"/>
        <v>0</v>
      </c>
      <c r="P22" s="124" t="s">
        <v>126</v>
      </c>
      <c r="Q22" s="124">
        <v>400.0</v>
      </c>
      <c r="R22" s="117" t="s">
        <v>125</v>
      </c>
      <c r="S22" s="21"/>
      <c r="T22" s="21"/>
      <c r="U22" s="21"/>
      <c r="V22" s="21"/>
      <c r="W22" s="21"/>
      <c r="X22" s="21"/>
    </row>
    <row r="23" ht="14.25" customHeight="1">
      <c r="A23" s="21" t="s">
        <v>127</v>
      </c>
      <c r="B23" s="22" t="s">
        <v>128</v>
      </c>
      <c r="C23" s="22" t="s">
        <v>129</v>
      </c>
      <c r="D23" s="21">
        <f>SUMPRODUCT('Фрукты'!D23:ZY23,'Фрукты'!D$3:ZY$3%)</f>
        <v>0</v>
      </c>
      <c r="E23" s="21">
        <f>SUMPRODUCT('Овощи'!D23:AAB23,'Овощи'!D$3:AAB$3%)</f>
        <v>0</v>
      </c>
      <c r="F23" s="21">
        <f>SUMPRODUCT('Орехи и семена'!D23:ZZ23,'Орехи и семена'!D$3:ZZ$3%)</f>
        <v>0</v>
      </c>
      <c r="G23" s="21">
        <f>SUMPRODUCT('Зерновые'!D23:AAD23,'Зерновые'!D$3:AAD$3%)</f>
        <v>0</v>
      </c>
      <c r="H23" s="21">
        <f>SUMPRODUCT('Бобовые'!D23:AAA23,'Бобовые'!D$3:AAA$3%)</f>
        <v>0</v>
      </c>
      <c r="I23" s="21">
        <f>SUMPRODUCT('Масла'!D23:ZZ23,'Масла'!D$3:ZZ$3%)</f>
        <v>0</v>
      </c>
      <c r="J23" s="21">
        <f>SUMPRODUCT('Грибы'!D23:ZZ23,'Грибы'!D$3:ZZ$3%)</f>
        <v>0</v>
      </c>
      <c r="K23" s="21">
        <f>SUMPRODUCT('Травы и специи'!D23:ZV23,'Травы и специи'!D$3:ZV$3%)</f>
        <v>0</v>
      </c>
      <c r="L23" s="21">
        <f>SUMPRODUCT('Добавки'!D23:ZZ23,'Добавки'!D$3:ZZ$3%)</f>
        <v>0</v>
      </c>
      <c r="M23" s="88">
        <f>SUMPRODUCT('Психоактивы'!D23:ZZ23,'Психоактивы'!D$3:ZZ$3%)</f>
        <v>0</v>
      </c>
      <c r="N23" s="31">
        <f>SUMPRODUCT('Животные'!D23:ZZ23,'Животные'!D$3:ZZ$3%)</f>
        <v>0</v>
      </c>
      <c r="O23" s="123">
        <f t="shared" si="2"/>
        <v>0</v>
      </c>
      <c r="P23" s="124" t="s">
        <v>128</v>
      </c>
      <c r="Q23" s="124" t="s">
        <v>129</v>
      </c>
      <c r="R23" s="117" t="s">
        <v>127</v>
      </c>
      <c r="S23" s="21"/>
      <c r="T23" s="21"/>
      <c r="U23" s="21"/>
      <c r="V23" s="21"/>
      <c r="W23" s="21"/>
      <c r="X23" s="21"/>
    </row>
    <row r="24" ht="14.25" customHeight="1">
      <c r="A24" s="19" t="s">
        <v>130</v>
      </c>
      <c r="B24" s="27"/>
      <c r="C24" s="27"/>
      <c r="D24" s="46"/>
      <c r="E24" s="46"/>
      <c r="F24" s="46"/>
      <c r="G24" s="46"/>
      <c r="H24" s="46"/>
      <c r="I24" s="46"/>
      <c r="J24" s="46"/>
      <c r="K24" s="46"/>
      <c r="L24" s="46"/>
      <c r="M24" s="126"/>
      <c r="N24" s="127"/>
      <c r="O24" s="128"/>
      <c r="P24" s="121"/>
      <c r="Q24" s="121"/>
      <c r="R24" s="122" t="s">
        <v>130</v>
      </c>
      <c r="S24" s="46"/>
      <c r="T24" s="46"/>
      <c r="U24" s="46"/>
      <c r="V24" s="46"/>
      <c r="W24" s="46"/>
      <c r="X24" s="46"/>
      <c r="Y24" s="46"/>
      <c r="Z24" s="46"/>
    </row>
    <row r="25" ht="14.25" customHeight="1">
      <c r="A25" s="21" t="s">
        <v>131</v>
      </c>
      <c r="B25" s="22">
        <v>90.0</v>
      </c>
      <c r="C25" s="22">
        <v>2000.0</v>
      </c>
      <c r="D25" s="21">
        <f>SUMPRODUCT('Фрукты'!D25:ZY25,'Фрукты'!D$3:ZY$3%)</f>
        <v>0</v>
      </c>
      <c r="E25" s="21">
        <f>SUMPRODUCT('Овощи'!D25:AAB25,'Овощи'!D$3:AAB$3%)</f>
        <v>0</v>
      </c>
      <c r="F25" s="21">
        <f>SUMPRODUCT('Орехи и семена'!D25:ZZ25,'Орехи и семена'!D$3:ZZ$3%)</f>
        <v>0</v>
      </c>
      <c r="G25" s="21">
        <f>SUMPRODUCT('Зерновые'!D25:AAD25,'Зерновые'!D$3:AAD$3%)</f>
        <v>0</v>
      </c>
      <c r="H25" s="21">
        <f>SUMPRODUCT('Бобовые'!D25:AAA25,'Бобовые'!D$3:AAA$3%)</f>
        <v>0</v>
      </c>
      <c r="I25" s="21">
        <f>SUMPRODUCT('Масла'!D25:ZZ25,'Масла'!D$3:ZZ$3%)</f>
        <v>0</v>
      </c>
      <c r="J25" s="21">
        <f>SUMPRODUCT('Грибы'!D25:ZZ25,'Грибы'!D$3:ZZ$3%)</f>
        <v>0</v>
      </c>
      <c r="K25" s="21">
        <f>SUMPRODUCT('Травы и специи'!D25:ZV25,'Травы и специи'!D$3:ZV$3%)</f>
        <v>0</v>
      </c>
      <c r="L25" s="21">
        <f>SUMPRODUCT('Добавки'!D25:ZZ25,'Добавки'!D$3:ZZ$3%)</f>
        <v>0</v>
      </c>
      <c r="M25" s="88">
        <f>SUMPRODUCT('Психоактивы'!D25:ZZ25,'Психоактивы'!D$3:ZZ$3%)</f>
        <v>0</v>
      </c>
      <c r="N25" s="31">
        <f>SUMPRODUCT('Животные'!D25:ZZ25,'Животные'!D$3:ZZ$3%)</f>
        <v>0</v>
      </c>
      <c r="O25" s="123">
        <f t="shared" ref="O25:O40" si="3">ROUND(SUM(D25:N25),2)</f>
        <v>0</v>
      </c>
      <c r="P25" s="124">
        <v>90.0</v>
      </c>
      <c r="Q25" s="124">
        <v>2000.0</v>
      </c>
      <c r="R25" s="117" t="s">
        <v>131</v>
      </c>
      <c r="S25" s="21"/>
      <c r="T25" s="21"/>
      <c r="U25" s="21"/>
      <c r="V25" s="21"/>
      <c r="W25" s="21"/>
      <c r="X25" s="21"/>
    </row>
    <row r="26" ht="14.25" customHeight="1">
      <c r="A26" s="21" t="s">
        <v>132</v>
      </c>
      <c r="B26" s="22" t="s">
        <v>133</v>
      </c>
      <c r="C26" s="22" t="s">
        <v>100</v>
      </c>
      <c r="D26" s="21">
        <f>SUMPRODUCT('Фрукты'!D26:ZY26,'Фрукты'!D$3:ZY$3%)</f>
        <v>0</v>
      </c>
      <c r="E26" s="21">
        <f>SUMPRODUCT('Овощи'!D26:AAB26,'Овощи'!D$3:AAB$3%)</f>
        <v>0</v>
      </c>
      <c r="F26" s="21">
        <f>SUMPRODUCT('Орехи и семена'!D26:ZZ26,'Орехи и семена'!D$3:ZZ$3%)</f>
        <v>0</v>
      </c>
      <c r="G26" s="21">
        <f>SUMPRODUCT('Зерновые'!D26:AAD26,'Зерновые'!D$3:AAD$3%)</f>
        <v>0</v>
      </c>
      <c r="H26" s="21">
        <f>SUMPRODUCT('Бобовые'!D26:AAA26,'Бобовые'!D$3:AAA$3%)</f>
        <v>0</v>
      </c>
      <c r="I26" s="21">
        <f>SUMPRODUCT('Масла'!D26:ZZ26,'Масла'!D$3:ZZ$3%)</f>
        <v>0</v>
      </c>
      <c r="J26" s="21">
        <f>SUMPRODUCT('Грибы'!D26:ZZ26,'Грибы'!D$3:ZZ$3%)</f>
        <v>0</v>
      </c>
      <c r="K26" s="21">
        <f>SUMPRODUCT('Травы и специи'!D26:ZV26,'Травы и специи'!D$3:ZV$3%)</f>
        <v>0</v>
      </c>
      <c r="L26" s="21">
        <f>SUMPRODUCT('Добавки'!D26:ZZ26,'Добавки'!D$3:ZZ$3%)</f>
        <v>0</v>
      </c>
      <c r="M26" s="88">
        <f>SUMPRODUCT('Психоактивы'!D26:ZZ26,'Психоактивы'!D$3:ZZ$3%)</f>
        <v>0</v>
      </c>
      <c r="N26" s="31">
        <f>SUMPRODUCT('Животные'!D26:ZZ26,'Животные'!D$3:ZZ$3%)</f>
        <v>0</v>
      </c>
      <c r="O26" s="123">
        <f t="shared" si="3"/>
        <v>0</v>
      </c>
      <c r="P26" s="124" t="s">
        <v>133</v>
      </c>
      <c r="Q26" s="124" t="s">
        <v>100</v>
      </c>
      <c r="R26" s="117" t="s">
        <v>132</v>
      </c>
      <c r="S26" s="21"/>
      <c r="T26" s="21"/>
      <c r="U26" s="21"/>
      <c r="V26" s="21"/>
      <c r="W26" s="21"/>
      <c r="X26" s="21"/>
    </row>
    <row r="27" ht="14.25" customHeight="1">
      <c r="A27" s="21" t="s">
        <v>134</v>
      </c>
      <c r="B27" s="22" t="s">
        <v>135</v>
      </c>
      <c r="C27" s="22" t="s">
        <v>100</v>
      </c>
      <c r="D27" s="21">
        <f>SUMPRODUCT('Фрукты'!D27:ZY27,'Фрукты'!D$3:ZY$3%)</f>
        <v>0</v>
      </c>
      <c r="E27" s="21">
        <f>SUMPRODUCT('Овощи'!D27:AAB27,'Овощи'!D$3:AAB$3%)</f>
        <v>0</v>
      </c>
      <c r="F27" s="21">
        <f>SUMPRODUCT('Орехи и семена'!D27:ZZ27,'Орехи и семена'!D$3:ZZ$3%)</f>
        <v>0</v>
      </c>
      <c r="G27" s="21">
        <f>SUMPRODUCT('Зерновые'!D27:AAD27,'Зерновые'!D$3:AAD$3%)</f>
        <v>0</v>
      </c>
      <c r="H27" s="21">
        <f>SUMPRODUCT('Бобовые'!D27:AAA27,'Бобовые'!D$3:AAA$3%)</f>
        <v>0</v>
      </c>
      <c r="I27" s="21">
        <f>SUMPRODUCT('Масла'!D27:ZZ27,'Масла'!D$3:ZZ$3%)</f>
        <v>0</v>
      </c>
      <c r="J27" s="21">
        <f>SUMPRODUCT('Грибы'!D27:ZZ27,'Грибы'!D$3:ZZ$3%)</f>
        <v>0</v>
      </c>
      <c r="K27" s="21">
        <f>SUMPRODUCT('Травы и специи'!D27:ZV27,'Травы и специи'!D$3:ZV$3%)</f>
        <v>0</v>
      </c>
      <c r="L27" s="21">
        <f>SUMPRODUCT('Добавки'!D27:ZZ27,'Добавки'!D$3:ZZ$3%)</f>
        <v>0</v>
      </c>
      <c r="M27" s="88">
        <f>SUMPRODUCT('Психоактивы'!D27:ZZ27,'Психоактивы'!D$3:ZZ$3%)</f>
        <v>0</v>
      </c>
      <c r="N27" s="31">
        <f>SUMPRODUCT('Животные'!D27:ZZ27,'Животные'!D$3:ZZ$3%)</f>
        <v>0</v>
      </c>
      <c r="O27" s="123">
        <f t="shared" si="3"/>
        <v>0</v>
      </c>
      <c r="P27" s="124" t="s">
        <v>135</v>
      </c>
      <c r="Q27" s="124" t="s">
        <v>100</v>
      </c>
      <c r="R27" s="117" t="s">
        <v>134</v>
      </c>
      <c r="S27" s="21"/>
      <c r="T27" s="21"/>
      <c r="U27" s="21"/>
      <c r="V27" s="21"/>
      <c r="W27" s="21"/>
      <c r="X27" s="21"/>
    </row>
    <row r="28" ht="14.25" customHeight="1">
      <c r="A28" s="21" t="s">
        <v>136</v>
      </c>
      <c r="B28" s="22" t="s">
        <v>137</v>
      </c>
      <c r="C28" s="22" t="s">
        <v>138</v>
      </c>
      <c r="D28" s="21">
        <f>SUMPRODUCT('Фрукты'!D28:ZY28,'Фрукты'!D$3:ZY$3%)</f>
        <v>0</v>
      </c>
      <c r="E28" s="21">
        <f>SUMPRODUCT('Овощи'!D28:AAB28,'Овощи'!D$3:AAB$3%)</f>
        <v>0</v>
      </c>
      <c r="F28" s="21">
        <f>SUMPRODUCT('Орехи и семена'!D28:ZZ28,'Орехи и семена'!D$3:ZZ$3%)</f>
        <v>0</v>
      </c>
      <c r="G28" s="21">
        <f>SUMPRODUCT('Зерновые'!D28:AAD28,'Зерновые'!D$3:AAD$3%)</f>
        <v>0</v>
      </c>
      <c r="H28" s="21">
        <f>SUMPRODUCT('Бобовые'!D28:AAA28,'Бобовые'!D$3:AAA$3%)</f>
        <v>0</v>
      </c>
      <c r="I28" s="21">
        <f>SUMPRODUCT('Масла'!D28:ZZ28,'Масла'!D$3:ZZ$3%)</f>
        <v>0</v>
      </c>
      <c r="J28" s="21">
        <f>SUMPRODUCT('Грибы'!D28:ZZ28,'Грибы'!D$3:ZZ$3%)</f>
        <v>0</v>
      </c>
      <c r="K28" s="21">
        <f>SUMPRODUCT('Травы и специи'!D28:ZV28,'Травы и специи'!D$3:ZV$3%)</f>
        <v>0</v>
      </c>
      <c r="L28" s="21">
        <f>SUMPRODUCT('Добавки'!D28:ZZ28,'Добавки'!D$3:ZZ$3%)</f>
        <v>0</v>
      </c>
      <c r="M28" s="88">
        <f>SUMPRODUCT('Психоактивы'!D28:ZZ28,'Психоактивы'!D$3:ZZ$3%)</f>
        <v>0</v>
      </c>
      <c r="N28" s="31">
        <f>SUMPRODUCT('Животные'!D28:ZZ28,'Животные'!D$3:ZZ$3%)</f>
        <v>0</v>
      </c>
      <c r="O28" s="123">
        <f t="shared" si="3"/>
        <v>0</v>
      </c>
      <c r="P28" s="124" t="s">
        <v>137</v>
      </c>
      <c r="Q28" s="124" t="s">
        <v>138</v>
      </c>
      <c r="R28" s="117" t="s">
        <v>136</v>
      </c>
      <c r="S28" s="21"/>
      <c r="T28" s="21"/>
      <c r="U28" s="21"/>
      <c r="V28" s="21"/>
      <c r="W28" s="21"/>
      <c r="X28" s="21"/>
    </row>
    <row r="29" ht="14.25" customHeight="1">
      <c r="A29" s="21" t="s">
        <v>139</v>
      </c>
      <c r="B29" s="22">
        <v>1.3</v>
      </c>
      <c r="C29" s="22" t="s">
        <v>140</v>
      </c>
      <c r="D29" s="21">
        <f>SUMPRODUCT('Фрукты'!D29:ZY29,'Фрукты'!D$3:ZY$3%)</f>
        <v>0</v>
      </c>
      <c r="E29" s="21">
        <f>SUMPRODUCT('Овощи'!D29:AAB29,'Овощи'!D$3:AAB$3%)</f>
        <v>0</v>
      </c>
      <c r="F29" s="21">
        <f>SUMPRODUCT('Орехи и семена'!D29:ZZ29,'Орехи и семена'!D$3:ZZ$3%)</f>
        <v>0</v>
      </c>
      <c r="G29" s="21">
        <f>SUMPRODUCT('Зерновые'!D29:AAD29,'Зерновые'!D$3:AAD$3%)</f>
        <v>0</v>
      </c>
      <c r="H29" s="21">
        <f>SUMPRODUCT('Бобовые'!D29:AAA29,'Бобовые'!D$3:AAA$3%)</f>
        <v>0</v>
      </c>
      <c r="I29" s="21">
        <f>SUMPRODUCT('Масла'!D29:ZZ29,'Масла'!D$3:ZZ$3%)</f>
        <v>0</v>
      </c>
      <c r="J29" s="21">
        <f>SUMPRODUCT('Грибы'!D29:ZZ29,'Грибы'!D$3:ZZ$3%)</f>
        <v>0</v>
      </c>
      <c r="K29" s="21">
        <f>SUMPRODUCT('Травы и специи'!D29:ZV29,'Травы и специи'!D$3:ZV$3%)</f>
        <v>0</v>
      </c>
      <c r="L29" s="21">
        <f>SUMPRODUCT('Добавки'!D29:ZZ29,'Добавки'!D$3:ZZ$3%)</f>
        <v>0</v>
      </c>
      <c r="M29" s="88">
        <f>SUMPRODUCT('Психоактивы'!D29:ZZ29,'Психоактивы'!D$3:ZZ$3%)</f>
        <v>0</v>
      </c>
      <c r="N29" s="31">
        <f>SUMPRODUCT('Животные'!D29:ZZ29,'Животные'!D$3:ZZ$3%)</f>
        <v>0</v>
      </c>
      <c r="O29" s="123">
        <f t="shared" si="3"/>
        <v>0</v>
      </c>
      <c r="P29" s="124">
        <v>1.3</v>
      </c>
      <c r="Q29" s="124" t="s">
        <v>140</v>
      </c>
      <c r="R29" s="117" t="s">
        <v>139</v>
      </c>
      <c r="S29" s="21"/>
      <c r="T29" s="21"/>
      <c r="U29" s="21"/>
      <c r="V29" s="21"/>
      <c r="W29" s="21"/>
      <c r="X29" s="21"/>
    </row>
    <row r="30" ht="14.25" customHeight="1">
      <c r="A30" s="21" t="s">
        <v>141</v>
      </c>
      <c r="B30" s="22" t="s">
        <v>142</v>
      </c>
      <c r="C30" s="22">
        <v>1000.0</v>
      </c>
      <c r="D30" s="21">
        <f>SUMPRODUCT('Фрукты'!D30:ZY30,'Фрукты'!D$3:ZY$3%)</f>
        <v>0</v>
      </c>
      <c r="E30" s="21">
        <f>SUMPRODUCT('Овощи'!D30:AAB30,'Овощи'!D$3:AAB$3%)</f>
        <v>0</v>
      </c>
      <c r="F30" s="21">
        <f>SUMPRODUCT('Орехи и семена'!D30:ZZ30,'Орехи и семена'!D$3:ZZ$3%)</f>
        <v>0</v>
      </c>
      <c r="G30" s="21">
        <f>SUMPRODUCT('Зерновые'!D30:AAD30,'Зерновые'!D$3:AAD$3%)</f>
        <v>0</v>
      </c>
      <c r="H30" s="21">
        <f>SUMPRODUCT('Бобовые'!D30:AAA30,'Бобовые'!D$3:AAA$3%)</f>
        <v>0</v>
      </c>
      <c r="I30" s="21">
        <f>SUMPRODUCT('Масла'!D30:ZZ30,'Масла'!D$3:ZZ$3%)</f>
        <v>0</v>
      </c>
      <c r="J30" s="21">
        <f>SUMPRODUCT('Грибы'!D30:ZZ30,'Грибы'!D$3:ZZ$3%)</f>
        <v>0</v>
      </c>
      <c r="K30" s="21">
        <f>SUMPRODUCT('Травы и специи'!D30:ZV30,'Травы и специи'!D$3:ZV$3%)</f>
        <v>0</v>
      </c>
      <c r="L30" s="21">
        <f>SUMPRODUCT('Добавки'!D30:ZZ30,'Добавки'!D$3:ZZ$3%)</f>
        <v>0</v>
      </c>
      <c r="M30" s="88">
        <f>SUMPRODUCT('Психоактивы'!D30:ZZ30,'Психоактивы'!D$3:ZZ$3%)</f>
        <v>0</v>
      </c>
      <c r="N30" s="31">
        <f>SUMPRODUCT('Животные'!D30:ZZ30,'Животные'!D$3:ZZ$3%)</f>
        <v>0</v>
      </c>
      <c r="O30" s="123">
        <f t="shared" si="3"/>
        <v>0</v>
      </c>
      <c r="P30" s="124" t="s">
        <v>142</v>
      </c>
      <c r="Q30" s="124">
        <v>1000.0</v>
      </c>
      <c r="R30" s="117" t="s">
        <v>141</v>
      </c>
      <c r="S30" s="21"/>
      <c r="T30" s="21"/>
      <c r="U30" s="21"/>
      <c r="V30" s="21"/>
      <c r="W30" s="21"/>
      <c r="X30" s="21"/>
    </row>
    <row r="31" ht="14.25" customHeight="1">
      <c r="A31" s="21" t="s">
        <v>143</v>
      </c>
      <c r="B31" s="22" t="s">
        <v>144</v>
      </c>
      <c r="C31" s="22" t="s">
        <v>100</v>
      </c>
      <c r="D31" s="21">
        <f>SUMPRODUCT('Фрукты'!D31:ZY31,'Фрукты'!D$3:ZY$3%)</f>
        <v>0</v>
      </c>
      <c r="E31" s="21">
        <f>SUMPRODUCT('Овощи'!D31:AAB31,'Овощи'!D$3:AAB$3%)</f>
        <v>0</v>
      </c>
      <c r="F31" s="21">
        <f>SUMPRODUCT('Орехи и семена'!D31:ZZ31,'Орехи и семена'!D$3:ZZ$3%)</f>
        <v>0</v>
      </c>
      <c r="G31" s="21">
        <f>SUMPRODUCT('Зерновые'!D31:AAD31,'Зерновые'!D$3:AAD$3%)</f>
        <v>0</v>
      </c>
      <c r="H31" s="21">
        <f>SUMPRODUCT('Бобовые'!D31:AAA31,'Бобовые'!D$3:AAA$3%)</f>
        <v>0</v>
      </c>
      <c r="I31" s="21">
        <f>SUMPRODUCT('Масла'!D31:ZZ31,'Масла'!D$3:ZZ$3%)</f>
        <v>0</v>
      </c>
      <c r="J31" s="21">
        <f>SUMPRODUCT('Грибы'!D31:ZZ31,'Грибы'!D$3:ZZ$3%)</f>
        <v>0</v>
      </c>
      <c r="K31" s="21">
        <f>SUMPRODUCT('Травы и специи'!D31:ZV31,'Травы и специи'!D$3:ZV$3%)</f>
        <v>0</v>
      </c>
      <c r="L31" s="21">
        <f>SUMPRODUCT('Добавки'!D31:ZZ31,'Добавки'!D$3:ZZ$3%)</f>
        <v>0</v>
      </c>
      <c r="M31" s="88">
        <f>SUMPRODUCT('Психоактивы'!D31:ZZ31,'Психоактивы'!D$3:ZZ$3%)</f>
        <v>0</v>
      </c>
      <c r="N31" s="31">
        <f>SUMPRODUCT('Животные'!D31:ZZ31,'Животные'!D$3:ZZ$3%)</f>
        <v>0</v>
      </c>
      <c r="O31" s="123">
        <f t="shared" si="3"/>
        <v>0</v>
      </c>
      <c r="P31" s="124" t="s">
        <v>144</v>
      </c>
      <c r="Q31" s="124" t="s">
        <v>100</v>
      </c>
      <c r="R31" s="117" t="s">
        <v>143</v>
      </c>
      <c r="S31" s="21"/>
      <c r="T31" s="21"/>
      <c r="U31" s="21"/>
      <c r="V31" s="21"/>
      <c r="W31" s="21"/>
      <c r="X31" s="21"/>
    </row>
    <row r="32" ht="14.25" customHeight="1">
      <c r="A32" s="21" t="s">
        <v>145</v>
      </c>
      <c r="B32" s="22">
        <v>900.0</v>
      </c>
      <c r="C32" s="22">
        <v>3000.0</v>
      </c>
      <c r="D32" s="21">
        <f>SUMPRODUCT('Фрукты'!D32:ZY32,'Фрукты'!D$3:ZY$3%)</f>
        <v>0</v>
      </c>
      <c r="E32" s="21">
        <f>SUMPRODUCT('Овощи'!D32:AAB32,'Овощи'!D$3:AAB$3%)</f>
        <v>0</v>
      </c>
      <c r="F32" s="21">
        <f>SUMPRODUCT('Орехи и семена'!D32:ZZ32,'Орехи и семена'!D$3:ZZ$3%)</f>
        <v>0</v>
      </c>
      <c r="G32" s="21">
        <f>SUMPRODUCT('Зерновые'!D32:AAD32,'Зерновые'!D$3:AAD$3%)</f>
        <v>0</v>
      </c>
      <c r="H32" s="21">
        <f>SUMPRODUCT('Бобовые'!D32:AAA32,'Бобовые'!D$3:AAA$3%)</f>
        <v>0</v>
      </c>
      <c r="I32" s="21">
        <f>SUMPRODUCT('Масла'!D32:ZZ32,'Масла'!D$3:ZZ$3%)</f>
        <v>0</v>
      </c>
      <c r="J32" s="21">
        <f>SUMPRODUCT('Грибы'!D32:ZZ32,'Грибы'!D$3:ZZ$3%)</f>
        <v>0</v>
      </c>
      <c r="K32" s="21">
        <f>SUMPRODUCT('Травы и специи'!D32:ZV32,'Травы и специи'!D$3:ZV$3%)</f>
        <v>0</v>
      </c>
      <c r="L32" s="21">
        <f>SUMPRODUCT('Добавки'!D32:ZZ32,'Добавки'!D$3:ZZ$3%)</f>
        <v>0</v>
      </c>
      <c r="M32" s="88">
        <f>SUMPRODUCT('Психоактивы'!D32:ZZ32,'Психоактивы'!D$3:ZZ$3%)</f>
        <v>0</v>
      </c>
      <c r="N32" s="31">
        <f>SUMPRODUCT('Животные'!D32:ZZ32,'Животные'!D$3:ZZ$3%)</f>
        <v>0</v>
      </c>
      <c r="O32" s="123">
        <f t="shared" si="3"/>
        <v>0</v>
      </c>
      <c r="P32" s="124">
        <v>900.0</v>
      </c>
      <c r="Q32" s="124">
        <v>3000.0</v>
      </c>
      <c r="R32" s="117" t="s">
        <v>145</v>
      </c>
      <c r="S32" s="21"/>
      <c r="T32" s="21"/>
      <c r="U32" s="21"/>
      <c r="V32" s="21"/>
      <c r="W32" s="21"/>
      <c r="X32" s="21"/>
    </row>
    <row r="33" ht="14.25" customHeight="1">
      <c r="A33" s="28" t="s">
        <v>146</v>
      </c>
      <c r="B33" s="29"/>
      <c r="C33" s="29"/>
      <c r="D33" s="28">
        <f>SUMPRODUCT('Фрукты'!D33:ZY33,'Фрукты'!D$3:ZY$3%)</f>
        <v>0</v>
      </c>
      <c r="E33" s="28">
        <f>SUMPRODUCT('Овощи'!D33:AAB33,'Овощи'!D$3:AAB$3%)</f>
        <v>0</v>
      </c>
      <c r="F33" s="28">
        <f>SUMPRODUCT('Орехи и семена'!D33:ZZ33,'Орехи и семена'!D$3:ZZ$3%)</f>
        <v>0</v>
      </c>
      <c r="G33" s="28">
        <f>SUMPRODUCT('Зерновые'!D33:AAD33,'Зерновые'!D$3:AAD$3%)</f>
        <v>0</v>
      </c>
      <c r="H33" s="28">
        <f>SUMPRODUCT('Бобовые'!D33:AAA33,'Бобовые'!D$3:AAA$3%)</f>
        <v>0</v>
      </c>
      <c r="I33" s="28">
        <f>SUMPRODUCT('Масла'!D33:ZZ33,'Масла'!D$3:ZZ$3%)</f>
        <v>0</v>
      </c>
      <c r="J33" s="28">
        <f>SUMPRODUCT('Грибы'!D33:ZZ33,'Грибы'!D$3:ZZ$3%)</f>
        <v>0</v>
      </c>
      <c r="K33" s="28">
        <f>SUMPRODUCT('Травы и специи'!D33:ZV33,'Травы и специи'!D$3:ZV$3%)</f>
        <v>0</v>
      </c>
      <c r="L33" s="21">
        <f>SUMPRODUCT('Добавки'!D33:ZZ33,'Добавки'!D$3:ZZ$3%)</f>
        <v>0</v>
      </c>
      <c r="M33" s="88">
        <f>SUMPRODUCT('Психоактивы'!D33:ZZ33,'Психоактивы'!D$3:ZZ$3%)</f>
        <v>0</v>
      </c>
      <c r="N33" s="31">
        <f>SUMPRODUCT('Животные'!D33:ZZ33,'Животные'!D$3:ZZ$3%)</f>
        <v>0</v>
      </c>
      <c r="O33" s="123">
        <f t="shared" si="3"/>
        <v>0</v>
      </c>
      <c r="P33" s="129"/>
      <c r="Q33" s="129"/>
      <c r="R33" s="130" t="s">
        <v>146</v>
      </c>
      <c r="S33" s="28"/>
      <c r="T33" s="28"/>
      <c r="U33" s="28"/>
      <c r="V33" s="28"/>
      <c r="W33" s="28"/>
      <c r="X33" s="28"/>
      <c r="Y33" s="28"/>
      <c r="Z33" s="28"/>
    </row>
    <row r="34" ht="14.25" customHeight="1">
      <c r="A34" s="21" t="s">
        <v>147</v>
      </c>
      <c r="B34" s="22" t="s">
        <v>148</v>
      </c>
      <c r="C34" s="22">
        <v>1000.0</v>
      </c>
      <c r="D34" s="21">
        <f>SUMPRODUCT('Фрукты'!D34:ZY34,'Фрукты'!D$3:ZY$3%)</f>
        <v>0</v>
      </c>
      <c r="E34" s="21">
        <f>SUMPRODUCT('Овощи'!D34:AAB34,'Овощи'!D$3:AAB$3%)</f>
        <v>0</v>
      </c>
      <c r="F34" s="21">
        <f>SUMPRODUCT('Орехи и семена'!D34:ZZ34,'Орехи и семена'!D$3:ZZ$3%)</f>
        <v>0</v>
      </c>
      <c r="G34" s="21">
        <f>SUMPRODUCT('Зерновые'!D34:AAD34,'Зерновые'!D$3:AAD$3%)</f>
        <v>0</v>
      </c>
      <c r="H34" s="21">
        <f>SUMPRODUCT('Бобовые'!D34:AAA34,'Бобовые'!D$3:AAA$3%)</f>
        <v>0</v>
      </c>
      <c r="I34" s="21">
        <f>SUMPRODUCT('Масла'!D34:ZZ34,'Масла'!D$3:ZZ$3%)</f>
        <v>0</v>
      </c>
      <c r="J34" s="21">
        <f>SUMPRODUCT('Грибы'!D34:ZZ34,'Грибы'!D$3:ZZ$3%)</f>
        <v>0</v>
      </c>
      <c r="K34" s="21">
        <f>SUMPRODUCT('Травы и специи'!D34:ZV34,'Травы и специи'!D$3:ZV$3%)</f>
        <v>0</v>
      </c>
      <c r="L34" s="21">
        <f>SUMPRODUCT('Добавки'!D34:ZZ34,'Добавки'!D$3:ZZ$3%)</f>
        <v>0</v>
      </c>
      <c r="M34" s="88">
        <f>SUMPRODUCT('Психоактивы'!D34:ZZ34,'Психоактивы'!D$3:ZZ$3%)</f>
        <v>0</v>
      </c>
      <c r="N34" s="31">
        <f>SUMPRODUCT('Животные'!D34:ZZ34,'Животные'!D$3:ZZ$3%)</f>
        <v>0</v>
      </c>
      <c r="O34" s="123">
        <f t="shared" si="3"/>
        <v>0</v>
      </c>
      <c r="P34" s="124" t="s">
        <v>148</v>
      </c>
      <c r="Q34" s="124">
        <v>1000.0</v>
      </c>
      <c r="R34" s="117" t="s">
        <v>147</v>
      </c>
      <c r="S34" s="21"/>
      <c r="T34" s="21"/>
      <c r="U34" s="21"/>
      <c r="V34" s="21"/>
      <c r="W34" s="21"/>
      <c r="X34" s="21"/>
    </row>
    <row r="35" ht="14.25" customHeight="1">
      <c r="A35" s="21" t="s">
        <v>149</v>
      </c>
      <c r="B35" s="22" t="s">
        <v>150</v>
      </c>
      <c r="C35" s="22">
        <v>100.0</v>
      </c>
      <c r="D35" s="21">
        <f>SUMPRODUCT('Фрукты'!D35:ZY35,'Фрукты'!D$3:ZY$3%)</f>
        <v>0</v>
      </c>
      <c r="E35" s="21">
        <f>SUMPRODUCT('Овощи'!D35:AAB35,'Овощи'!D$3:AAB$3%)</f>
        <v>0</v>
      </c>
      <c r="F35" s="21">
        <f>SUMPRODUCT('Орехи и семена'!D35:ZZ35,'Орехи и семена'!D$3:ZZ$3%)</f>
        <v>0</v>
      </c>
      <c r="G35" s="21">
        <f>SUMPRODUCT('Зерновые'!D35:AAD35,'Зерновые'!D$3:AAD$3%)</f>
        <v>0</v>
      </c>
      <c r="H35" s="21">
        <f>SUMPRODUCT('Бобовые'!D35:AAA35,'Бобовые'!D$3:AAA$3%)</f>
        <v>0</v>
      </c>
      <c r="I35" s="21">
        <f>SUMPRODUCT('Масла'!D35:ZZ35,'Масла'!D$3:ZZ$3%)</f>
        <v>0</v>
      </c>
      <c r="J35" s="21">
        <f>SUMPRODUCT('Грибы'!D35:ZZ35,'Грибы'!D$3:ZZ$3%)</f>
        <v>0</v>
      </c>
      <c r="K35" s="21">
        <f>SUMPRODUCT('Травы и специи'!D35:ZV35,'Травы и специи'!D$3:ZV$3%)</f>
        <v>0</v>
      </c>
      <c r="L35" s="21">
        <f>SUMPRODUCT('Добавки'!D35:ZZ35,'Добавки'!D$3:ZZ$3%)</f>
        <v>0</v>
      </c>
      <c r="M35" s="88">
        <f>SUMPRODUCT('Психоактивы'!D35:ZZ35,'Психоактивы'!D$3:ZZ$3%)</f>
        <v>0</v>
      </c>
      <c r="N35" s="31">
        <f>SUMPRODUCT('Животные'!D35:ZZ35,'Животные'!D$3:ZZ$3%)</f>
        <v>0</v>
      </c>
      <c r="O35" s="123">
        <f t="shared" si="3"/>
        <v>0</v>
      </c>
      <c r="P35" s="124" t="s">
        <v>150</v>
      </c>
      <c r="Q35" s="124">
        <v>100.0</v>
      </c>
      <c r="R35" s="117" t="s">
        <v>149</v>
      </c>
      <c r="S35" s="21"/>
      <c r="T35" s="21"/>
      <c r="U35" s="21"/>
      <c r="V35" s="21"/>
      <c r="W35" s="21"/>
      <c r="X35" s="21"/>
    </row>
    <row r="36" ht="14.25" customHeight="1">
      <c r="A36" s="28" t="s">
        <v>151</v>
      </c>
      <c r="B36" s="29"/>
      <c r="C36" s="29"/>
      <c r="D36" s="28">
        <f>SUMPRODUCT('Фрукты'!D36:ZY36,'Фрукты'!D$3:ZY$3%)</f>
        <v>0</v>
      </c>
      <c r="E36" s="28">
        <f>SUMPRODUCT('Овощи'!D36:AAB36,'Овощи'!D$3:AAB$3%)</f>
        <v>0</v>
      </c>
      <c r="F36" s="28">
        <f>SUMPRODUCT('Орехи и семена'!D36:ZZ36,'Орехи и семена'!D$3:ZZ$3%)</f>
        <v>0</v>
      </c>
      <c r="G36" s="28">
        <f>SUMPRODUCT('Зерновые'!D36:AAD36,'Зерновые'!D$3:AAD$3%)</f>
        <v>0</v>
      </c>
      <c r="H36" s="28">
        <f>SUMPRODUCT('Бобовые'!D36:AAA36,'Бобовые'!D$3:AAA$3%)</f>
        <v>0</v>
      </c>
      <c r="I36" s="28">
        <f>SUMPRODUCT('Масла'!D36:ZZ36,'Масла'!D$3:ZZ$3%)</f>
        <v>0</v>
      </c>
      <c r="J36" s="28">
        <f>SUMPRODUCT('Грибы'!D36:ZZ36,'Грибы'!D$3:ZZ$3%)</f>
        <v>0</v>
      </c>
      <c r="K36" s="28">
        <f>SUMPRODUCT('Травы и специи'!D36:ZV36,'Травы и специи'!D$3:ZV$3%)</f>
        <v>0</v>
      </c>
      <c r="L36" s="21">
        <f>SUMPRODUCT('Добавки'!D36:ZZ36,'Добавки'!D$3:ZZ$3%)</f>
        <v>0</v>
      </c>
      <c r="M36" s="88">
        <f>SUMPRODUCT('Психоактивы'!D36:ZZ36,'Психоактивы'!D$3:ZZ$3%)</f>
        <v>0</v>
      </c>
      <c r="N36" s="31">
        <f>SUMPRODUCT('Животные'!D36:ZZ36,'Животные'!D$3:ZZ$3%)</f>
        <v>0</v>
      </c>
      <c r="O36" s="123">
        <f t="shared" si="3"/>
        <v>0</v>
      </c>
      <c r="P36" s="129"/>
      <c r="Q36" s="129"/>
      <c r="R36" s="130" t="s">
        <v>151</v>
      </c>
      <c r="S36" s="28"/>
      <c r="T36" s="28"/>
      <c r="U36" s="28"/>
      <c r="V36" s="28"/>
      <c r="W36" s="28"/>
      <c r="X36" s="28"/>
      <c r="Y36" s="28"/>
      <c r="Z36" s="28"/>
    </row>
    <row r="37" ht="14.25" customHeight="1">
      <c r="A37" s="21" t="s">
        <v>152</v>
      </c>
      <c r="B37" s="22">
        <v>120.0</v>
      </c>
      <c r="C37" s="22" t="s">
        <v>100</v>
      </c>
      <c r="D37" s="21">
        <f>SUMPRODUCT('Фрукты'!D37:ZY37,'Фрукты'!D$3:ZY$3%)</f>
        <v>0</v>
      </c>
      <c r="E37" s="21">
        <f>SUMPRODUCT('Овощи'!D37:AAB37,'Овощи'!D$3:AAB$3%)</f>
        <v>0</v>
      </c>
      <c r="F37" s="21">
        <f>SUMPRODUCT('Орехи и семена'!D37:ZZ37,'Орехи и семена'!D$3:ZZ$3%)</f>
        <v>0</v>
      </c>
      <c r="G37" s="21">
        <f>SUMPRODUCT('Зерновые'!D37:AAD37,'Зерновые'!D$3:AAD$3%)</f>
        <v>0</v>
      </c>
      <c r="H37" s="21">
        <f>SUMPRODUCT('Бобовые'!D37:AAA37,'Бобовые'!D$3:AAA$3%)</f>
        <v>0</v>
      </c>
      <c r="I37" s="21">
        <f>SUMPRODUCT('Масла'!D37:ZZ37,'Масла'!D$3:ZZ$3%)</f>
        <v>0</v>
      </c>
      <c r="J37" s="21">
        <f>SUMPRODUCT('Грибы'!D37:ZZ37,'Грибы'!D$3:ZZ$3%)</f>
        <v>0</v>
      </c>
      <c r="K37" s="21">
        <f>SUMPRODUCT('Травы и специи'!D37:ZV37,'Травы и специи'!D$3:ZV$3%)</f>
        <v>0</v>
      </c>
      <c r="L37" s="21">
        <f>SUMPRODUCT('Добавки'!D37:ZZ37,'Добавки'!D$3:ZZ$3%)</f>
        <v>0</v>
      </c>
      <c r="M37" s="88">
        <f>SUMPRODUCT('Психоактивы'!D37:ZZ37,'Психоактивы'!D$3:ZZ$3%)</f>
        <v>0</v>
      </c>
      <c r="N37" s="31">
        <f>SUMPRODUCT('Животные'!D37:ZZ37,'Животные'!D$3:ZZ$3%)</f>
        <v>0</v>
      </c>
      <c r="O37" s="123">
        <f t="shared" si="3"/>
        <v>0</v>
      </c>
      <c r="P37" s="124">
        <v>120.0</v>
      </c>
      <c r="Q37" s="124" t="s">
        <v>100</v>
      </c>
      <c r="R37" s="117" t="s">
        <v>152</v>
      </c>
      <c r="S37" s="21"/>
      <c r="T37" s="21"/>
      <c r="U37" s="21"/>
      <c r="V37" s="21"/>
      <c r="W37" s="21"/>
      <c r="X37" s="21"/>
    </row>
    <row r="38" ht="14.25" customHeight="1">
      <c r="A38" s="21" t="s">
        <v>153</v>
      </c>
      <c r="B38" s="22" t="s">
        <v>154</v>
      </c>
      <c r="C38" s="22" t="s">
        <v>100</v>
      </c>
      <c r="D38" s="21">
        <f>SUMPRODUCT('Фрукты'!D38:ZY38,'Фрукты'!D$3:ZY$3%)</f>
        <v>0</v>
      </c>
      <c r="E38" s="21">
        <f>SUMPRODUCT('Овощи'!D38:AAB38,'Овощи'!D$3:AAB$3%)</f>
        <v>0</v>
      </c>
      <c r="F38" s="21">
        <f>SUMPRODUCT('Орехи и семена'!D38:ZZ38,'Орехи и семена'!D$3:ZZ$3%)</f>
        <v>0</v>
      </c>
      <c r="G38" s="21">
        <f>SUMPRODUCT('Зерновые'!D38:AAD38,'Зерновые'!D$3:AAD$3%)</f>
        <v>0</v>
      </c>
      <c r="H38" s="21">
        <f>SUMPRODUCT('Бобовые'!D38:AAA38,'Бобовые'!D$3:AAA$3%)</f>
        <v>0</v>
      </c>
      <c r="I38" s="21">
        <f>SUMPRODUCT('Масла'!D38:ZZ38,'Масла'!D$3:ZZ$3%)</f>
        <v>0</v>
      </c>
      <c r="J38" s="21">
        <f>SUMPRODUCT('Грибы'!D38:ZZ38,'Грибы'!D$3:ZZ$3%)</f>
        <v>0</v>
      </c>
      <c r="K38" s="21">
        <f>SUMPRODUCT('Травы и специи'!D38:ZV38,'Травы и специи'!D$3:ZV$3%)</f>
        <v>0</v>
      </c>
      <c r="L38" s="21">
        <f>SUMPRODUCT('Добавки'!D38:ZZ38,'Добавки'!D$3:ZZ$3%)</f>
        <v>0</v>
      </c>
      <c r="M38" s="88">
        <f>SUMPRODUCT('Психоактивы'!D38:ZZ38,'Психоактивы'!D$3:ZZ$3%)</f>
        <v>0</v>
      </c>
      <c r="N38" s="31">
        <f>SUMPRODUCT('Животные'!D38:ZZ38,'Животные'!D$3:ZZ$3%)</f>
        <v>0</v>
      </c>
      <c r="O38" s="123">
        <f t="shared" si="3"/>
        <v>0</v>
      </c>
      <c r="P38" s="124" t="s">
        <v>154</v>
      </c>
      <c r="Q38" s="124" t="s">
        <v>100</v>
      </c>
      <c r="R38" s="117" t="s">
        <v>153</v>
      </c>
      <c r="S38" s="21"/>
      <c r="T38" s="21"/>
      <c r="U38" s="21"/>
      <c r="V38" s="21"/>
      <c r="W38" s="21"/>
      <c r="X38" s="21"/>
    </row>
    <row r="39" ht="14.25" customHeight="1">
      <c r="A39" s="21" t="s">
        <v>155</v>
      </c>
      <c r="B39" s="22" t="s">
        <v>156</v>
      </c>
      <c r="C39" s="22">
        <v>3500.0</v>
      </c>
      <c r="D39" s="21">
        <f>SUMPRODUCT('Фрукты'!D39:ZY39,'Фрукты'!D$3:ZY$3%)</f>
        <v>0</v>
      </c>
      <c r="E39" s="21">
        <f>SUMPRODUCT('Овощи'!D39:AAB39,'Овощи'!D$3:AAB$3%)</f>
        <v>0</v>
      </c>
      <c r="F39" s="21">
        <f>SUMPRODUCT('Орехи и семена'!D39:ZZ39,'Орехи и семена'!D$3:ZZ$3%)</f>
        <v>0</v>
      </c>
      <c r="G39" s="21">
        <f>SUMPRODUCT('Зерновые'!D39:AAD39,'Зерновые'!D$3:AAD$3%)</f>
        <v>0</v>
      </c>
      <c r="H39" s="21">
        <f>SUMPRODUCT('Бобовые'!D39:AAA39,'Бобовые'!D$3:AAA$3%)</f>
        <v>0</v>
      </c>
      <c r="I39" s="21">
        <f>SUMPRODUCT('Масла'!D39:ZZ39,'Масла'!D$3:ZZ$3%)</f>
        <v>0</v>
      </c>
      <c r="J39" s="21">
        <f>SUMPRODUCT('Грибы'!D39:ZZ39,'Грибы'!D$3:ZZ$3%)</f>
        <v>0</v>
      </c>
      <c r="K39" s="21">
        <f>SUMPRODUCT('Травы и специи'!D39:ZV39,'Травы и специи'!D$3:ZV$3%)</f>
        <v>0</v>
      </c>
      <c r="L39" s="21">
        <f>SUMPRODUCT('Добавки'!D39:ZZ39,'Добавки'!D$3:ZZ$3%)</f>
        <v>0</v>
      </c>
      <c r="M39" s="88">
        <f>SUMPRODUCT('Психоактивы'!D39:ZZ39,'Психоактивы'!D$3:ZZ$3%)</f>
        <v>0</v>
      </c>
      <c r="N39" s="31">
        <f>SUMPRODUCT('Животные'!D39:ZZ39,'Животные'!D$3:ZZ$3%)</f>
        <v>0</v>
      </c>
      <c r="O39" s="123">
        <f t="shared" si="3"/>
        <v>0</v>
      </c>
      <c r="P39" s="124" t="s">
        <v>156</v>
      </c>
      <c r="Q39" s="124">
        <v>3500.0</v>
      </c>
      <c r="R39" s="117" t="s">
        <v>155</v>
      </c>
      <c r="S39" s="21"/>
    </row>
    <row r="40" ht="14.25" customHeight="1">
      <c r="A40" s="21" t="s">
        <v>157</v>
      </c>
      <c r="B40" s="22"/>
      <c r="C40" s="22"/>
      <c r="D40" s="21">
        <f>SUMPRODUCT('Фрукты'!D40:ZY40,'Фрукты'!D$3:ZY$3%)</f>
        <v>0</v>
      </c>
      <c r="E40" s="21">
        <f>SUMPRODUCT('Овощи'!D40:AAB40,'Овощи'!D$3:AAB$3%)</f>
        <v>0</v>
      </c>
      <c r="F40" s="21">
        <f>SUMPRODUCT('Орехи и семена'!D40:ZZ40,'Орехи и семена'!D$3:ZZ$3%)</f>
        <v>0</v>
      </c>
      <c r="G40" s="21">
        <f>SUMPRODUCT('Зерновые'!D40:AAD40,'Зерновые'!D$3:AAD$3%)</f>
        <v>0</v>
      </c>
      <c r="H40" s="21">
        <f>SUMPRODUCT('Бобовые'!D40:AAA40,'Бобовые'!D$3:AAA$3%)</f>
        <v>0</v>
      </c>
      <c r="I40" s="21">
        <f>SUMPRODUCT('Масла'!D40:ZZ40,'Масла'!D$3:ZZ$3%)</f>
        <v>0</v>
      </c>
      <c r="J40" s="21">
        <f>SUMPRODUCT('Грибы'!D40:ZZ40,'Грибы'!D$3:ZZ$3%)</f>
        <v>0</v>
      </c>
      <c r="K40" s="21">
        <f>SUMPRODUCT('Травы и специи'!D40:ZV40,'Травы и специи'!D$3:ZV$3%)</f>
        <v>0</v>
      </c>
      <c r="L40" s="21">
        <f>SUMPRODUCT('Добавки'!D40:ZZ40,'Добавки'!D$3:ZZ$3%)</f>
        <v>0</v>
      </c>
      <c r="M40" s="88">
        <f>SUMPRODUCT('Психоактивы'!D40:ZZ40,'Психоактивы'!D$3:ZZ$3%)</f>
        <v>0</v>
      </c>
      <c r="N40" s="31">
        <f>SUMPRODUCT('Животные'!D40:ZZ40,'Животные'!D$3:ZZ$3%)</f>
        <v>0</v>
      </c>
      <c r="O40" s="123">
        <f t="shared" si="3"/>
        <v>0</v>
      </c>
      <c r="P40" s="124"/>
      <c r="Q40" s="124"/>
      <c r="R40" s="117" t="s">
        <v>157</v>
      </c>
      <c r="S40" s="21"/>
      <c r="T40" s="21"/>
      <c r="U40" s="21"/>
      <c r="V40" s="21"/>
      <c r="W40" s="21"/>
      <c r="X40" s="21"/>
    </row>
    <row r="41" ht="14.25" customHeight="1">
      <c r="A41" s="19" t="s">
        <v>158</v>
      </c>
      <c r="B41" s="27"/>
      <c r="C41" s="27"/>
      <c r="D41" s="46"/>
      <c r="E41" s="46"/>
      <c r="F41" s="46"/>
      <c r="G41" s="46"/>
      <c r="H41" s="46"/>
      <c r="I41" s="46"/>
      <c r="J41" s="46"/>
      <c r="K41" s="46"/>
      <c r="L41" s="46"/>
      <c r="M41" s="126"/>
      <c r="N41" s="127"/>
      <c r="O41" s="128"/>
      <c r="P41" s="121"/>
      <c r="Q41" s="121"/>
      <c r="R41" s="122" t="s">
        <v>158</v>
      </c>
      <c r="S41" s="46"/>
      <c r="T41" s="46"/>
      <c r="U41" s="46"/>
      <c r="V41" s="46"/>
      <c r="W41" s="46"/>
      <c r="X41" s="46"/>
      <c r="Y41" s="46"/>
      <c r="Z41" s="46"/>
    </row>
    <row r="42" ht="14.25" customHeight="1">
      <c r="A42" s="21" t="s">
        <v>159</v>
      </c>
      <c r="B42" s="22" t="s">
        <v>160</v>
      </c>
      <c r="C42" s="22" t="s">
        <v>161</v>
      </c>
      <c r="D42" s="21">
        <f>SUMPRODUCT('Фрукты'!D42:ZY42,'Фрукты'!D$3:ZY$3%)</f>
        <v>0</v>
      </c>
      <c r="E42" s="21">
        <f>SUMPRODUCT('Овощи'!D42:AAB42,'Овощи'!D$3:AAB$3%)</f>
        <v>0</v>
      </c>
      <c r="F42" s="21">
        <f>SUMPRODUCT('Орехи и семена'!D42:ZZ42,'Орехи и семена'!D$3:ZZ$3%)</f>
        <v>0</v>
      </c>
      <c r="G42" s="21">
        <f>SUMPRODUCT('Зерновые'!D42:AAD42,'Зерновые'!D$3:AAD$3%)</f>
        <v>0</v>
      </c>
      <c r="H42" s="21">
        <f>SUMPRODUCT('Бобовые'!D42:AAA42,'Бобовые'!D$3:AAA$3%)</f>
        <v>0</v>
      </c>
      <c r="I42" s="21">
        <f>SUMPRODUCT('Масла'!D42:ZZ42,'Масла'!D$3:ZZ$3%)</f>
        <v>0</v>
      </c>
      <c r="J42" s="21">
        <f>SUMPRODUCT('Грибы'!D42:ZZ42,'Грибы'!D$3:ZZ$3%)</f>
        <v>0</v>
      </c>
      <c r="K42" s="21">
        <f>SUMPRODUCT('Травы и специи'!D42:ZV42,'Травы и специи'!D$3:ZV$3%)</f>
        <v>0</v>
      </c>
      <c r="L42" s="21">
        <f>SUMPRODUCT('Добавки'!D42:ZZ42,'Добавки'!D$3:ZZ$3%)</f>
        <v>0</v>
      </c>
      <c r="M42" s="88">
        <f>SUMPRODUCT('Психоактивы'!D42:ZZ42,'Психоактивы'!D$3:ZZ$3%)</f>
        <v>0</v>
      </c>
      <c r="N42" s="31">
        <f>SUMPRODUCT('Животные'!D42:ZZ42,'Животные'!D$3:ZZ$3%)</f>
        <v>0</v>
      </c>
      <c r="O42" s="123">
        <f t="shared" ref="O42:O45" si="4">ROUND(SUM(D42:N42),2)</f>
        <v>0</v>
      </c>
      <c r="P42" s="124" t="s">
        <v>160</v>
      </c>
      <c r="Q42" s="124" t="s">
        <v>161</v>
      </c>
      <c r="R42" s="117" t="s">
        <v>159</v>
      </c>
      <c r="S42" s="21"/>
      <c r="T42" s="21"/>
      <c r="U42" s="21"/>
      <c r="V42" s="21"/>
      <c r="W42" s="21"/>
      <c r="X42" s="21"/>
    </row>
    <row r="43" ht="14.25" customHeight="1">
      <c r="A43" s="21" t="s">
        <v>162</v>
      </c>
      <c r="B43" s="22"/>
      <c r="C43" s="22"/>
      <c r="D43" s="21">
        <f>SUMPRODUCT('Фрукты'!D43:ZY43,'Фрукты'!D$3:ZY$3%)</f>
        <v>0</v>
      </c>
      <c r="E43" s="21">
        <f>SUMPRODUCT('Овощи'!D43:AAB43,'Овощи'!D$3:AAB$3%)</f>
        <v>0</v>
      </c>
      <c r="F43" s="21">
        <f>SUMPRODUCT('Орехи и семена'!D43:ZZ43,'Орехи и семена'!D$3:ZZ$3%)</f>
        <v>0</v>
      </c>
      <c r="G43" s="21">
        <f>SUMPRODUCT('Зерновые'!D43:AAD43,'Зерновые'!D$3:AAD$3%)</f>
        <v>0</v>
      </c>
      <c r="H43" s="21">
        <f>SUMPRODUCT('Бобовые'!D43:AAA43,'Бобовые'!D$3:AAA$3%)</f>
        <v>0</v>
      </c>
      <c r="I43" s="21">
        <f>SUMPRODUCT('Масла'!D43:ZZ43,'Масла'!D$3:ZZ$3%)</f>
        <v>0</v>
      </c>
      <c r="J43" s="21">
        <f>SUMPRODUCT('Грибы'!D43:ZZ43,'Грибы'!D$3:ZZ$3%)</f>
        <v>0</v>
      </c>
      <c r="K43" s="21">
        <f>SUMPRODUCT('Травы и специи'!D43:ZV43,'Травы и специи'!D$3:ZV$3%)</f>
        <v>0</v>
      </c>
      <c r="L43" s="21">
        <f>SUMPRODUCT('Добавки'!D43:ZZ43,'Добавки'!D$3:ZZ$3%)</f>
        <v>0</v>
      </c>
      <c r="M43" s="88">
        <f>SUMPRODUCT('Психоактивы'!D43:ZZ43,'Психоактивы'!D$3:ZZ$3%)</f>
        <v>0</v>
      </c>
      <c r="N43" s="31">
        <f>SUMPRODUCT('Животные'!D43:ZZ43,'Животные'!D$3:ZZ$3%)</f>
        <v>0</v>
      </c>
      <c r="O43" s="123">
        <f t="shared" si="4"/>
        <v>0</v>
      </c>
      <c r="P43" s="124"/>
      <c r="Q43" s="124"/>
      <c r="R43" s="117" t="s">
        <v>162</v>
      </c>
      <c r="S43" s="21"/>
      <c r="T43" s="21"/>
      <c r="U43" s="21"/>
      <c r="V43" s="21"/>
      <c r="W43" s="21"/>
      <c r="X43" s="21"/>
    </row>
    <row r="44" ht="14.25" customHeight="1">
      <c r="A44" s="21" t="s">
        <v>163</v>
      </c>
      <c r="B44" s="22"/>
      <c r="C44" s="22"/>
      <c r="D44" s="21">
        <f>SUMPRODUCT('Фрукты'!D44:ZY44,'Фрукты'!D$3:ZY$3%)</f>
        <v>0</v>
      </c>
      <c r="E44" s="21">
        <f>SUMPRODUCT('Овощи'!D44:AAB44,'Овощи'!D$3:AAB$3%)</f>
        <v>0</v>
      </c>
      <c r="F44" s="21">
        <f>SUMPRODUCT('Орехи и семена'!D44:ZZ44,'Орехи и семена'!D$3:ZZ$3%)</f>
        <v>0</v>
      </c>
      <c r="G44" s="21">
        <f>SUMPRODUCT('Зерновые'!D44:AAD44,'Зерновые'!D$3:AAD$3%)</f>
        <v>0</v>
      </c>
      <c r="H44" s="21">
        <f>SUMPRODUCT('Бобовые'!D44:AAA44,'Бобовые'!D$3:AAA$3%)</f>
        <v>0</v>
      </c>
      <c r="I44" s="21">
        <f>SUMPRODUCT('Масла'!D44:ZZ44,'Масла'!D$3:ZZ$3%)</f>
        <v>0</v>
      </c>
      <c r="J44" s="21">
        <f>SUMPRODUCT('Грибы'!D44:ZZ44,'Грибы'!D$3:ZZ$3%)</f>
        <v>0</v>
      </c>
      <c r="K44" s="21">
        <f>SUMPRODUCT('Травы и специи'!D44:ZV44,'Травы и специи'!D$3:ZV$3%)</f>
        <v>0</v>
      </c>
      <c r="L44" s="21">
        <f>SUMPRODUCT('Добавки'!D44:ZZ44,'Добавки'!D$3:ZZ$3%)</f>
        <v>0</v>
      </c>
      <c r="M44" s="88">
        <f>SUMPRODUCT('Психоактивы'!D44:ZZ44,'Психоактивы'!D$3:ZZ$3%)</f>
        <v>0</v>
      </c>
      <c r="N44" s="31">
        <f>SUMPRODUCT('Животные'!D44:ZZ44,'Животные'!D$3:ZZ$3%)</f>
        <v>0</v>
      </c>
      <c r="O44" s="123">
        <f t="shared" si="4"/>
        <v>0</v>
      </c>
      <c r="P44" s="124"/>
      <c r="Q44" s="124"/>
      <c r="R44" s="117" t="s">
        <v>163</v>
      </c>
      <c r="S44" s="21"/>
      <c r="T44" s="21"/>
      <c r="U44" s="21"/>
      <c r="V44" s="21"/>
      <c r="W44" s="21"/>
      <c r="X44" s="21"/>
    </row>
    <row r="45" ht="14.25" customHeight="1">
      <c r="A45" s="21" t="s">
        <v>164</v>
      </c>
      <c r="B45" s="22" t="s">
        <v>160</v>
      </c>
      <c r="C45" s="131" t="s">
        <v>165</v>
      </c>
      <c r="D45" s="21">
        <f>SUMPRODUCT('Фрукты'!D45:ZY45,'Фрукты'!D$3:ZY$3%)</f>
        <v>0</v>
      </c>
      <c r="E45" s="21">
        <f>SUMPRODUCT('Овощи'!D45:AAB45,'Овощи'!D$3:AAB$3%)</f>
        <v>0</v>
      </c>
      <c r="F45" s="21">
        <f>SUMPRODUCT('Орехи и семена'!D45:ZZ45,'Орехи и семена'!D$3:ZZ$3%)</f>
        <v>0</v>
      </c>
      <c r="G45" s="21">
        <f>SUMPRODUCT('Зерновые'!D45:AAD45,'Зерновые'!D$3:AAD$3%)</f>
        <v>0</v>
      </c>
      <c r="H45" s="21">
        <f>SUMPRODUCT('Бобовые'!D45:AAA45,'Бобовые'!D$3:AAA$3%)</f>
        <v>0</v>
      </c>
      <c r="I45" s="21">
        <f>SUMPRODUCT('Масла'!D45:ZZ45,'Масла'!D$3:ZZ$3%)</f>
        <v>0</v>
      </c>
      <c r="J45" s="21">
        <f>SUMPRODUCT('Грибы'!D45:ZZ45,'Грибы'!D$3:ZZ$3%)</f>
        <v>0</v>
      </c>
      <c r="K45" s="21">
        <f>SUMPRODUCT('Травы и специи'!D45:ZV45,'Травы и специи'!D$3:ZV$3%)</f>
        <v>0</v>
      </c>
      <c r="L45" s="21">
        <f>SUMPRODUCT('Добавки'!D45:ZZ45,'Добавки'!D$3:ZZ$3%)</f>
        <v>0</v>
      </c>
      <c r="M45" s="88">
        <f>SUMPRODUCT('Психоактивы'!D45:ZZ45,'Психоактивы'!D$3:ZZ$3%)</f>
        <v>0</v>
      </c>
      <c r="N45" s="31">
        <f>SUMPRODUCT('Животные'!D45:ZZ45,'Животные'!D$3:ZZ$3%)</f>
        <v>0</v>
      </c>
      <c r="O45" s="123">
        <f t="shared" si="4"/>
        <v>0</v>
      </c>
      <c r="P45" s="124" t="s">
        <v>160</v>
      </c>
      <c r="Q45" s="132" t="s">
        <v>165</v>
      </c>
      <c r="R45" s="117" t="s">
        <v>164</v>
      </c>
      <c r="S45" s="21"/>
      <c r="T45" s="21"/>
      <c r="U45" s="21"/>
      <c r="V45" s="21"/>
      <c r="W45" s="21"/>
      <c r="X45" s="21"/>
    </row>
    <row r="46" ht="14.25" customHeight="1">
      <c r="A46" s="19" t="s">
        <v>166</v>
      </c>
      <c r="B46" s="30" t="s">
        <v>167</v>
      </c>
      <c r="C46" s="27"/>
      <c r="D46" s="46"/>
      <c r="E46" s="46"/>
      <c r="F46" s="46"/>
      <c r="G46" s="46"/>
      <c r="H46" s="46"/>
      <c r="I46" s="46"/>
      <c r="J46" s="46"/>
      <c r="K46" s="46"/>
      <c r="L46" s="46"/>
      <c r="M46" s="126"/>
      <c r="N46" s="127"/>
      <c r="O46" s="128"/>
      <c r="P46" s="133" t="s">
        <v>660</v>
      </c>
      <c r="Q46" s="134" t="s">
        <v>661</v>
      </c>
      <c r="R46" s="122" t="s">
        <v>166</v>
      </c>
      <c r="S46" s="46"/>
      <c r="T46" s="46"/>
      <c r="U46" s="46"/>
      <c r="V46" s="46"/>
      <c r="W46" s="46"/>
      <c r="X46" s="46"/>
      <c r="Y46" s="46"/>
      <c r="Z46" s="46"/>
    </row>
    <row r="47" ht="14.25" customHeight="1">
      <c r="A47" s="31" t="s">
        <v>168</v>
      </c>
      <c r="B47" s="32" t="s">
        <v>169</v>
      </c>
      <c r="C47" s="32"/>
      <c r="D47" s="31">
        <f>SUMPRODUCT('Фрукты'!D47:ZY47,'Фрукты'!D$3:ZY$3%)</f>
        <v>0</v>
      </c>
      <c r="E47" s="31">
        <f>SUMPRODUCT('Овощи'!D47:AAB47,'Овощи'!D$3:AAB$3%)</f>
        <v>0</v>
      </c>
      <c r="F47" s="31">
        <f>SUMPRODUCT('Орехи и семена'!D47:ZZ47,'Орехи и семена'!D$3:ZZ$3%)</f>
        <v>0</v>
      </c>
      <c r="G47" s="31">
        <f>SUMPRODUCT('Зерновые'!D47:AAD47,'Зерновые'!D$3:AAD$3%)</f>
        <v>0</v>
      </c>
      <c r="H47" s="31">
        <f>SUMPRODUCT('Бобовые'!D47:AAA47,'Бобовые'!D$3:AAA$3%)</f>
        <v>0</v>
      </c>
      <c r="I47" s="31">
        <f>SUMPRODUCT('Масла'!D47:ZZ47,'Масла'!D$3:ZZ$3%)</f>
        <v>0</v>
      </c>
      <c r="J47" s="31">
        <f>SUMPRODUCT('Грибы'!D47:ZZ47,'Грибы'!D$3:ZZ$3%)</f>
        <v>0</v>
      </c>
      <c r="K47" s="31">
        <f>SUMPRODUCT('Травы и специи'!D47:ZV47,'Травы и специи'!D$3:ZV$3%)</f>
        <v>0</v>
      </c>
      <c r="L47" s="21">
        <f>SUMPRODUCT('Добавки'!D47:ZZ47,'Добавки'!D$3:ZZ$3%)</f>
        <v>0</v>
      </c>
      <c r="M47" s="88">
        <f>SUMPRODUCT('Психоактивы'!D47:ZZ47,'Психоактивы'!D$3:ZZ$3%)</f>
        <v>0</v>
      </c>
      <c r="N47" s="31">
        <f>SUMPRODUCT('Животные'!D47:ZZ47,'Животные'!D$3:ZZ$3%)</f>
        <v>0</v>
      </c>
      <c r="O47" s="123">
        <f t="shared" ref="O47:O64" si="5">ROUND(SUM(D47:N47),3)</f>
        <v>0</v>
      </c>
      <c r="P47" s="31">
        <f>P2*0.004</f>
        <v>0.24</v>
      </c>
      <c r="Q47" s="135">
        <f t="shared" ref="Q47:Q53" si="6">O47/P47</f>
        <v>0</v>
      </c>
      <c r="R47" s="136" t="s">
        <v>168</v>
      </c>
      <c r="S47" s="137" t="s">
        <v>662</v>
      </c>
      <c r="T47" s="31"/>
      <c r="U47" s="31"/>
      <c r="V47" s="31"/>
      <c r="W47" s="31"/>
      <c r="X47" s="31"/>
      <c r="Y47" s="31"/>
      <c r="Z47" s="31"/>
    </row>
    <row r="48" ht="14.25" customHeight="1">
      <c r="A48" s="31" t="s">
        <v>170</v>
      </c>
      <c r="B48" s="32" t="s">
        <v>171</v>
      </c>
      <c r="C48" s="32"/>
      <c r="D48" s="31">
        <f>SUMPRODUCT('Фрукты'!D48:ZY48,'Фрукты'!D$3:ZY$3%)</f>
        <v>0</v>
      </c>
      <c r="E48" s="31">
        <f>SUMPRODUCT('Овощи'!D48:AAB48,'Овощи'!D$3:AAB$3%)</f>
        <v>0</v>
      </c>
      <c r="F48" s="31">
        <f>SUMPRODUCT('Орехи и семена'!D48:ZZ48,'Орехи и семена'!D$3:ZZ$3%)</f>
        <v>0</v>
      </c>
      <c r="G48" s="31">
        <f>SUMPRODUCT('Зерновые'!D48:AAD48,'Зерновые'!D$3:AAD$3%)</f>
        <v>0</v>
      </c>
      <c r="H48" s="31">
        <f>SUMPRODUCT('Бобовые'!D48:AAA48,'Бобовые'!D$3:AAA$3%)</f>
        <v>0</v>
      </c>
      <c r="I48" s="31">
        <f>SUMPRODUCT('Масла'!D48:ZZ48,'Масла'!D$3:ZZ$3%)</f>
        <v>0</v>
      </c>
      <c r="J48" s="31">
        <f>SUMPRODUCT('Грибы'!D48:ZZ48,'Грибы'!D$3:ZZ$3%)</f>
        <v>0</v>
      </c>
      <c r="K48" s="31">
        <f>SUMPRODUCT('Травы и специи'!D48:ZV48,'Травы и специи'!D$3:ZV$3%)</f>
        <v>0</v>
      </c>
      <c r="L48" s="21">
        <f>SUMPRODUCT('Добавки'!D48:ZZ48,'Добавки'!D$3:ZZ$3%)</f>
        <v>0</v>
      </c>
      <c r="M48" s="88">
        <f>SUMPRODUCT('Психоактивы'!D48:ZZ48,'Психоактивы'!D$3:ZZ$3%)</f>
        <v>0</v>
      </c>
      <c r="N48" s="31">
        <f>SUMPRODUCT('Животные'!D48:ZZ48,'Животные'!D$3:ZZ$3%)</f>
        <v>0</v>
      </c>
      <c r="O48" s="123">
        <f t="shared" si="5"/>
        <v>0</v>
      </c>
      <c r="P48" s="31">
        <f>P2*0.015</f>
        <v>0.9</v>
      </c>
      <c r="Q48" s="135">
        <f t="shared" si="6"/>
        <v>0</v>
      </c>
      <c r="R48" s="136" t="s">
        <v>170</v>
      </c>
      <c r="T48" s="31"/>
      <c r="U48" s="31"/>
      <c r="V48" s="31"/>
      <c r="W48" s="31"/>
      <c r="X48" s="31"/>
      <c r="Y48" s="31"/>
      <c r="Z48" s="31"/>
    </row>
    <row r="49" ht="14.25" customHeight="1">
      <c r="A49" s="31" t="s">
        <v>172</v>
      </c>
      <c r="B49" s="32" t="s">
        <v>173</v>
      </c>
      <c r="C49" s="32"/>
      <c r="D49" s="31">
        <f>SUMPRODUCT('Фрукты'!D49:ZY49,'Фрукты'!D$3:ZY$3%)</f>
        <v>0</v>
      </c>
      <c r="E49" s="31">
        <f>SUMPRODUCT('Овощи'!D49:AAB49,'Овощи'!D$3:AAB$3%)</f>
        <v>0</v>
      </c>
      <c r="F49" s="31">
        <f>SUMPRODUCT('Орехи и семена'!D49:ZZ49,'Орехи и семена'!D$3:ZZ$3%)</f>
        <v>0</v>
      </c>
      <c r="G49" s="31">
        <f>SUMPRODUCT('Зерновые'!D49:AAD49,'Зерновые'!D$3:AAD$3%)</f>
        <v>0</v>
      </c>
      <c r="H49" s="31">
        <f>SUMPRODUCT('Бобовые'!D49:AAA49,'Бобовые'!D$3:AAA$3%)</f>
        <v>0</v>
      </c>
      <c r="I49" s="31">
        <f>SUMPRODUCT('Масла'!D49:ZZ49,'Масла'!D$3:ZZ$3%)</f>
        <v>0</v>
      </c>
      <c r="J49" s="31">
        <f>SUMPRODUCT('Грибы'!D49:ZZ49,'Грибы'!D$3:ZZ$3%)</f>
        <v>0</v>
      </c>
      <c r="K49" s="31">
        <f>SUMPRODUCT('Травы и специи'!D49:ZV49,'Травы и специи'!D$3:ZV$3%)</f>
        <v>0</v>
      </c>
      <c r="L49" s="21">
        <f>SUMPRODUCT('Добавки'!D49:ZZ49,'Добавки'!D$3:ZZ$3%)</f>
        <v>0</v>
      </c>
      <c r="M49" s="88">
        <f>SUMPRODUCT('Психоактивы'!D49:ZZ49,'Психоактивы'!D$3:ZZ$3%)</f>
        <v>0</v>
      </c>
      <c r="N49" s="31">
        <f>SUMPRODUCT('Животные'!D49:ZZ49,'Животные'!D$3:ZZ$3%)</f>
        <v>0</v>
      </c>
      <c r="O49" s="123">
        <f t="shared" si="5"/>
        <v>0</v>
      </c>
      <c r="P49" s="31">
        <f>P2*0.02</f>
        <v>1.2</v>
      </c>
      <c r="Q49" s="135">
        <f t="shared" si="6"/>
        <v>0</v>
      </c>
      <c r="R49" s="136" t="s">
        <v>172</v>
      </c>
      <c r="T49" s="31"/>
      <c r="U49" s="31"/>
      <c r="V49" s="31"/>
      <c r="W49" s="31"/>
      <c r="X49" s="31"/>
      <c r="Y49" s="31"/>
      <c r="Z49" s="31"/>
    </row>
    <row r="50" ht="14.25" customHeight="1">
      <c r="A50" s="31" t="s">
        <v>174</v>
      </c>
      <c r="B50" s="32" t="s">
        <v>175</v>
      </c>
      <c r="C50" s="32"/>
      <c r="D50" s="31">
        <f>SUMPRODUCT('Фрукты'!D50:ZY50,'Фрукты'!D$3:ZY$3%)</f>
        <v>0</v>
      </c>
      <c r="E50" s="31">
        <f>SUMPRODUCT('Овощи'!D50:AAB50,'Овощи'!D$3:AAB$3%)</f>
        <v>0</v>
      </c>
      <c r="F50" s="31">
        <f>SUMPRODUCT('Орехи и семена'!D50:ZZ50,'Орехи и семена'!D$3:ZZ$3%)</f>
        <v>0</v>
      </c>
      <c r="G50" s="31">
        <f>SUMPRODUCT('Зерновые'!D50:AAD50,'Зерновые'!D$3:AAD$3%)</f>
        <v>0</v>
      </c>
      <c r="H50" s="31">
        <f>SUMPRODUCT('Бобовые'!D50:AAA50,'Бобовые'!D$3:AAA$3%)</f>
        <v>0</v>
      </c>
      <c r="I50" s="31">
        <f>SUMPRODUCT('Масла'!D50:ZZ50,'Масла'!D$3:ZZ$3%)</f>
        <v>0</v>
      </c>
      <c r="J50" s="31">
        <f>SUMPRODUCT('Грибы'!D50:ZZ50,'Грибы'!D$3:ZZ$3%)</f>
        <v>0</v>
      </c>
      <c r="K50" s="31">
        <f>SUMPRODUCT('Травы и специи'!D50:ZV50,'Травы и специи'!D$3:ZV$3%)</f>
        <v>0</v>
      </c>
      <c r="L50" s="21">
        <f>SUMPRODUCT('Добавки'!D50:ZZ50,'Добавки'!D$3:ZZ$3%)</f>
        <v>0</v>
      </c>
      <c r="M50" s="88">
        <f>SUMPRODUCT('Психоактивы'!D50:ZZ50,'Психоактивы'!D$3:ZZ$3%)</f>
        <v>0</v>
      </c>
      <c r="N50" s="31">
        <f>SUMPRODUCT('Животные'!D50:ZZ50,'Животные'!D$3:ZZ$3%)</f>
        <v>0</v>
      </c>
      <c r="O50" s="123">
        <f t="shared" si="5"/>
        <v>0</v>
      </c>
      <c r="P50" s="31">
        <f>P2*0.039</f>
        <v>2.34</v>
      </c>
      <c r="Q50" s="135">
        <f t="shared" si="6"/>
        <v>0</v>
      </c>
      <c r="R50" s="136" t="s">
        <v>174</v>
      </c>
      <c r="T50" s="31"/>
      <c r="U50" s="31"/>
      <c r="V50" s="31"/>
      <c r="W50" s="31"/>
      <c r="X50" s="31"/>
      <c r="Y50" s="31"/>
      <c r="Z50" s="31"/>
    </row>
    <row r="51" ht="14.25" customHeight="1">
      <c r="A51" s="31" t="s">
        <v>176</v>
      </c>
      <c r="B51" s="32" t="s">
        <v>177</v>
      </c>
      <c r="C51" s="32"/>
      <c r="D51" s="31">
        <f>SUMPRODUCT('Фрукты'!D51:ZY51,'Фрукты'!D$3:ZY$3%)</f>
        <v>0</v>
      </c>
      <c r="E51" s="31">
        <f>SUMPRODUCT('Овощи'!D51:AAB51,'Овощи'!D$3:AAB$3%)</f>
        <v>0</v>
      </c>
      <c r="F51" s="31">
        <f>SUMPRODUCT('Орехи и семена'!D51:ZZ51,'Орехи и семена'!D$3:ZZ$3%)</f>
        <v>0</v>
      </c>
      <c r="G51" s="31">
        <f>SUMPRODUCT('Зерновые'!D51:AAD51,'Зерновые'!D$3:AAD$3%)</f>
        <v>0</v>
      </c>
      <c r="H51" s="31">
        <f>SUMPRODUCT('Бобовые'!D51:AAA51,'Бобовые'!D$3:AAA$3%)</f>
        <v>0</v>
      </c>
      <c r="I51" s="31">
        <f>SUMPRODUCT('Масла'!D51:ZZ51,'Масла'!D$3:ZZ$3%)</f>
        <v>0</v>
      </c>
      <c r="J51" s="31">
        <f>SUMPRODUCT('Грибы'!D51:ZZ51,'Грибы'!D$3:ZZ$3%)</f>
        <v>0</v>
      </c>
      <c r="K51" s="31">
        <f>SUMPRODUCT('Травы и специи'!D51:ZV51,'Травы и специи'!D$3:ZV$3%)</f>
        <v>0</v>
      </c>
      <c r="L51" s="21">
        <f>SUMPRODUCT('Добавки'!D51:ZZ51,'Добавки'!D$3:ZZ$3%)</f>
        <v>0</v>
      </c>
      <c r="M51" s="88">
        <f>SUMPRODUCT('Психоактивы'!D51:ZZ51,'Психоактивы'!D$3:ZZ$3%)</f>
        <v>0</v>
      </c>
      <c r="N51" s="31">
        <f>SUMPRODUCT('Животные'!D51:ZZ51,'Животные'!D$3:ZZ$3%)</f>
        <v>0</v>
      </c>
      <c r="O51" s="123">
        <f t="shared" si="5"/>
        <v>0</v>
      </c>
      <c r="P51" s="31">
        <f>P2*0.03</f>
        <v>1.8</v>
      </c>
      <c r="Q51" s="135">
        <f t="shared" si="6"/>
        <v>0</v>
      </c>
      <c r="R51" s="136" t="s">
        <v>176</v>
      </c>
      <c r="T51" s="31"/>
      <c r="U51" s="31"/>
      <c r="V51" s="31"/>
      <c r="W51" s="31"/>
      <c r="X51" s="31"/>
      <c r="Y51" s="31"/>
      <c r="Z51" s="31"/>
    </row>
    <row r="52" ht="14.25" customHeight="1">
      <c r="A52" s="31" t="s">
        <v>178</v>
      </c>
      <c r="B52" s="32" t="s">
        <v>179</v>
      </c>
      <c r="C52" s="32"/>
      <c r="D52" s="31">
        <f>SUMPRODUCT('Фрукты'!D52:ZY52,'Фрукты'!D$3:ZY$3%)</f>
        <v>0</v>
      </c>
      <c r="E52" s="31">
        <f>SUMPRODUCT('Овощи'!D52:AAB52,'Овощи'!D$3:AAB$3%)</f>
        <v>0</v>
      </c>
      <c r="F52" s="31">
        <f>SUMPRODUCT('Орехи и семена'!D52:ZZ52,'Орехи и семена'!D$3:ZZ$3%)</f>
        <v>0</v>
      </c>
      <c r="G52" s="31">
        <f>SUMPRODUCT('Зерновые'!D52:AAD52,'Зерновые'!D$3:AAD$3%)</f>
        <v>0</v>
      </c>
      <c r="H52" s="31">
        <f>SUMPRODUCT('Бобовые'!D52:AAA52,'Бобовые'!D$3:AAA$3%)</f>
        <v>0</v>
      </c>
      <c r="I52" s="31">
        <f>SUMPRODUCT('Масла'!D52:ZZ52,'Масла'!D$3:ZZ$3%)</f>
        <v>0</v>
      </c>
      <c r="J52" s="31">
        <f>SUMPRODUCT('Грибы'!D52:ZZ52,'Грибы'!D$3:ZZ$3%)</f>
        <v>0</v>
      </c>
      <c r="K52" s="31">
        <f>SUMPRODUCT('Травы и специи'!D52:ZV52,'Травы и специи'!D$3:ZV$3%)</f>
        <v>0</v>
      </c>
      <c r="L52" s="21">
        <f>SUMPRODUCT('Добавки'!D52:ZZ52,'Добавки'!D$3:ZZ$3%)</f>
        <v>0</v>
      </c>
      <c r="M52" s="88">
        <f>SUMPRODUCT('Психоактивы'!D52:ZZ52,'Психоактивы'!D$3:ZZ$3%)</f>
        <v>0</v>
      </c>
      <c r="N52" s="31">
        <f>SUMPRODUCT('Животные'!D52:ZZ52,'Животные'!D$3:ZZ$3%)</f>
        <v>0</v>
      </c>
      <c r="O52" s="123">
        <f t="shared" si="5"/>
        <v>0</v>
      </c>
      <c r="P52" s="31">
        <f>P2*0.014</f>
        <v>0.84</v>
      </c>
      <c r="Q52" s="135">
        <f t="shared" si="6"/>
        <v>0</v>
      </c>
      <c r="R52" s="136" t="s">
        <v>178</v>
      </c>
      <c r="T52" s="31"/>
      <c r="U52" s="31"/>
      <c r="V52" s="31"/>
      <c r="W52" s="31"/>
      <c r="X52" s="31"/>
      <c r="Y52" s="31"/>
      <c r="Z52" s="31"/>
    </row>
    <row r="53" ht="14.25" customHeight="1">
      <c r="A53" s="21" t="s">
        <v>180</v>
      </c>
      <c r="B53" s="22" t="s">
        <v>181</v>
      </c>
      <c r="C53" s="22"/>
      <c r="D53" s="21">
        <f>SUMPRODUCT('Фрукты'!D53:ZY53,'Фрукты'!D$3:ZY$3%)</f>
        <v>0</v>
      </c>
      <c r="E53" s="21">
        <f>SUMPRODUCT('Овощи'!D53:AAB53,'Овощи'!D$3:AAB$3%)</f>
        <v>0</v>
      </c>
      <c r="F53" s="21">
        <f>SUMPRODUCT('Орехи и семена'!D53:ZZ53,'Орехи и семена'!D$3:ZZ$3%)</f>
        <v>0</v>
      </c>
      <c r="G53" s="21">
        <f>SUMPRODUCT('Зерновые'!D53:AAD53,'Зерновые'!D$3:AAD$3%)</f>
        <v>0</v>
      </c>
      <c r="H53" s="21">
        <f>SUMPRODUCT('Бобовые'!D53:AAA53,'Бобовые'!D$3:AAA$3%)</f>
        <v>0</v>
      </c>
      <c r="I53" s="21">
        <f>SUMPRODUCT('Масла'!D53:ZZ53,'Масла'!D$3:ZZ$3%)</f>
        <v>0</v>
      </c>
      <c r="J53" s="21">
        <f>SUMPRODUCT('Грибы'!D53:ZZ53,'Грибы'!D$3:ZZ$3%)</f>
        <v>0</v>
      </c>
      <c r="K53" s="21">
        <f>SUMPRODUCT('Травы и специи'!D53:ZV53,'Травы и специи'!D$3:ZV$3%)</f>
        <v>0</v>
      </c>
      <c r="L53" s="21">
        <f>SUMPRODUCT('Добавки'!D53:ZZ53,'Добавки'!D$3:ZZ$3%)</f>
        <v>0</v>
      </c>
      <c r="M53" s="88">
        <f>SUMPRODUCT('Психоактивы'!D53:ZZ53,'Психоактивы'!D$3:ZZ$3%)</f>
        <v>0</v>
      </c>
      <c r="N53" s="31">
        <f>SUMPRODUCT('Животные'!D53:ZZ53,'Животные'!D$3:ZZ$3%)</f>
        <v>0</v>
      </c>
      <c r="O53" s="123">
        <f t="shared" si="5"/>
        <v>0</v>
      </c>
      <c r="P53" s="21">
        <f>P2*0.0041</f>
        <v>0.246</v>
      </c>
      <c r="Q53" s="138">
        <f t="shared" si="6"/>
        <v>0</v>
      </c>
      <c r="R53" s="117" t="s">
        <v>180</v>
      </c>
      <c r="T53" s="21"/>
      <c r="U53" s="21"/>
      <c r="V53" s="21"/>
      <c r="W53" s="21"/>
      <c r="X53" s="21"/>
    </row>
    <row r="54" ht="14.25" customHeight="1">
      <c r="A54" s="31" t="s">
        <v>182</v>
      </c>
      <c r="B54" s="33" t="s">
        <v>183</v>
      </c>
      <c r="C54" s="139" t="s">
        <v>663</v>
      </c>
      <c r="D54" s="31">
        <f>SUMPRODUCT('Фрукты'!D54:ZY54,'Фрукты'!D$3:ZY$3%)</f>
        <v>0</v>
      </c>
      <c r="E54" s="31">
        <f>SUMPRODUCT('Овощи'!D54:AAB54,'Овощи'!D$3:AAB$3%)</f>
        <v>0</v>
      </c>
      <c r="F54" s="31">
        <f>SUMPRODUCT('Орехи и семена'!D54:ZZ54,'Орехи и семена'!D$3:ZZ$3%)</f>
        <v>0</v>
      </c>
      <c r="G54" s="31">
        <f>SUMPRODUCT('Зерновые'!D54:AAD54,'Зерновые'!D$3:AAD$3%)</f>
        <v>0</v>
      </c>
      <c r="H54" s="31">
        <f>SUMPRODUCT('Бобовые'!D54:AAA54,'Бобовые'!D$3:AAA$3%)</f>
        <v>0</v>
      </c>
      <c r="I54" s="31">
        <f>SUMPRODUCT('Масла'!D54:ZZ54,'Масла'!D$3:ZZ$3%)</f>
        <v>0</v>
      </c>
      <c r="J54" s="31">
        <f>SUMPRODUCT('Грибы'!D54:ZZ54,'Грибы'!D$3:ZZ$3%)</f>
        <v>0</v>
      </c>
      <c r="K54" s="31">
        <f>SUMPRODUCT('Травы и специи'!D54:ZV54,'Травы и специи'!D$3:ZV$3%)</f>
        <v>0</v>
      </c>
      <c r="L54" s="21">
        <f>SUMPRODUCT('Добавки'!D54:ZZ54,'Добавки'!D$3:ZZ$3%)</f>
        <v>0</v>
      </c>
      <c r="M54" s="88">
        <f>SUMPRODUCT('Психоактивы'!D54:ZZ54,'Психоактивы'!D$3:ZZ$3%)</f>
        <v>0</v>
      </c>
      <c r="N54" s="31">
        <f>SUMPRODUCT('Животные'!D54:ZZ54,'Животные'!D$3:ZZ$3%)</f>
        <v>0</v>
      </c>
      <c r="O54" s="123">
        <f t="shared" si="5"/>
        <v>0</v>
      </c>
      <c r="P54" s="140">
        <f>P2*0.025</f>
        <v>1.5</v>
      </c>
      <c r="Q54" s="141">
        <f>(O54+O55)/P54</f>
        <v>0</v>
      </c>
      <c r="R54" s="136" t="s">
        <v>182</v>
      </c>
      <c r="T54" s="31"/>
      <c r="U54" s="31"/>
      <c r="V54" s="31"/>
      <c r="W54" s="31"/>
      <c r="X54" s="31"/>
      <c r="Y54" s="31"/>
      <c r="Z54" s="31"/>
    </row>
    <row r="55" ht="14.25" customHeight="1">
      <c r="A55" s="21" t="s">
        <v>184</v>
      </c>
      <c r="D55" s="21">
        <f>SUMPRODUCT('Фрукты'!D55:ZY55,'Фрукты'!D$3:ZY$3%)</f>
        <v>0</v>
      </c>
      <c r="E55" s="21">
        <f>SUMPRODUCT('Овощи'!D55:AAB55,'Овощи'!D$3:AAB$3%)</f>
        <v>0</v>
      </c>
      <c r="F55" s="21">
        <f>SUMPRODUCT('Орехи и семена'!D55:ZZ55,'Орехи и семена'!D$3:ZZ$3%)</f>
        <v>0</v>
      </c>
      <c r="G55" s="21">
        <f>SUMPRODUCT('Зерновые'!D55:AAD55,'Зерновые'!D$3:AAD$3%)</f>
        <v>0</v>
      </c>
      <c r="H55" s="21">
        <f>SUMPRODUCT('Бобовые'!D55:AAA55,'Бобовые'!D$3:AAA$3%)</f>
        <v>0</v>
      </c>
      <c r="I55" s="21">
        <f>SUMPRODUCT('Масла'!D55:ZZ55,'Масла'!D$3:ZZ$3%)</f>
        <v>0</v>
      </c>
      <c r="J55" s="21">
        <f>SUMPRODUCT('Грибы'!D55:ZZ55,'Грибы'!D$3:ZZ$3%)</f>
        <v>0</v>
      </c>
      <c r="K55" s="21">
        <f>SUMPRODUCT('Травы и специи'!D55:ZV55,'Травы и специи'!D$3:ZV$3%)</f>
        <v>0</v>
      </c>
      <c r="L55" s="21">
        <f>SUMPRODUCT('Добавки'!D55:ZZ55,'Добавки'!D$3:ZZ$3%)</f>
        <v>0</v>
      </c>
      <c r="M55" s="88">
        <f>SUMPRODUCT('Психоактивы'!D55:ZZ55,'Психоактивы'!D$3:ZZ$3%)</f>
        <v>0</v>
      </c>
      <c r="N55" s="31">
        <f>SUMPRODUCT('Животные'!D55:ZZ55,'Животные'!D$3:ZZ$3%)</f>
        <v>0</v>
      </c>
      <c r="O55" s="123">
        <f t="shared" si="5"/>
        <v>0</v>
      </c>
      <c r="R55" s="117" t="s">
        <v>184</v>
      </c>
      <c r="T55" s="21"/>
      <c r="U55" s="21"/>
      <c r="V55" s="21"/>
      <c r="W55" s="21"/>
      <c r="X55" s="21"/>
    </row>
    <row r="56" ht="14.25" customHeight="1">
      <c r="A56" s="31" t="s">
        <v>185</v>
      </c>
      <c r="B56" s="32" t="s">
        <v>186</v>
      </c>
      <c r="C56" s="32"/>
      <c r="D56" s="31">
        <f>SUMPRODUCT('Фрукты'!D56:ZY56,'Фрукты'!D$3:ZY$3%)</f>
        <v>0</v>
      </c>
      <c r="E56" s="31">
        <f>SUMPRODUCT('Овощи'!D56:AAB56,'Овощи'!D$3:AAB$3%)</f>
        <v>0</v>
      </c>
      <c r="F56" s="31">
        <f>SUMPRODUCT('Орехи и семена'!D56:ZZ56,'Орехи и семена'!D$3:ZZ$3%)</f>
        <v>0</v>
      </c>
      <c r="G56" s="31">
        <f>SUMPRODUCT('Зерновые'!D56:AAD56,'Зерновые'!D$3:AAD$3%)</f>
        <v>0</v>
      </c>
      <c r="H56" s="31">
        <f>SUMPRODUCT('Бобовые'!D56:AAA56,'Бобовые'!D$3:AAA$3%)</f>
        <v>0</v>
      </c>
      <c r="I56" s="31">
        <f>SUMPRODUCT('Масла'!D56:ZZ56,'Масла'!D$3:ZZ$3%)</f>
        <v>0</v>
      </c>
      <c r="J56" s="31">
        <f>SUMPRODUCT('Грибы'!D56:ZZ56,'Грибы'!D$3:ZZ$3%)</f>
        <v>0</v>
      </c>
      <c r="K56" s="31">
        <f>SUMPRODUCT('Травы и специи'!D56:ZV56,'Травы и специи'!D$3:ZV$3%)</f>
        <v>0</v>
      </c>
      <c r="L56" s="21">
        <f>SUMPRODUCT('Добавки'!D56:ZZ56,'Добавки'!D$3:ZZ$3%)</f>
        <v>0</v>
      </c>
      <c r="M56" s="88">
        <f>SUMPRODUCT('Психоактивы'!D56:ZZ56,'Психоактивы'!D$3:ZZ$3%)</f>
        <v>0</v>
      </c>
      <c r="N56" s="31">
        <f>SUMPRODUCT('Животные'!D56:ZZ56,'Животные'!D$3:ZZ$3%)</f>
        <v>0</v>
      </c>
      <c r="O56" s="123">
        <f t="shared" si="5"/>
        <v>0</v>
      </c>
      <c r="P56" s="31">
        <f>P2*0.026</f>
        <v>1.56</v>
      </c>
      <c r="Q56" s="135">
        <f>O56/P56</f>
        <v>0</v>
      </c>
      <c r="R56" s="136" t="s">
        <v>185</v>
      </c>
      <c r="T56" s="31"/>
      <c r="U56" s="31"/>
      <c r="V56" s="31"/>
      <c r="W56" s="31"/>
      <c r="X56" s="31"/>
      <c r="Y56" s="31"/>
      <c r="Z56" s="31"/>
    </row>
    <row r="57" ht="14.25" customHeight="1">
      <c r="A57" s="34" t="s">
        <v>187</v>
      </c>
      <c r="B57" s="35"/>
      <c r="C57" s="35"/>
      <c r="D57" s="34">
        <f>SUMPRODUCT('Фрукты'!D57:ZY57,'Фрукты'!D$3:ZY$3%)</f>
        <v>0</v>
      </c>
      <c r="E57" s="34">
        <f>SUMPRODUCT('Овощи'!D57:AAB57,'Овощи'!D$3:AAB$3%)</f>
        <v>0</v>
      </c>
      <c r="F57" s="34">
        <f>SUMPRODUCT('Орехи и семена'!D57:ZZ57,'Орехи и семена'!D$3:ZZ$3%)</f>
        <v>0</v>
      </c>
      <c r="G57" s="34">
        <f>SUMPRODUCT('Зерновые'!D57:AAD57,'Зерновые'!D$3:AAD$3%)</f>
        <v>0</v>
      </c>
      <c r="H57" s="34">
        <f>SUMPRODUCT('Бобовые'!D57:AAA57,'Бобовые'!D$3:AAA$3%)</f>
        <v>0</v>
      </c>
      <c r="I57" s="34">
        <f>SUMPRODUCT('Масла'!D57:ZZ57,'Масла'!D$3:ZZ$3%)</f>
        <v>0</v>
      </c>
      <c r="J57" s="34">
        <f>SUMPRODUCT('Грибы'!D57:ZZ57,'Грибы'!D$3:ZZ$3%)</f>
        <v>0</v>
      </c>
      <c r="K57" s="34">
        <f>SUMPRODUCT('Травы и специи'!D57:ZV57,'Травы и специи'!D$3:ZV$3%)</f>
        <v>0</v>
      </c>
      <c r="L57" s="21">
        <f>SUMPRODUCT('Добавки'!D57:ZZ57,'Добавки'!D$3:ZZ$3%)</f>
        <v>0</v>
      </c>
      <c r="M57" s="88">
        <f>SUMPRODUCT('Психоактивы'!D57:ZZ57,'Психоактивы'!D$3:ZZ$3%)</f>
        <v>0</v>
      </c>
      <c r="N57" s="31">
        <f>SUMPRODUCT('Животные'!D57:ZZ57,'Животные'!D$3:ZZ$3%)</f>
        <v>0</v>
      </c>
      <c r="O57" s="123">
        <f t="shared" si="5"/>
        <v>0</v>
      </c>
      <c r="P57" s="34"/>
      <c r="Q57" s="142"/>
      <c r="R57" s="125" t="s">
        <v>187</v>
      </c>
      <c r="S57" s="143" t="s">
        <v>664</v>
      </c>
      <c r="T57" s="34"/>
      <c r="U57" s="34"/>
      <c r="V57" s="34"/>
      <c r="W57" s="34"/>
      <c r="X57" s="34"/>
      <c r="Y57" s="34"/>
      <c r="Z57" s="34"/>
    </row>
    <row r="58" ht="14.25" customHeight="1">
      <c r="A58" s="34" t="s">
        <v>188</v>
      </c>
      <c r="B58" s="35" t="s">
        <v>189</v>
      </c>
      <c r="C58" s="35"/>
      <c r="D58" s="34">
        <f>SUMPRODUCT('Фрукты'!D58:ZY58,'Фрукты'!D$3:ZY$3%)</f>
        <v>0</v>
      </c>
      <c r="E58" s="34">
        <f>SUMPRODUCT('Овощи'!D58:AAB58,'Овощи'!D$3:AAB$3%)</f>
        <v>0</v>
      </c>
      <c r="F58" s="34">
        <f>SUMPRODUCT('Орехи и семена'!D58:ZZ58,'Орехи и семена'!D$3:ZZ$3%)</f>
        <v>0</v>
      </c>
      <c r="G58" s="34">
        <f>SUMPRODUCT('Зерновые'!D58:AAD58,'Зерновые'!D$3:AAD$3%)</f>
        <v>0</v>
      </c>
      <c r="H58" s="34">
        <f>SUMPRODUCT('Бобовые'!D58:AAA58,'Бобовые'!D$3:AAA$3%)</f>
        <v>0</v>
      </c>
      <c r="I58" s="34">
        <f>SUMPRODUCT('Масла'!D58:ZZ58,'Масла'!D$3:ZZ$3%)</f>
        <v>0</v>
      </c>
      <c r="J58" s="34">
        <f>SUMPRODUCT('Грибы'!D58:ZZ58,'Грибы'!D$3:ZZ$3%)</f>
        <v>0</v>
      </c>
      <c r="K58" s="34">
        <f>SUMPRODUCT('Травы и специи'!D58:ZV58,'Травы и специи'!D$3:ZV$3%)</f>
        <v>0</v>
      </c>
      <c r="L58" s="21">
        <f>SUMPRODUCT('Добавки'!D58:ZZ58,'Добавки'!D$3:ZZ$3%)</f>
        <v>0</v>
      </c>
      <c r="M58" s="88">
        <f>SUMPRODUCT('Психоактивы'!D58:ZZ58,'Психоактивы'!D$3:ZZ$3%)</f>
        <v>0</v>
      </c>
      <c r="N58" s="31">
        <f>SUMPRODUCT('Животные'!D58:ZZ58,'Животные'!D$3:ZZ$3%)</f>
        <v>0</v>
      </c>
      <c r="O58" s="123">
        <f t="shared" si="5"/>
        <v>0</v>
      </c>
      <c r="P58" s="34">
        <f>P2*0.01</f>
        <v>0.6</v>
      </c>
      <c r="Q58" s="144">
        <f>O58/P58</f>
        <v>0</v>
      </c>
      <c r="R58" s="125" t="s">
        <v>188</v>
      </c>
      <c r="T58" s="34"/>
      <c r="U58" s="34"/>
      <c r="V58" s="34"/>
      <c r="W58" s="34"/>
      <c r="X58" s="34"/>
      <c r="Y58" s="34"/>
      <c r="Z58" s="34"/>
    </row>
    <row r="59" ht="14.25" customHeight="1">
      <c r="A59" s="21" t="s">
        <v>190</v>
      </c>
      <c r="B59" s="22"/>
      <c r="C59" s="22"/>
      <c r="D59" s="21">
        <f>SUMPRODUCT('Фрукты'!D59:ZY59,'Фрукты'!D$3:ZY$3%)</f>
        <v>0</v>
      </c>
      <c r="E59" s="21">
        <f>SUMPRODUCT('Овощи'!D59:AAB59,'Овощи'!D$3:AAB$3%)</f>
        <v>0</v>
      </c>
      <c r="F59" s="21">
        <f>SUMPRODUCT('Орехи и семена'!D59:ZZ59,'Орехи и семена'!D$3:ZZ$3%)</f>
        <v>0</v>
      </c>
      <c r="G59" s="21">
        <f>SUMPRODUCT('Зерновые'!D59:AAD59,'Зерновые'!D$3:AAD$3%)</f>
        <v>0</v>
      </c>
      <c r="H59" s="21">
        <f>SUMPRODUCT('Бобовые'!D59:AAA59,'Бобовые'!D$3:AAA$3%)</f>
        <v>0</v>
      </c>
      <c r="I59" s="21">
        <f>SUMPRODUCT('Масла'!D59:ZZ59,'Масла'!D$3:ZZ$3%)</f>
        <v>0</v>
      </c>
      <c r="J59" s="21">
        <f>SUMPRODUCT('Грибы'!D59:ZZ59,'Грибы'!D$3:ZZ$3%)</f>
        <v>0</v>
      </c>
      <c r="K59" s="21">
        <f>SUMPRODUCT('Травы и специи'!D59:ZV59,'Травы и специи'!D$3:ZV$3%)</f>
        <v>0</v>
      </c>
      <c r="L59" s="21">
        <f>SUMPRODUCT('Добавки'!D59:ZZ59,'Добавки'!D$3:ZZ$3%)</f>
        <v>0</v>
      </c>
      <c r="M59" s="88">
        <f>SUMPRODUCT('Психоактивы'!D59:ZZ59,'Психоактивы'!D$3:ZZ$3%)</f>
        <v>0</v>
      </c>
      <c r="N59" s="31">
        <f>SUMPRODUCT('Животные'!D59:ZZ59,'Животные'!D$3:ZZ$3%)</f>
        <v>0</v>
      </c>
      <c r="O59" s="123">
        <f t="shared" si="5"/>
        <v>0</v>
      </c>
      <c r="P59" s="124"/>
      <c r="Q59" s="124"/>
      <c r="R59" s="117" t="s">
        <v>190</v>
      </c>
      <c r="S59" s="21"/>
      <c r="T59" s="21"/>
      <c r="U59" s="21"/>
      <c r="V59" s="21"/>
      <c r="W59" s="21"/>
      <c r="X59" s="21"/>
    </row>
    <row r="60" ht="14.25" customHeight="1">
      <c r="A60" s="21" t="s">
        <v>191</v>
      </c>
      <c r="B60" s="22"/>
      <c r="C60" s="22"/>
      <c r="D60" s="21">
        <f>SUMPRODUCT('Фрукты'!D60:ZY60,'Фрукты'!D$3:ZY$3%)</f>
        <v>0</v>
      </c>
      <c r="E60" s="21">
        <f>SUMPRODUCT('Овощи'!D60:AAB60,'Овощи'!D$3:AAB$3%)</f>
        <v>0</v>
      </c>
      <c r="F60" s="21">
        <f>SUMPRODUCT('Орехи и семена'!D60:ZZ60,'Орехи и семена'!D$3:ZZ$3%)</f>
        <v>0</v>
      </c>
      <c r="G60" s="21">
        <f>SUMPRODUCT('Зерновые'!D60:AAD60,'Зерновые'!D$3:AAD$3%)</f>
        <v>0</v>
      </c>
      <c r="H60" s="21">
        <f>SUMPRODUCT('Бобовые'!D60:AAA60,'Бобовые'!D$3:AAA$3%)</f>
        <v>0</v>
      </c>
      <c r="I60" s="21">
        <f>SUMPRODUCT('Масла'!D60:ZZ60,'Масла'!D$3:ZZ$3%)</f>
        <v>0</v>
      </c>
      <c r="J60" s="21">
        <f>SUMPRODUCT('Грибы'!D60:ZZ60,'Грибы'!D$3:ZZ$3%)</f>
        <v>0</v>
      </c>
      <c r="K60" s="21">
        <f>SUMPRODUCT('Травы и специи'!D60:ZV60,'Травы и специи'!D$3:ZV$3%)</f>
        <v>0</v>
      </c>
      <c r="L60" s="21">
        <f>SUMPRODUCT('Добавки'!D60:ZZ60,'Добавки'!D$3:ZZ$3%)</f>
        <v>0</v>
      </c>
      <c r="M60" s="88">
        <f>SUMPRODUCT('Психоактивы'!D60:ZZ60,'Психоактивы'!D$3:ZZ$3%)</f>
        <v>0</v>
      </c>
      <c r="N60" s="31">
        <f>SUMPRODUCT('Животные'!D60:ZZ60,'Животные'!D$3:ZZ$3%)</f>
        <v>0</v>
      </c>
      <c r="O60" s="123">
        <f t="shared" si="5"/>
        <v>0</v>
      </c>
      <c r="P60" s="124"/>
      <c r="Q60" s="124"/>
      <c r="R60" s="117" t="s">
        <v>191</v>
      </c>
      <c r="S60" s="21"/>
      <c r="T60" s="21"/>
      <c r="U60" s="21"/>
      <c r="V60" s="21"/>
      <c r="W60" s="21"/>
      <c r="X60" s="21"/>
    </row>
    <row r="61" ht="14.25" customHeight="1">
      <c r="A61" s="21" t="s">
        <v>192</v>
      </c>
      <c r="B61" s="22"/>
      <c r="C61" s="22"/>
      <c r="D61" s="21">
        <f>SUMPRODUCT('Фрукты'!D61:ZY61,'Фрукты'!D$3:ZY$3%)</f>
        <v>0</v>
      </c>
      <c r="E61" s="21">
        <f>SUMPRODUCT('Овощи'!D61:AAB61,'Овощи'!D$3:AAB$3%)</f>
        <v>0</v>
      </c>
      <c r="F61" s="21">
        <f>SUMPRODUCT('Орехи и семена'!D61:ZZ61,'Орехи и семена'!D$3:ZZ$3%)</f>
        <v>0</v>
      </c>
      <c r="G61" s="21">
        <f>SUMPRODUCT('Зерновые'!D61:AAD61,'Зерновые'!D$3:AAD$3%)</f>
        <v>0</v>
      </c>
      <c r="H61" s="21">
        <f>SUMPRODUCT('Бобовые'!D61:AAA61,'Бобовые'!D$3:AAA$3%)</f>
        <v>0</v>
      </c>
      <c r="I61" s="21">
        <f>SUMPRODUCT('Масла'!D61:ZZ61,'Масла'!D$3:ZZ$3%)</f>
        <v>0</v>
      </c>
      <c r="J61" s="21">
        <f>SUMPRODUCT('Грибы'!D61:ZZ61,'Грибы'!D$3:ZZ$3%)</f>
        <v>0</v>
      </c>
      <c r="K61" s="21">
        <f>SUMPRODUCT('Травы и специи'!D61:ZV61,'Травы и специи'!D$3:ZV$3%)</f>
        <v>0</v>
      </c>
      <c r="L61" s="21">
        <f>SUMPRODUCT('Добавки'!D61:ZZ61,'Добавки'!D$3:ZZ$3%)</f>
        <v>0</v>
      </c>
      <c r="M61" s="88">
        <f>SUMPRODUCT('Психоактивы'!D61:ZZ61,'Психоактивы'!D$3:ZZ$3%)</f>
        <v>0</v>
      </c>
      <c r="N61" s="31">
        <f>SUMPRODUCT('Животные'!D61:ZZ61,'Животные'!D$3:ZZ$3%)</f>
        <v>0</v>
      </c>
      <c r="O61" s="123">
        <f t="shared" si="5"/>
        <v>0</v>
      </c>
      <c r="P61" s="124"/>
      <c r="Q61" s="124"/>
      <c r="R61" s="117" t="s">
        <v>192</v>
      </c>
      <c r="S61" s="21"/>
      <c r="T61" s="21"/>
      <c r="U61" s="21"/>
      <c r="V61" s="21"/>
      <c r="W61" s="21"/>
      <c r="X61" s="21"/>
    </row>
    <row r="62" ht="14.25" customHeight="1">
      <c r="A62" s="21" t="s">
        <v>193</v>
      </c>
      <c r="B62" s="22"/>
      <c r="C62" s="22"/>
      <c r="D62" s="21">
        <f>SUMPRODUCT('Фрукты'!D62:ZY62,'Фрукты'!D$3:ZY$3%)</f>
        <v>0</v>
      </c>
      <c r="E62" s="21">
        <f>SUMPRODUCT('Овощи'!D62:AAB62,'Овощи'!D$3:AAB$3%)</f>
        <v>0</v>
      </c>
      <c r="F62" s="21">
        <f>SUMPRODUCT('Орехи и семена'!D62:ZZ62,'Орехи и семена'!D$3:ZZ$3%)</f>
        <v>0</v>
      </c>
      <c r="G62" s="21">
        <f>SUMPRODUCT('Зерновые'!D62:AAD62,'Зерновые'!D$3:AAD$3%)</f>
        <v>0</v>
      </c>
      <c r="H62" s="21">
        <f>SUMPRODUCT('Бобовые'!D62:AAA62,'Бобовые'!D$3:AAA$3%)</f>
        <v>0</v>
      </c>
      <c r="I62" s="21">
        <f>SUMPRODUCT('Масла'!D62:ZZ62,'Масла'!D$3:ZZ$3%)</f>
        <v>0</v>
      </c>
      <c r="J62" s="21">
        <f>SUMPRODUCT('Грибы'!D62:ZZ62,'Грибы'!D$3:ZZ$3%)</f>
        <v>0</v>
      </c>
      <c r="K62" s="21">
        <f>SUMPRODUCT('Травы и специи'!D62:ZV62,'Травы и специи'!D$3:ZV$3%)</f>
        <v>0</v>
      </c>
      <c r="L62" s="21">
        <f>SUMPRODUCT('Добавки'!D62:ZZ62,'Добавки'!D$3:ZZ$3%)</f>
        <v>0</v>
      </c>
      <c r="M62" s="88">
        <f>SUMPRODUCT('Психоактивы'!D62:ZZ62,'Психоактивы'!D$3:ZZ$3%)</f>
        <v>0</v>
      </c>
      <c r="N62" s="31">
        <f>SUMPRODUCT('Животные'!D62:ZZ62,'Животные'!D$3:ZZ$3%)</f>
        <v>0</v>
      </c>
      <c r="O62" s="123">
        <f t="shared" si="5"/>
        <v>0</v>
      </c>
      <c r="P62" s="124"/>
      <c r="Q62" s="124"/>
      <c r="R62" s="117" t="s">
        <v>193</v>
      </c>
      <c r="S62" s="21"/>
      <c r="T62" s="21"/>
      <c r="U62" s="21"/>
      <c r="V62" s="21"/>
      <c r="W62" s="21"/>
      <c r="X62" s="21"/>
    </row>
    <row r="63" ht="14.25" customHeight="1">
      <c r="A63" s="21" t="s">
        <v>194</v>
      </c>
      <c r="B63" s="22"/>
      <c r="C63" s="22"/>
      <c r="D63" s="21">
        <f>SUMPRODUCT('Фрукты'!D63:ZY63,'Фрукты'!D$3:ZY$3%)</f>
        <v>0</v>
      </c>
      <c r="E63" s="21">
        <f>SUMPRODUCT('Овощи'!D63:AAB63,'Овощи'!D$3:AAB$3%)</f>
        <v>0</v>
      </c>
      <c r="F63" s="21">
        <f>SUMPRODUCT('Орехи и семена'!D63:ZZ63,'Орехи и семена'!D$3:ZZ$3%)</f>
        <v>0</v>
      </c>
      <c r="G63" s="21">
        <f>SUMPRODUCT('Зерновые'!D63:AAD63,'Зерновые'!D$3:AAD$3%)</f>
        <v>0</v>
      </c>
      <c r="H63" s="21">
        <f>SUMPRODUCT('Бобовые'!D63:AAA63,'Бобовые'!D$3:AAA$3%)</f>
        <v>0</v>
      </c>
      <c r="I63" s="21">
        <f>SUMPRODUCT('Масла'!D63:ZZ63,'Масла'!D$3:ZZ$3%)</f>
        <v>0</v>
      </c>
      <c r="J63" s="21">
        <f>SUMPRODUCT('Грибы'!D63:ZZ63,'Грибы'!D$3:ZZ$3%)</f>
        <v>0</v>
      </c>
      <c r="K63" s="21">
        <f>SUMPRODUCT('Травы и специи'!D63:ZV63,'Травы и специи'!D$3:ZV$3%)</f>
        <v>0</v>
      </c>
      <c r="L63" s="21">
        <f>SUMPRODUCT('Добавки'!D63:ZZ63,'Добавки'!D$3:ZZ$3%)</f>
        <v>0</v>
      </c>
      <c r="M63" s="88">
        <f>SUMPRODUCT('Психоактивы'!D63:ZZ63,'Психоактивы'!D$3:ZZ$3%)</f>
        <v>0</v>
      </c>
      <c r="N63" s="31">
        <f>SUMPRODUCT('Животные'!D63:ZZ63,'Животные'!D$3:ZZ$3%)</f>
        <v>0</v>
      </c>
      <c r="O63" s="123">
        <f t="shared" si="5"/>
        <v>0</v>
      </c>
      <c r="P63" s="124"/>
      <c r="Q63" s="124"/>
      <c r="R63" s="117" t="s">
        <v>194</v>
      </c>
      <c r="S63" s="21"/>
      <c r="T63" s="21"/>
      <c r="U63" s="21"/>
      <c r="V63" s="21"/>
      <c r="W63" s="21"/>
      <c r="X63" s="21"/>
    </row>
    <row r="64" ht="14.25" customHeight="1">
      <c r="A64" s="21" t="s">
        <v>195</v>
      </c>
      <c r="B64" s="22"/>
      <c r="C64" s="22"/>
      <c r="D64" s="21"/>
      <c r="E64" s="21">
        <f>SUMPRODUCT('Овощи'!D64:AAB64,'Овощи'!D$3:AAB$3%)</f>
        <v>0</v>
      </c>
      <c r="F64" s="21">
        <f>SUMPRODUCT('Орехи и семена'!D64:ZZ64,'Орехи и семена'!D$3:ZZ$3%)</f>
        <v>0</v>
      </c>
      <c r="G64" s="21">
        <f>SUMPRODUCT('Зерновые'!D64:AAD64,'Зерновые'!D$3:AAD$3%)</f>
        <v>0</v>
      </c>
      <c r="H64" s="21">
        <f>SUMPRODUCT('Бобовые'!D64:AAA64,'Бобовые'!D$3:AAA$3%)</f>
        <v>0</v>
      </c>
      <c r="I64" s="21">
        <f>SUMPRODUCT('Масла'!D64:ZZ64,'Масла'!D$3:ZZ$3%)</f>
        <v>0</v>
      </c>
      <c r="J64" s="21">
        <f>SUMPRODUCT('Грибы'!D64:ZZ64,'Грибы'!D$3:ZZ$3%)</f>
        <v>0</v>
      </c>
      <c r="K64" s="21">
        <f>SUMPRODUCT('Травы и специи'!D64:ZV64,'Травы и специи'!D$3:ZV$3%)</f>
        <v>0</v>
      </c>
      <c r="L64" s="21">
        <f>SUMPRODUCT('Добавки'!D64:ZZ64,'Добавки'!D$3:ZZ$3%)</f>
        <v>0</v>
      </c>
      <c r="M64" s="88">
        <f>SUMPRODUCT('Психоактивы'!D64:ZZ64,'Психоактивы'!D$3:ZZ$3%)</f>
        <v>0</v>
      </c>
      <c r="N64" s="31">
        <f>SUMPRODUCT('Животные'!D64:ZZ64,'Животные'!D$3:ZZ$3%)</f>
        <v>0</v>
      </c>
      <c r="O64" s="123">
        <f t="shared" si="5"/>
        <v>0</v>
      </c>
      <c r="P64" s="124"/>
      <c r="Q64" s="124"/>
      <c r="R64" s="117" t="s">
        <v>195</v>
      </c>
      <c r="S64" s="21"/>
      <c r="T64" s="21"/>
      <c r="U64" s="21"/>
      <c r="V64" s="21"/>
      <c r="W64" s="21"/>
      <c r="X64" s="21"/>
    </row>
    <row r="65" ht="14.25" customHeight="1">
      <c r="A65" s="52" t="s">
        <v>665</v>
      </c>
      <c r="B65" s="53"/>
      <c r="C65" s="54"/>
      <c r="D65" s="46"/>
      <c r="E65" s="46"/>
      <c r="F65" s="46"/>
      <c r="G65" s="46"/>
      <c r="H65" s="46"/>
      <c r="I65" s="46"/>
      <c r="J65" s="46"/>
      <c r="K65" s="46"/>
      <c r="L65" s="46"/>
      <c r="M65" s="126"/>
      <c r="N65" s="127"/>
      <c r="O65" s="145"/>
      <c r="P65" s="146"/>
      <c r="Q65" s="146"/>
      <c r="R65" s="52" t="s">
        <v>666</v>
      </c>
      <c r="S65" s="54"/>
      <c r="T65" s="46"/>
      <c r="U65" s="46"/>
      <c r="V65" s="46"/>
      <c r="W65" s="46"/>
      <c r="X65" s="46"/>
      <c r="Y65" s="46"/>
      <c r="Z65" s="46"/>
    </row>
    <row r="66" ht="14.25" customHeight="1">
      <c r="A66" s="56" t="s">
        <v>307</v>
      </c>
      <c r="B66" s="56" t="s">
        <v>308</v>
      </c>
      <c r="C66" s="56"/>
      <c r="D66" s="21">
        <f>SUMPRODUCT('Фрукты'!D66:ZY66,'Фрукты'!D$3:ZY$3%)</f>
        <v>0</v>
      </c>
      <c r="E66" s="21">
        <f>SUMPRODUCT('Овощи'!D66:AAB66,'Овощи'!D$3:AAB$3%)</f>
        <v>0</v>
      </c>
      <c r="F66" s="21">
        <f>SUMPRODUCT('Орехи и семена'!D66:ZZ66,'Орехи и семена'!D$3:ZZ$3%)</f>
        <v>0</v>
      </c>
      <c r="G66" s="21">
        <f>SUMPRODUCT('Зерновые'!D66:AAD66,'Зерновые'!D$3:AAD$3%)</f>
        <v>0</v>
      </c>
      <c r="H66" s="21">
        <f>SUMPRODUCT('Бобовые'!D66:AAA66,'Бобовые'!D$3:AAA$3%)</f>
        <v>0</v>
      </c>
      <c r="I66" s="21">
        <f>SUMPRODUCT('Масла'!D66:ZZ66,'Масла'!D$3:ZZ$3%)</f>
        <v>0</v>
      </c>
      <c r="J66" s="21">
        <f>SUMPRODUCT('Грибы'!D66:ZZ66,'Грибы'!D$3:ZZ$3%)</f>
        <v>0</v>
      </c>
      <c r="K66" s="21">
        <f>SUMPRODUCT('Травы и специи'!D66:ZV66,'Травы и специи'!D$3:ZV$3%)</f>
        <v>0</v>
      </c>
      <c r="L66" s="21">
        <f>SUMPRODUCT('Добавки'!D66:ZZ66,'Добавки'!D$3:ZZ$3%)</f>
        <v>0</v>
      </c>
      <c r="M66" s="88">
        <f>SUMPRODUCT('Психоактивы'!D66:ZZ66,'Психоактивы'!D$3:ZZ$3%)</f>
        <v>0</v>
      </c>
      <c r="N66" s="31">
        <f>SUMPRODUCT('Животные'!D66:ZZ66,'Животные'!D$3:ZZ$3%)</f>
        <v>0</v>
      </c>
      <c r="O66" s="147">
        <f t="shared" ref="O66:O67" si="7">ROUND(SUM(D66:N66),2)</f>
        <v>0</v>
      </c>
      <c r="P66" s="148" t="s">
        <v>308</v>
      </c>
      <c r="Q66" s="148"/>
      <c r="R66" s="148" t="s">
        <v>307</v>
      </c>
      <c r="S66" s="21"/>
      <c r="T66" s="21"/>
      <c r="U66" s="21"/>
      <c r="V66" s="21"/>
      <c r="W66" s="21"/>
      <c r="X66" s="21"/>
    </row>
    <row r="67" ht="14.25" customHeight="1">
      <c r="A67" s="56" t="s">
        <v>309</v>
      </c>
      <c r="B67" s="58" t="s">
        <v>310</v>
      </c>
      <c r="C67" s="56"/>
      <c r="D67" s="21">
        <f>SUMPRODUCT('Фрукты'!D67:ZY67,'Фрукты'!D$3:ZY$3%)</f>
        <v>0</v>
      </c>
      <c r="E67" s="21">
        <f>SUMPRODUCT('Овощи'!D67:AAB67,'Овощи'!D$3:AAB$3%)</f>
        <v>0</v>
      </c>
      <c r="F67" s="21">
        <f>SUMPRODUCT('Орехи и семена'!D67:ZZ67,'Орехи и семена'!D$3:ZZ$3%)</f>
        <v>0</v>
      </c>
      <c r="G67" s="21">
        <f>SUMPRODUCT('Зерновые'!D67:AAD67,'Зерновые'!D$3:AAD$3%)</f>
        <v>0</v>
      </c>
      <c r="H67" s="21">
        <f>SUMPRODUCT('Бобовые'!D67:AAA67,'Бобовые'!D$3:AAA$3%)</f>
        <v>0</v>
      </c>
      <c r="I67" s="21">
        <f>SUMPRODUCT('Масла'!D67:ZZ67,'Масла'!D$3:ZZ$3%)</f>
        <v>0</v>
      </c>
      <c r="J67" s="21">
        <f>SUMPRODUCT('Грибы'!D67:ZZ67,'Грибы'!D$3:ZZ$3%)</f>
        <v>0</v>
      </c>
      <c r="K67" s="21">
        <f>SUMPRODUCT('Травы и специи'!D67:ZV67,'Травы и специи'!D$3:ZV$3%)</f>
        <v>0</v>
      </c>
      <c r="L67" s="21">
        <f>SUMPRODUCT('Добавки'!D67:ZZ67,'Добавки'!D$3:ZZ$3%)</f>
        <v>0</v>
      </c>
      <c r="M67" s="88">
        <f>SUMPRODUCT('Психоактивы'!D67:ZZ67,'Психоактивы'!D$3:ZZ$3%)</f>
        <v>0</v>
      </c>
      <c r="N67" s="31">
        <f>SUMPRODUCT('Животные'!D67:ZZ67,'Животные'!D$3:ZZ$3%)</f>
        <v>0</v>
      </c>
      <c r="O67" s="147">
        <f t="shared" si="7"/>
        <v>0</v>
      </c>
      <c r="P67" s="149" t="s">
        <v>310</v>
      </c>
      <c r="Q67" s="148"/>
      <c r="R67" s="148" t="s">
        <v>667</v>
      </c>
      <c r="S67" s="21"/>
      <c r="T67" s="21"/>
      <c r="U67" s="21"/>
      <c r="V67" s="21"/>
      <c r="W67" s="21"/>
      <c r="X67" s="21"/>
    </row>
    <row r="68" ht="14.25" customHeight="1">
      <c r="A68" s="85" t="s">
        <v>556</v>
      </c>
      <c r="B68" s="86"/>
      <c r="C68" s="150"/>
      <c r="D68" s="87"/>
      <c r="E68" s="87"/>
      <c r="F68" s="87"/>
      <c r="G68" s="87"/>
      <c r="H68" s="87"/>
      <c r="I68" s="87"/>
      <c r="J68" s="87"/>
      <c r="K68" s="87"/>
      <c r="L68" s="87"/>
      <c r="M68" s="151"/>
      <c r="N68" s="152"/>
      <c r="O68" s="85"/>
      <c r="P68" s="153"/>
      <c r="Q68" s="154"/>
      <c r="R68" s="155" t="s">
        <v>556</v>
      </c>
      <c r="S68" s="87"/>
      <c r="T68" s="87"/>
      <c r="U68" s="87"/>
      <c r="V68" s="87"/>
      <c r="W68" s="87"/>
      <c r="X68" s="87"/>
      <c r="Y68" s="87"/>
      <c r="Z68" s="87"/>
    </row>
    <row r="69" ht="14.25" customHeight="1">
      <c r="A69" s="88" t="s">
        <v>557</v>
      </c>
      <c r="B69" s="89" t="s">
        <v>558</v>
      </c>
      <c r="C69" s="89"/>
      <c r="D69" s="21">
        <v>0.0</v>
      </c>
      <c r="E69" s="21">
        <v>0.0</v>
      </c>
      <c r="F69" s="21">
        <v>0.0</v>
      </c>
      <c r="G69" s="21">
        <v>0.0</v>
      </c>
      <c r="H69" s="21">
        <v>0.0</v>
      </c>
      <c r="I69" s="21">
        <v>0.0</v>
      </c>
      <c r="J69" s="21">
        <v>0.0</v>
      </c>
      <c r="K69" s="21">
        <v>0.0</v>
      </c>
      <c r="L69" s="21">
        <v>0.0</v>
      </c>
      <c r="M69" s="88">
        <f>SUMPRODUCT('Психоактивы'!D69:ZZ69,'Психоактивы'!D$3:ZZ$3%)</f>
        <v>0</v>
      </c>
      <c r="N69" s="31">
        <f>SUMPRODUCT('Животные'!D66:ZZ66,'Животные'!D$3:ZZ$3%)</f>
        <v>0</v>
      </c>
      <c r="O69" s="156">
        <f t="shared" ref="O69:O71" si="8">ROUND(SUM(D69:N69),2)</f>
        <v>0</v>
      </c>
      <c r="P69" s="157" t="s">
        <v>558</v>
      </c>
      <c r="Q69" s="157"/>
      <c r="R69" s="158" t="s">
        <v>557</v>
      </c>
      <c r="S69" s="21"/>
      <c r="T69" s="21"/>
      <c r="U69" s="21"/>
      <c r="V69" s="21"/>
      <c r="W69" s="21"/>
      <c r="X69" s="21"/>
    </row>
    <row r="70" ht="14.25" customHeight="1">
      <c r="A70" s="88" t="s">
        <v>559</v>
      </c>
      <c r="B70" s="89" t="s">
        <v>558</v>
      </c>
      <c r="C70" s="89"/>
      <c r="D70" s="21">
        <v>0.0</v>
      </c>
      <c r="E70" s="21">
        <v>0.0</v>
      </c>
      <c r="F70" s="21">
        <v>0.0</v>
      </c>
      <c r="G70" s="21">
        <v>0.0</v>
      </c>
      <c r="H70" s="21">
        <v>0.0</v>
      </c>
      <c r="I70" s="21">
        <v>0.0</v>
      </c>
      <c r="J70" s="21">
        <v>0.0</v>
      </c>
      <c r="K70" s="21">
        <v>0.0</v>
      </c>
      <c r="L70" s="21">
        <v>0.0</v>
      </c>
      <c r="M70" s="88">
        <f>SUMPRODUCT('Психоактивы'!D70:ZZ70,'Психоактивы'!D$3:ZZ$3%)</f>
        <v>0</v>
      </c>
      <c r="N70" s="31">
        <f>SUMPRODUCT('Животные'!D67:ZZ67,'Животные'!D$3:ZZ$3%)</f>
        <v>0</v>
      </c>
      <c r="O70" s="156">
        <f t="shared" si="8"/>
        <v>0</v>
      </c>
      <c r="P70" s="157" t="s">
        <v>558</v>
      </c>
      <c r="Q70" s="157"/>
      <c r="R70" s="158" t="s">
        <v>559</v>
      </c>
      <c r="S70" s="21"/>
      <c r="T70" s="21"/>
      <c r="U70" s="21"/>
      <c r="V70" s="21"/>
      <c r="W70" s="21"/>
      <c r="X70" s="21"/>
    </row>
    <row r="71" ht="14.25" customHeight="1">
      <c r="A71" s="88" t="s">
        <v>560</v>
      </c>
      <c r="B71" s="89" t="s">
        <v>558</v>
      </c>
      <c r="C71" s="89"/>
      <c r="D71" s="21">
        <v>0.0</v>
      </c>
      <c r="E71" s="21">
        <v>0.0</v>
      </c>
      <c r="F71" s="21">
        <v>0.0</v>
      </c>
      <c r="G71" s="21">
        <v>0.0</v>
      </c>
      <c r="H71" s="21">
        <v>0.0</v>
      </c>
      <c r="I71" s="21">
        <v>0.0</v>
      </c>
      <c r="J71" s="21">
        <v>0.0</v>
      </c>
      <c r="K71" s="21">
        <v>0.0</v>
      </c>
      <c r="L71" s="21">
        <v>0.0</v>
      </c>
      <c r="M71" s="88">
        <f>SUMPRODUCT('Психоактивы'!D71:ZZ71,'Психоактивы'!D$3:ZZ$3%)</f>
        <v>0</v>
      </c>
      <c r="N71" s="31">
        <f>SUMPRODUCT('Животные'!D68:ZZ68,'Животные'!D$3:ZZ$3%)</f>
        <v>0</v>
      </c>
      <c r="O71" s="156">
        <f t="shared" si="8"/>
        <v>0</v>
      </c>
      <c r="P71" s="157" t="s">
        <v>558</v>
      </c>
      <c r="Q71" s="157"/>
      <c r="R71" s="158" t="s">
        <v>560</v>
      </c>
      <c r="S71" s="21"/>
      <c r="T71" s="21"/>
      <c r="U71" s="21"/>
      <c r="V71" s="21"/>
      <c r="W71" s="21"/>
      <c r="X71" s="21"/>
    </row>
    <row r="72" ht="14.25" customHeight="1">
      <c r="B72" s="22"/>
      <c r="C72" s="22"/>
      <c r="M72" s="88"/>
      <c r="N72" s="31"/>
      <c r="O72" s="3"/>
      <c r="P72" s="124"/>
      <c r="Q72" s="124"/>
      <c r="R72" s="117"/>
    </row>
    <row r="73" ht="14.25" customHeight="1">
      <c r="A73" s="36" t="s">
        <v>196</v>
      </c>
      <c r="B73" s="37"/>
      <c r="C73" s="38"/>
      <c r="M73" s="88"/>
      <c r="N73" s="31"/>
      <c r="O73" s="3"/>
      <c r="P73" s="124"/>
      <c r="Q73" s="124"/>
      <c r="R73" s="117"/>
    </row>
    <row r="74" ht="14.25" customHeight="1">
      <c r="A74" s="39"/>
      <c r="C74" s="40"/>
      <c r="M74" s="88"/>
      <c r="N74" s="31"/>
      <c r="O74" s="3"/>
      <c r="P74" s="124"/>
      <c r="Q74" s="124"/>
      <c r="R74" s="117"/>
    </row>
    <row r="75" ht="14.25" customHeight="1">
      <c r="A75" s="39"/>
      <c r="C75" s="40"/>
      <c r="M75" s="88"/>
      <c r="N75" s="31"/>
      <c r="O75" s="3"/>
      <c r="P75" s="124"/>
      <c r="Q75" s="124"/>
      <c r="R75" s="117"/>
    </row>
    <row r="76" ht="14.25" customHeight="1">
      <c r="A76" s="39"/>
      <c r="C76" s="40"/>
      <c r="M76" s="88"/>
      <c r="N76" s="31"/>
      <c r="O76" s="3"/>
      <c r="P76" s="124"/>
      <c r="Q76" s="124"/>
      <c r="R76" s="117"/>
    </row>
    <row r="77" ht="14.25" customHeight="1">
      <c r="A77" s="41"/>
      <c r="B77" s="42"/>
      <c r="C77" s="43"/>
      <c r="M77" s="88"/>
      <c r="N77" s="31"/>
      <c r="O77" s="3"/>
      <c r="P77" s="124"/>
      <c r="Q77" s="124"/>
      <c r="R77" s="117"/>
    </row>
    <row r="78" ht="14.25" customHeight="1">
      <c r="A78" s="44" t="s">
        <v>197</v>
      </c>
      <c r="B78" s="21"/>
      <c r="C78" s="21"/>
      <c r="M78" s="88"/>
      <c r="N78" s="31"/>
      <c r="O78" s="3"/>
      <c r="P78" s="124"/>
      <c r="Q78" s="124"/>
      <c r="R78" s="117"/>
    </row>
    <row r="79" ht="14.25" customHeight="1">
      <c r="A79" s="44" t="s">
        <v>198</v>
      </c>
      <c r="B79" s="21"/>
      <c r="C79" s="21"/>
      <c r="M79" s="88"/>
      <c r="N79" s="31"/>
      <c r="O79" s="3"/>
      <c r="P79" s="124"/>
      <c r="Q79" s="124"/>
      <c r="R79" s="117"/>
    </row>
    <row r="80" ht="14.25" customHeight="1">
      <c r="A80" s="21"/>
      <c r="B80" s="21"/>
      <c r="C80" s="21"/>
      <c r="M80" s="88"/>
      <c r="N80" s="31"/>
      <c r="O80" s="3"/>
      <c r="P80" s="124"/>
      <c r="Q80" s="124"/>
      <c r="R80" s="117"/>
    </row>
    <row r="81" ht="14.25" customHeight="1">
      <c r="A81" s="36" t="s">
        <v>199</v>
      </c>
      <c r="B81" s="37"/>
      <c r="C81" s="38"/>
      <c r="M81" s="88"/>
      <c r="N81" s="31"/>
      <c r="O81" s="3"/>
      <c r="P81" s="124"/>
      <c r="Q81" s="124"/>
      <c r="R81" s="117"/>
    </row>
    <row r="82" ht="14.25" customHeight="1">
      <c r="A82" s="41"/>
      <c r="B82" s="42"/>
      <c r="C82" s="43"/>
      <c r="M82" s="88"/>
      <c r="N82" s="31"/>
      <c r="O82" s="3"/>
      <c r="P82" s="124"/>
      <c r="Q82" s="124"/>
      <c r="R82" s="117"/>
    </row>
    <row r="83" ht="14.25" customHeight="1">
      <c r="A83" s="44" t="s">
        <v>200</v>
      </c>
      <c r="B83" s="22"/>
      <c r="C83" s="22"/>
      <c r="M83" s="88"/>
      <c r="N83" s="31"/>
      <c r="O83" s="3"/>
      <c r="P83" s="124"/>
      <c r="Q83" s="124"/>
      <c r="R83" s="117"/>
    </row>
    <row r="84" ht="14.25" customHeight="1">
      <c r="B84" s="22"/>
      <c r="C84" s="22"/>
      <c r="M84" s="88"/>
      <c r="N84" s="31"/>
      <c r="O84" s="3"/>
      <c r="P84" s="124"/>
      <c r="Q84" s="124"/>
      <c r="R84" s="117"/>
    </row>
    <row r="85" ht="14.25" customHeight="1">
      <c r="A85" s="45" t="s">
        <v>201</v>
      </c>
      <c r="B85" s="37"/>
      <c r="C85" s="38"/>
      <c r="M85" s="88"/>
      <c r="N85" s="31"/>
      <c r="O85" s="3"/>
      <c r="P85" s="124"/>
      <c r="Q85" s="124"/>
      <c r="R85" s="117"/>
    </row>
    <row r="86" ht="14.25" customHeight="1">
      <c r="A86" s="39"/>
      <c r="C86" s="40"/>
      <c r="M86" s="88"/>
      <c r="N86" s="31"/>
      <c r="O86" s="3"/>
      <c r="P86" s="124"/>
      <c r="Q86" s="124"/>
      <c r="R86" s="117"/>
    </row>
    <row r="87" ht="14.25" customHeight="1">
      <c r="A87" s="41"/>
      <c r="B87" s="42"/>
      <c r="C87" s="43"/>
      <c r="M87" s="88"/>
      <c r="N87" s="31"/>
      <c r="O87" s="3"/>
      <c r="P87" s="124"/>
      <c r="Q87" s="124"/>
      <c r="R87" s="117"/>
    </row>
    <row r="88" ht="14.25" customHeight="1">
      <c r="A88" s="44" t="s">
        <v>202</v>
      </c>
      <c r="B88" s="22"/>
      <c r="C88" s="22"/>
      <c r="M88" s="88"/>
      <c r="N88" s="31"/>
      <c r="O88" s="3"/>
      <c r="P88" s="124"/>
      <c r="Q88" s="124"/>
      <c r="R88" s="117"/>
    </row>
    <row r="89" ht="14.25" customHeight="1">
      <c r="B89" s="22"/>
      <c r="C89" s="22"/>
      <c r="M89" s="88"/>
      <c r="N89" s="31"/>
      <c r="O89" s="3"/>
      <c r="P89" s="124"/>
      <c r="Q89" s="124"/>
      <c r="R89" s="117"/>
    </row>
    <row r="90" ht="14.25" customHeight="1">
      <c r="B90" s="22"/>
      <c r="C90" s="22"/>
      <c r="M90" s="88"/>
      <c r="N90" s="31"/>
      <c r="O90" s="3"/>
      <c r="P90" s="124"/>
      <c r="Q90" s="124"/>
      <c r="R90" s="117"/>
    </row>
    <row r="91" ht="14.25" customHeight="1">
      <c r="B91" s="22"/>
      <c r="C91" s="22"/>
      <c r="M91" s="88"/>
      <c r="N91" s="31"/>
      <c r="O91" s="3"/>
      <c r="P91" s="124"/>
      <c r="Q91" s="124"/>
      <c r="R91" s="117"/>
    </row>
    <row r="92" ht="14.25" customHeight="1">
      <c r="B92" s="22"/>
      <c r="C92" s="22"/>
      <c r="M92" s="88"/>
      <c r="N92" s="31"/>
      <c r="O92" s="3"/>
      <c r="P92" s="124"/>
      <c r="Q92" s="124"/>
      <c r="R92" s="117"/>
    </row>
    <row r="93" ht="14.25" customHeight="1">
      <c r="B93" s="22"/>
      <c r="C93" s="22"/>
      <c r="M93" s="88"/>
      <c r="N93" s="31"/>
      <c r="O93" s="3"/>
      <c r="P93" s="124"/>
      <c r="Q93" s="124"/>
      <c r="R93" s="117"/>
    </row>
    <row r="94" ht="14.25" customHeight="1">
      <c r="B94" s="22"/>
      <c r="C94" s="22"/>
      <c r="M94" s="88"/>
      <c r="N94" s="31"/>
      <c r="O94" s="3"/>
      <c r="P94" s="124"/>
      <c r="Q94" s="124"/>
      <c r="R94" s="117"/>
    </row>
    <row r="95" ht="14.25" customHeight="1">
      <c r="B95" s="22"/>
      <c r="C95" s="22"/>
      <c r="M95" s="88"/>
      <c r="N95" s="31"/>
      <c r="O95" s="3"/>
      <c r="P95" s="124"/>
      <c r="Q95" s="124"/>
      <c r="R95" s="117"/>
    </row>
    <row r="96" ht="14.25" customHeight="1">
      <c r="B96" s="22"/>
      <c r="C96" s="22"/>
      <c r="M96" s="88"/>
      <c r="N96" s="31"/>
      <c r="O96" s="3"/>
      <c r="P96" s="124"/>
      <c r="Q96" s="124"/>
      <c r="R96" s="117"/>
    </row>
    <row r="97" ht="14.25" customHeight="1">
      <c r="B97" s="22"/>
      <c r="C97" s="22"/>
      <c r="M97" s="88"/>
      <c r="N97" s="31"/>
      <c r="O97" s="3"/>
      <c r="P97" s="124"/>
      <c r="Q97" s="124"/>
      <c r="R97" s="117"/>
    </row>
    <row r="98" ht="14.25" customHeight="1">
      <c r="B98" s="22"/>
      <c r="C98" s="22"/>
      <c r="M98" s="88"/>
      <c r="N98" s="31"/>
      <c r="O98" s="3"/>
      <c r="P98" s="124"/>
      <c r="Q98" s="124"/>
      <c r="R98" s="117"/>
    </row>
    <row r="99" ht="14.25" customHeight="1">
      <c r="B99" s="22"/>
      <c r="C99" s="22"/>
      <c r="M99" s="88"/>
      <c r="N99" s="31"/>
      <c r="O99" s="3"/>
      <c r="P99" s="124"/>
      <c r="Q99" s="124"/>
      <c r="R99" s="117"/>
    </row>
    <row r="100" ht="14.25" customHeight="1">
      <c r="B100" s="22"/>
      <c r="C100" s="22"/>
      <c r="M100" s="88"/>
      <c r="N100" s="31"/>
      <c r="O100" s="3"/>
      <c r="P100" s="124"/>
      <c r="Q100" s="124"/>
      <c r="R100" s="117"/>
    </row>
    <row r="101" ht="14.25" customHeight="1">
      <c r="B101" s="22"/>
      <c r="C101" s="22"/>
      <c r="M101" s="88"/>
      <c r="N101" s="31"/>
      <c r="O101" s="3"/>
      <c r="P101" s="124"/>
      <c r="Q101" s="124"/>
      <c r="R101" s="117"/>
    </row>
    <row r="102" ht="14.25" customHeight="1">
      <c r="B102" s="22"/>
      <c r="C102" s="22"/>
      <c r="M102" s="88"/>
      <c r="N102" s="31"/>
      <c r="O102" s="3"/>
      <c r="P102" s="124"/>
      <c r="Q102" s="124"/>
      <c r="R102" s="117"/>
    </row>
    <row r="103" ht="14.25" customHeight="1">
      <c r="B103" s="22"/>
      <c r="C103" s="22"/>
      <c r="M103" s="88"/>
      <c r="N103" s="31"/>
      <c r="O103" s="3"/>
      <c r="P103" s="124"/>
      <c r="Q103" s="124"/>
      <c r="R103" s="117"/>
    </row>
    <row r="104" ht="14.25" customHeight="1">
      <c r="B104" s="22"/>
      <c r="C104" s="22"/>
      <c r="M104" s="88"/>
      <c r="N104" s="31"/>
      <c r="O104" s="3"/>
      <c r="P104" s="124"/>
      <c r="Q104" s="124"/>
      <c r="R104" s="117"/>
    </row>
    <row r="105" ht="14.25" customHeight="1">
      <c r="B105" s="22"/>
      <c r="C105" s="22"/>
      <c r="M105" s="88"/>
      <c r="N105" s="31"/>
      <c r="O105" s="3"/>
      <c r="P105" s="124"/>
      <c r="Q105" s="124"/>
      <c r="R105" s="117"/>
    </row>
    <row r="106" ht="14.25" customHeight="1">
      <c r="B106" s="22"/>
      <c r="C106" s="22"/>
      <c r="M106" s="88"/>
      <c r="N106" s="31"/>
      <c r="O106" s="3"/>
      <c r="P106" s="124"/>
      <c r="Q106" s="124"/>
      <c r="R106" s="117"/>
    </row>
    <row r="107" ht="14.25" customHeight="1">
      <c r="B107" s="22"/>
      <c r="C107" s="22"/>
      <c r="M107" s="88"/>
      <c r="N107" s="31"/>
      <c r="O107" s="3"/>
      <c r="P107" s="124"/>
      <c r="Q107" s="124"/>
      <c r="R107" s="117"/>
    </row>
    <row r="108" ht="14.25" customHeight="1">
      <c r="B108" s="22"/>
      <c r="C108" s="22"/>
      <c r="M108" s="88"/>
      <c r="N108" s="31"/>
      <c r="O108" s="3"/>
      <c r="P108" s="124"/>
      <c r="Q108" s="124"/>
      <c r="R108" s="117"/>
    </row>
    <row r="109" ht="14.25" customHeight="1">
      <c r="B109" s="22"/>
      <c r="C109" s="22"/>
      <c r="M109" s="88"/>
      <c r="N109" s="31"/>
      <c r="O109" s="3"/>
      <c r="P109" s="124"/>
      <c r="Q109" s="124"/>
      <c r="R109" s="117"/>
    </row>
    <row r="110" ht="14.25" customHeight="1">
      <c r="B110" s="22"/>
      <c r="C110" s="22"/>
      <c r="M110" s="88"/>
      <c r="N110" s="31"/>
      <c r="O110" s="3"/>
      <c r="P110" s="124"/>
      <c r="Q110" s="124"/>
      <c r="R110" s="117"/>
    </row>
    <row r="111" ht="14.25" customHeight="1">
      <c r="B111" s="22"/>
      <c r="C111" s="22"/>
      <c r="M111" s="88"/>
      <c r="N111" s="31"/>
      <c r="O111" s="3"/>
      <c r="P111" s="124"/>
      <c r="Q111" s="124"/>
      <c r="R111" s="117"/>
    </row>
    <row r="112" ht="14.25" customHeight="1">
      <c r="B112" s="22"/>
      <c r="C112" s="22"/>
      <c r="M112" s="88"/>
      <c r="N112" s="31"/>
      <c r="O112" s="3"/>
      <c r="P112" s="124"/>
      <c r="Q112" s="124"/>
      <c r="R112" s="117"/>
    </row>
    <row r="113" ht="14.25" customHeight="1">
      <c r="B113" s="22"/>
      <c r="C113" s="22"/>
      <c r="M113" s="88"/>
      <c r="N113" s="31"/>
      <c r="O113" s="3"/>
      <c r="P113" s="124"/>
      <c r="Q113" s="124"/>
      <c r="R113" s="117"/>
    </row>
    <row r="114" ht="14.25" customHeight="1">
      <c r="B114" s="22"/>
      <c r="C114" s="22"/>
      <c r="M114" s="88"/>
      <c r="N114" s="31"/>
      <c r="O114" s="3"/>
      <c r="P114" s="124"/>
      <c r="Q114" s="124"/>
      <c r="R114" s="117"/>
    </row>
    <row r="115" ht="14.25" customHeight="1">
      <c r="B115" s="22"/>
      <c r="C115" s="22"/>
      <c r="M115" s="88"/>
      <c r="N115" s="31"/>
      <c r="O115" s="3"/>
      <c r="P115" s="124"/>
      <c r="Q115" s="124"/>
      <c r="R115" s="117"/>
    </row>
    <row r="116" ht="14.25" customHeight="1">
      <c r="B116" s="22"/>
      <c r="C116" s="22"/>
      <c r="M116" s="88"/>
      <c r="N116" s="31"/>
      <c r="O116" s="3"/>
      <c r="P116" s="124"/>
      <c r="Q116" s="124"/>
      <c r="R116" s="117"/>
    </row>
    <row r="117" ht="14.25" customHeight="1">
      <c r="B117" s="22"/>
      <c r="C117" s="22"/>
      <c r="M117" s="88"/>
      <c r="N117" s="31"/>
      <c r="O117" s="3"/>
      <c r="P117" s="124"/>
      <c r="Q117" s="124"/>
      <c r="R117" s="117"/>
    </row>
    <row r="118" ht="14.25" customHeight="1">
      <c r="B118" s="22"/>
      <c r="C118" s="22"/>
      <c r="M118" s="88"/>
      <c r="N118" s="31"/>
      <c r="O118" s="3"/>
      <c r="P118" s="124"/>
      <c r="Q118" s="124"/>
      <c r="R118" s="117"/>
    </row>
    <row r="119" ht="14.25" customHeight="1">
      <c r="B119" s="22"/>
      <c r="C119" s="22"/>
      <c r="M119" s="88"/>
      <c r="N119" s="31"/>
      <c r="O119" s="3"/>
      <c r="P119" s="124"/>
      <c r="Q119" s="124"/>
      <c r="R119" s="117"/>
    </row>
    <row r="120" ht="14.25" customHeight="1">
      <c r="B120" s="22"/>
      <c r="C120" s="22"/>
      <c r="M120" s="88"/>
      <c r="N120" s="31"/>
      <c r="O120" s="3"/>
      <c r="P120" s="124"/>
      <c r="Q120" s="124"/>
      <c r="R120" s="117"/>
    </row>
    <row r="121" ht="14.25" customHeight="1">
      <c r="B121" s="22"/>
      <c r="C121" s="22"/>
      <c r="M121" s="88"/>
      <c r="N121" s="31"/>
      <c r="O121" s="3"/>
      <c r="P121" s="124"/>
      <c r="Q121" s="124"/>
      <c r="R121" s="117"/>
    </row>
    <row r="122" ht="14.25" customHeight="1">
      <c r="B122" s="22"/>
      <c r="C122" s="22"/>
      <c r="M122" s="88"/>
      <c r="N122" s="31"/>
      <c r="O122" s="3"/>
      <c r="P122" s="124"/>
      <c r="Q122" s="124"/>
      <c r="R122" s="117"/>
    </row>
    <row r="123" ht="14.25" customHeight="1">
      <c r="B123" s="22"/>
      <c r="C123" s="22"/>
      <c r="M123" s="88"/>
      <c r="N123" s="31"/>
      <c r="O123" s="3"/>
      <c r="P123" s="124"/>
      <c r="Q123" s="124"/>
      <c r="R123" s="117"/>
    </row>
    <row r="124" ht="14.25" customHeight="1">
      <c r="B124" s="22"/>
      <c r="C124" s="22"/>
      <c r="M124" s="88"/>
      <c r="N124" s="31"/>
      <c r="O124" s="3"/>
      <c r="P124" s="124"/>
      <c r="Q124" s="124"/>
      <c r="R124" s="117"/>
    </row>
    <row r="125" ht="14.25" customHeight="1">
      <c r="B125" s="22"/>
      <c r="C125" s="22"/>
      <c r="M125" s="88"/>
      <c r="N125" s="31"/>
      <c r="O125" s="3"/>
      <c r="P125" s="124"/>
      <c r="Q125" s="124"/>
      <c r="R125" s="117"/>
    </row>
    <row r="126" ht="14.25" customHeight="1">
      <c r="B126" s="22"/>
      <c r="C126" s="22"/>
      <c r="M126" s="88"/>
      <c r="N126" s="31"/>
      <c r="O126" s="3"/>
      <c r="P126" s="124"/>
      <c r="Q126" s="124"/>
      <c r="R126" s="117"/>
    </row>
    <row r="127" ht="14.25" customHeight="1">
      <c r="B127" s="22"/>
      <c r="C127" s="22"/>
      <c r="M127" s="88"/>
      <c r="N127" s="31"/>
      <c r="O127" s="3"/>
      <c r="P127" s="124"/>
      <c r="Q127" s="124"/>
      <c r="R127" s="117"/>
    </row>
    <row r="128" ht="14.25" customHeight="1">
      <c r="B128" s="22"/>
      <c r="C128" s="22"/>
      <c r="M128" s="88"/>
      <c r="N128" s="31"/>
      <c r="O128" s="3"/>
      <c r="P128" s="124"/>
      <c r="Q128" s="124"/>
      <c r="R128" s="117"/>
    </row>
    <row r="129" ht="14.25" customHeight="1">
      <c r="B129" s="22"/>
      <c r="C129" s="22"/>
      <c r="M129" s="88"/>
      <c r="N129" s="31"/>
      <c r="O129" s="3"/>
      <c r="P129" s="124"/>
      <c r="Q129" s="124"/>
      <c r="R129" s="117"/>
    </row>
    <row r="130" ht="14.25" customHeight="1">
      <c r="B130" s="22"/>
      <c r="C130" s="22"/>
      <c r="M130" s="88"/>
      <c r="N130" s="31"/>
      <c r="O130" s="3"/>
      <c r="P130" s="124"/>
      <c r="Q130" s="124"/>
      <c r="R130" s="117"/>
    </row>
    <row r="131" ht="14.25" customHeight="1">
      <c r="B131" s="22"/>
      <c r="C131" s="22"/>
      <c r="M131" s="88"/>
      <c r="N131" s="31"/>
      <c r="O131" s="3"/>
      <c r="P131" s="124"/>
      <c r="Q131" s="124"/>
      <c r="R131" s="117"/>
    </row>
    <row r="132" ht="14.25" customHeight="1">
      <c r="B132" s="22"/>
      <c r="C132" s="22"/>
      <c r="M132" s="88"/>
      <c r="N132" s="31"/>
      <c r="O132" s="3"/>
      <c r="P132" s="124"/>
      <c r="Q132" s="124"/>
      <c r="R132" s="117"/>
    </row>
    <row r="133" ht="14.25" customHeight="1">
      <c r="B133" s="22"/>
      <c r="C133" s="22"/>
      <c r="M133" s="88"/>
      <c r="N133" s="31"/>
      <c r="O133" s="3"/>
      <c r="P133" s="124"/>
      <c r="Q133" s="124"/>
      <c r="R133" s="117"/>
    </row>
    <row r="134" ht="14.25" customHeight="1">
      <c r="B134" s="22"/>
      <c r="C134" s="22"/>
      <c r="M134" s="88"/>
      <c r="N134" s="31"/>
      <c r="O134" s="3"/>
      <c r="P134" s="124"/>
      <c r="Q134" s="124"/>
      <c r="R134" s="117"/>
    </row>
    <row r="135" ht="14.25" customHeight="1">
      <c r="B135" s="22"/>
      <c r="C135" s="22"/>
      <c r="M135" s="88"/>
      <c r="N135" s="31"/>
      <c r="O135" s="3"/>
      <c r="P135" s="124"/>
      <c r="Q135" s="124"/>
      <c r="R135" s="117"/>
    </row>
    <row r="136" ht="14.25" customHeight="1">
      <c r="B136" s="22"/>
      <c r="C136" s="22"/>
      <c r="M136" s="88"/>
      <c r="N136" s="31"/>
      <c r="O136" s="3"/>
      <c r="P136" s="124"/>
      <c r="Q136" s="124"/>
      <c r="R136" s="117"/>
    </row>
    <row r="137" ht="14.25" customHeight="1">
      <c r="B137" s="22"/>
      <c r="C137" s="22"/>
      <c r="M137" s="88"/>
      <c r="N137" s="31"/>
      <c r="O137" s="3"/>
      <c r="P137" s="124"/>
      <c r="Q137" s="124"/>
      <c r="R137" s="117"/>
    </row>
    <row r="138" ht="14.25" customHeight="1">
      <c r="B138" s="22"/>
      <c r="C138" s="22"/>
      <c r="M138" s="88"/>
      <c r="N138" s="31"/>
      <c r="O138" s="3"/>
      <c r="P138" s="124"/>
      <c r="Q138" s="124"/>
      <c r="R138" s="117"/>
    </row>
    <row r="139" ht="14.25" customHeight="1">
      <c r="B139" s="22"/>
      <c r="C139" s="22"/>
      <c r="M139" s="88"/>
      <c r="N139" s="31"/>
      <c r="O139" s="3"/>
      <c r="P139" s="124"/>
      <c r="Q139" s="124"/>
      <c r="R139" s="117"/>
    </row>
    <row r="140" ht="14.25" customHeight="1">
      <c r="B140" s="22"/>
      <c r="C140" s="22"/>
      <c r="M140" s="88"/>
      <c r="N140" s="31"/>
      <c r="O140" s="3"/>
      <c r="P140" s="124"/>
      <c r="Q140" s="124"/>
      <c r="R140" s="117"/>
    </row>
    <row r="141" ht="14.25" customHeight="1">
      <c r="B141" s="22"/>
      <c r="C141" s="22"/>
      <c r="M141" s="88"/>
      <c r="N141" s="31"/>
      <c r="O141" s="3"/>
      <c r="P141" s="124"/>
      <c r="Q141" s="124"/>
      <c r="R141" s="117"/>
    </row>
    <row r="142" ht="14.25" customHeight="1">
      <c r="B142" s="22"/>
      <c r="C142" s="22"/>
      <c r="M142" s="88"/>
      <c r="N142" s="31"/>
      <c r="O142" s="3"/>
      <c r="P142" s="124"/>
      <c r="Q142" s="124"/>
      <c r="R142" s="117"/>
    </row>
    <row r="143" ht="14.25" customHeight="1">
      <c r="B143" s="22"/>
      <c r="C143" s="22"/>
      <c r="M143" s="88"/>
      <c r="N143" s="31"/>
      <c r="O143" s="3"/>
      <c r="P143" s="124"/>
      <c r="Q143" s="124"/>
      <c r="R143" s="117"/>
    </row>
    <row r="144" ht="14.25" customHeight="1">
      <c r="B144" s="22"/>
      <c r="C144" s="22"/>
      <c r="M144" s="88"/>
      <c r="N144" s="31"/>
      <c r="O144" s="3"/>
      <c r="P144" s="124"/>
      <c r="Q144" s="124"/>
      <c r="R144" s="117"/>
    </row>
    <row r="145" ht="14.25" customHeight="1">
      <c r="B145" s="22"/>
      <c r="C145" s="22"/>
      <c r="M145" s="88"/>
      <c r="N145" s="31"/>
      <c r="O145" s="3"/>
      <c r="P145" s="124"/>
      <c r="Q145" s="124"/>
      <c r="R145" s="117"/>
    </row>
    <row r="146" ht="14.25" customHeight="1">
      <c r="B146" s="22"/>
      <c r="C146" s="22"/>
      <c r="M146" s="88"/>
      <c r="N146" s="31"/>
      <c r="O146" s="3"/>
      <c r="P146" s="124"/>
      <c r="Q146" s="124"/>
      <c r="R146" s="117"/>
    </row>
    <row r="147" ht="14.25" customHeight="1">
      <c r="B147" s="22"/>
      <c r="C147" s="22"/>
      <c r="M147" s="88"/>
      <c r="N147" s="31"/>
      <c r="O147" s="3"/>
      <c r="P147" s="124"/>
      <c r="Q147" s="124"/>
      <c r="R147" s="117"/>
    </row>
    <row r="148" ht="14.25" customHeight="1">
      <c r="B148" s="22"/>
      <c r="C148" s="22"/>
      <c r="M148" s="88"/>
      <c r="N148" s="31"/>
      <c r="O148" s="3"/>
      <c r="P148" s="124"/>
      <c r="Q148" s="124"/>
      <c r="R148" s="117"/>
    </row>
    <row r="149" ht="14.25" customHeight="1">
      <c r="B149" s="22"/>
      <c r="C149" s="22"/>
      <c r="M149" s="88"/>
      <c r="N149" s="31"/>
      <c r="O149" s="3"/>
      <c r="P149" s="124"/>
      <c r="Q149" s="124"/>
      <c r="R149" s="117"/>
    </row>
    <row r="150" ht="14.25" customHeight="1">
      <c r="B150" s="22"/>
      <c r="C150" s="22"/>
      <c r="M150" s="88"/>
      <c r="N150" s="31"/>
      <c r="O150" s="3"/>
      <c r="P150" s="124"/>
      <c r="Q150" s="124"/>
      <c r="R150" s="117"/>
    </row>
    <row r="151" ht="14.25" customHeight="1">
      <c r="B151" s="22"/>
      <c r="C151" s="22"/>
      <c r="M151" s="88"/>
      <c r="N151" s="31"/>
      <c r="O151" s="3"/>
      <c r="P151" s="124"/>
      <c r="Q151" s="124"/>
      <c r="R151" s="117"/>
    </row>
    <row r="152" ht="14.25" customHeight="1">
      <c r="B152" s="22"/>
      <c r="C152" s="22"/>
      <c r="M152" s="88"/>
      <c r="N152" s="31"/>
      <c r="O152" s="159"/>
      <c r="P152" s="124"/>
      <c r="Q152" s="124"/>
      <c r="R152" s="117"/>
    </row>
    <row r="153" ht="14.25" customHeight="1">
      <c r="B153" s="22"/>
      <c r="C153" s="22"/>
      <c r="M153" s="88"/>
      <c r="N153" s="31"/>
      <c r="O153" s="159"/>
      <c r="P153" s="124"/>
      <c r="Q153" s="124"/>
      <c r="R153" s="117"/>
    </row>
    <row r="154" ht="14.25" customHeight="1">
      <c r="B154" s="22"/>
      <c r="C154" s="22"/>
      <c r="M154" s="88"/>
      <c r="N154" s="31"/>
      <c r="O154" s="159"/>
      <c r="P154" s="124"/>
      <c r="Q154" s="124"/>
      <c r="R154" s="117"/>
    </row>
    <row r="155" ht="14.25" customHeight="1">
      <c r="B155" s="22"/>
      <c r="C155" s="22"/>
      <c r="M155" s="88"/>
      <c r="N155" s="31"/>
      <c r="O155" s="159"/>
      <c r="P155" s="124"/>
      <c r="Q155" s="124"/>
      <c r="R155" s="117"/>
    </row>
    <row r="156" ht="14.25" customHeight="1">
      <c r="B156" s="22"/>
      <c r="C156" s="22"/>
      <c r="M156" s="88"/>
      <c r="N156" s="31"/>
      <c r="O156" s="159"/>
      <c r="P156" s="124"/>
      <c r="Q156" s="124"/>
      <c r="R156" s="117"/>
    </row>
    <row r="157" ht="14.25" customHeight="1">
      <c r="B157" s="22"/>
      <c r="C157" s="22"/>
      <c r="M157" s="88"/>
      <c r="N157" s="31"/>
      <c r="O157" s="159"/>
      <c r="P157" s="124"/>
      <c r="Q157" s="124"/>
      <c r="R157" s="117"/>
    </row>
    <row r="158" ht="14.25" customHeight="1">
      <c r="B158" s="22"/>
      <c r="C158" s="22"/>
      <c r="M158" s="88"/>
      <c r="N158" s="31"/>
      <c r="O158" s="159"/>
      <c r="P158" s="124"/>
      <c r="Q158" s="124"/>
      <c r="R158" s="117"/>
    </row>
    <row r="159" ht="14.25" customHeight="1">
      <c r="B159" s="22"/>
      <c r="C159" s="22"/>
      <c r="M159" s="88"/>
      <c r="N159" s="31"/>
      <c r="O159" s="159"/>
      <c r="P159" s="124"/>
      <c r="Q159" s="124"/>
      <c r="R159" s="117"/>
    </row>
    <row r="160" ht="14.25" customHeight="1">
      <c r="B160" s="22"/>
      <c r="C160" s="22"/>
      <c r="M160" s="88"/>
      <c r="N160" s="31"/>
      <c r="O160" s="159"/>
      <c r="P160" s="124"/>
      <c r="Q160" s="124"/>
      <c r="R160" s="117"/>
    </row>
    <row r="161" ht="14.25" customHeight="1">
      <c r="B161" s="22"/>
      <c r="C161" s="22"/>
      <c r="M161" s="88"/>
      <c r="N161" s="31"/>
      <c r="O161" s="159"/>
      <c r="P161" s="124"/>
      <c r="Q161" s="124"/>
      <c r="R161" s="117"/>
    </row>
    <row r="162" ht="14.25" customHeight="1">
      <c r="B162" s="22"/>
      <c r="C162" s="22"/>
      <c r="M162" s="88"/>
      <c r="N162" s="31"/>
      <c r="O162" s="159"/>
      <c r="P162" s="124"/>
      <c r="Q162" s="124"/>
      <c r="R162" s="117"/>
    </row>
    <row r="163" ht="14.25" customHeight="1">
      <c r="B163" s="22"/>
      <c r="C163" s="22"/>
      <c r="M163" s="88"/>
      <c r="N163" s="31"/>
      <c r="O163" s="159"/>
      <c r="P163" s="124"/>
      <c r="Q163" s="124"/>
      <c r="R163" s="117"/>
    </row>
    <row r="164" ht="14.25" customHeight="1">
      <c r="B164" s="22"/>
      <c r="C164" s="22"/>
      <c r="M164" s="88"/>
      <c r="N164" s="31"/>
      <c r="O164" s="159"/>
      <c r="P164" s="124"/>
      <c r="Q164" s="124"/>
      <c r="R164" s="117"/>
    </row>
    <row r="165" ht="14.25" customHeight="1">
      <c r="B165" s="22"/>
      <c r="C165" s="22"/>
      <c r="M165" s="88"/>
      <c r="N165" s="31"/>
      <c r="O165" s="159"/>
      <c r="P165" s="124"/>
      <c r="Q165" s="124"/>
      <c r="R165" s="117"/>
    </row>
    <row r="166" ht="14.25" customHeight="1">
      <c r="B166" s="22"/>
      <c r="C166" s="22"/>
      <c r="M166" s="88"/>
      <c r="N166" s="31"/>
      <c r="O166" s="159"/>
      <c r="P166" s="124"/>
      <c r="Q166" s="124"/>
      <c r="R166" s="117"/>
    </row>
    <row r="167" ht="14.25" customHeight="1">
      <c r="B167" s="22"/>
      <c r="C167" s="22"/>
      <c r="M167" s="88"/>
      <c r="N167" s="31"/>
      <c r="O167" s="159"/>
      <c r="P167" s="124"/>
      <c r="Q167" s="124"/>
      <c r="R167" s="117"/>
    </row>
    <row r="168" ht="14.25" customHeight="1">
      <c r="B168" s="22"/>
      <c r="C168" s="22"/>
      <c r="M168" s="88"/>
      <c r="N168" s="31"/>
      <c r="O168" s="159"/>
      <c r="P168" s="124"/>
      <c r="Q168" s="124"/>
      <c r="R168" s="117"/>
    </row>
    <row r="169" ht="14.25" customHeight="1">
      <c r="B169" s="22"/>
      <c r="C169" s="22"/>
      <c r="M169" s="88"/>
      <c r="N169" s="31"/>
      <c r="O169" s="159"/>
      <c r="P169" s="124"/>
      <c r="Q169" s="124"/>
      <c r="R169" s="117"/>
    </row>
    <row r="170" ht="14.25" customHeight="1">
      <c r="B170" s="22"/>
      <c r="C170" s="22"/>
      <c r="M170" s="88"/>
      <c r="N170" s="31"/>
      <c r="O170" s="159"/>
      <c r="P170" s="124"/>
      <c r="Q170" s="124"/>
      <c r="R170" s="117"/>
    </row>
    <row r="171" ht="14.25" customHeight="1">
      <c r="B171" s="22"/>
      <c r="C171" s="22"/>
      <c r="M171" s="88"/>
      <c r="N171" s="31"/>
      <c r="O171" s="159"/>
      <c r="P171" s="124"/>
      <c r="Q171" s="124"/>
      <c r="R171" s="117"/>
    </row>
    <row r="172" ht="14.25" customHeight="1">
      <c r="B172" s="22"/>
      <c r="C172" s="22"/>
      <c r="M172" s="88"/>
      <c r="N172" s="31"/>
      <c r="O172" s="159"/>
      <c r="P172" s="124"/>
      <c r="Q172" s="124"/>
      <c r="R172" s="117"/>
    </row>
    <row r="173" ht="14.25" customHeight="1">
      <c r="B173" s="22"/>
      <c r="C173" s="22"/>
      <c r="M173" s="88"/>
      <c r="N173" s="31"/>
      <c r="O173" s="159"/>
      <c r="P173" s="124"/>
      <c r="Q173" s="124"/>
      <c r="R173" s="117"/>
    </row>
    <row r="174" ht="14.25" customHeight="1">
      <c r="B174" s="22"/>
      <c r="C174" s="22"/>
      <c r="M174" s="88"/>
      <c r="N174" s="31"/>
      <c r="O174" s="159"/>
      <c r="P174" s="124"/>
      <c r="Q174" s="124"/>
      <c r="R174" s="117"/>
    </row>
    <row r="175" ht="14.25" customHeight="1">
      <c r="B175" s="22"/>
      <c r="C175" s="22"/>
      <c r="M175" s="88"/>
      <c r="N175" s="31"/>
      <c r="O175" s="159"/>
      <c r="P175" s="124"/>
      <c r="Q175" s="124"/>
      <c r="R175" s="117"/>
    </row>
    <row r="176" ht="14.25" customHeight="1">
      <c r="B176" s="22"/>
      <c r="C176" s="22"/>
      <c r="M176" s="88"/>
      <c r="N176" s="31"/>
      <c r="O176" s="159"/>
      <c r="P176" s="124"/>
      <c r="Q176" s="124"/>
      <c r="R176" s="117"/>
    </row>
    <row r="177" ht="14.25" customHeight="1">
      <c r="B177" s="22"/>
      <c r="C177" s="22"/>
      <c r="M177" s="88"/>
      <c r="N177" s="31"/>
      <c r="O177" s="159"/>
      <c r="P177" s="124"/>
      <c r="Q177" s="124"/>
      <c r="R177" s="117"/>
    </row>
    <row r="178" ht="14.25" customHeight="1">
      <c r="B178" s="22"/>
      <c r="C178" s="22"/>
      <c r="M178" s="88"/>
      <c r="N178" s="31"/>
      <c r="O178" s="159"/>
      <c r="P178" s="124"/>
      <c r="Q178" s="124"/>
      <c r="R178" s="117"/>
    </row>
    <row r="179" ht="14.25" customHeight="1">
      <c r="B179" s="22"/>
      <c r="C179" s="22"/>
      <c r="M179" s="88"/>
      <c r="N179" s="31"/>
      <c r="O179" s="159"/>
      <c r="P179" s="124"/>
      <c r="Q179" s="124"/>
      <c r="R179" s="117"/>
    </row>
    <row r="180" ht="14.25" customHeight="1">
      <c r="B180" s="22"/>
      <c r="C180" s="22"/>
      <c r="M180" s="88"/>
      <c r="N180" s="31"/>
      <c r="O180" s="159"/>
      <c r="P180" s="124"/>
      <c r="Q180" s="124"/>
      <c r="R180" s="117"/>
    </row>
    <row r="181" ht="14.25" customHeight="1">
      <c r="B181" s="22"/>
      <c r="C181" s="22"/>
      <c r="M181" s="88"/>
      <c r="N181" s="31"/>
      <c r="O181" s="159"/>
      <c r="P181" s="124"/>
      <c r="Q181" s="124"/>
      <c r="R181" s="117"/>
    </row>
    <row r="182" ht="14.25" customHeight="1">
      <c r="B182" s="22"/>
      <c r="C182" s="22"/>
      <c r="M182" s="88"/>
      <c r="N182" s="31"/>
      <c r="O182" s="159"/>
      <c r="P182" s="124"/>
      <c r="Q182" s="124"/>
      <c r="R182" s="117"/>
    </row>
    <row r="183" ht="14.25" customHeight="1">
      <c r="B183" s="22"/>
      <c r="C183" s="22"/>
      <c r="M183" s="88"/>
      <c r="N183" s="31"/>
      <c r="O183" s="159"/>
      <c r="P183" s="124"/>
      <c r="Q183" s="124"/>
      <c r="R183" s="117"/>
    </row>
    <row r="184" ht="14.25" customHeight="1">
      <c r="B184" s="22"/>
      <c r="C184" s="22"/>
      <c r="M184" s="88"/>
      <c r="N184" s="31"/>
      <c r="O184" s="159"/>
      <c r="P184" s="124"/>
      <c r="Q184" s="124"/>
      <c r="R184" s="117"/>
    </row>
    <row r="185" ht="14.25" customHeight="1">
      <c r="B185" s="22"/>
      <c r="C185" s="22"/>
      <c r="M185" s="88"/>
      <c r="N185" s="31"/>
      <c r="O185" s="159"/>
      <c r="P185" s="124"/>
      <c r="Q185" s="124"/>
      <c r="R185" s="117"/>
    </row>
    <row r="186" ht="14.25" customHeight="1">
      <c r="B186" s="22"/>
      <c r="C186" s="22"/>
      <c r="M186" s="88"/>
      <c r="N186" s="31"/>
      <c r="O186" s="159"/>
      <c r="P186" s="124"/>
      <c r="Q186" s="124"/>
      <c r="R186" s="117"/>
    </row>
    <row r="187" ht="14.25" customHeight="1">
      <c r="B187" s="22"/>
      <c r="C187" s="22"/>
      <c r="M187" s="88"/>
      <c r="N187" s="31"/>
      <c r="O187" s="159"/>
      <c r="P187" s="124"/>
      <c r="Q187" s="124"/>
      <c r="R187" s="117"/>
    </row>
    <row r="188" ht="14.25" customHeight="1">
      <c r="B188" s="22"/>
      <c r="C188" s="22"/>
      <c r="M188" s="88"/>
      <c r="N188" s="31"/>
      <c r="O188" s="159"/>
      <c r="P188" s="124"/>
      <c r="Q188" s="124"/>
      <c r="R188" s="117"/>
    </row>
    <row r="189" ht="14.25" customHeight="1">
      <c r="B189" s="22"/>
      <c r="C189" s="22"/>
      <c r="M189" s="88"/>
      <c r="N189" s="31"/>
      <c r="O189" s="159"/>
      <c r="P189" s="124"/>
      <c r="Q189" s="124"/>
      <c r="R189" s="117"/>
    </row>
    <row r="190" ht="14.25" customHeight="1">
      <c r="B190" s="22"/>
      <c r="C190" s="22"/>
      <c r="M190" s="88"/>
      <c r="N190" s="31"/>
      <c r="O190" s="159"/>
      <c r="P190" s="124"/>
      <c r="Q190" s="124"/>
      <c r="R190" s="117"/>
    </row>
    <row r="191" ht="14.25" customHeight="1">
      <c r="B191" s="22"/>
      <c r="C191" s="22"/>
      <c r="M191" s="88"/>
      <c r="N191" s="31"/>
      <c r="O191" s="159"/>
      <c r="P191" s="124"/>
      <c r="Q191" s="124"/>
      <c r="R191" s="117"/>
    </row>
    <row r="192" ht="14.25" customHeight="1">
      <c r="B192" s="22"/>
      <c r="C192" s="22"/>
      <c r="M192" s="88"/>
      <c r="N192" s="31"/>
      <c r="O192" s="159"/>
      <c r="P192" s="124"/>
      <c r="Q192" s="124"/>
      <c r="R192" s="117"/>
    </row>
    <row r="193" ht="14.25" customHeight="1">
      <c r="B193" s="22"/>
      <c r="C193" s="22"/>
      <c r="M193" s="88"/>
      <c r="N193" s="31"/>
      <c r="O193" s="159"/>
      <c r="P193" s="124"/>
      <c r="Q193" s="124"/>
      <c r="R193" s="117"/>
    </row>
    <row r="194" ht="14.25" customHeight="1">
      <c r="B194" s="22"/>
      <c r="C194" s="22"/>
      <c r="M194" s="88"/>
      <c r="N194" s="31"/>
      <c r="O194" s="159"/>
      <c r="P194" s="124"/>
      <c r="Q194" s="124"/>
      <c r="R194" s="117"/>
    </row>
    <row r="195" ht="14.25" customHeight="1">
      <c r="B195" s="22"/>
      <c r="C195" s="22"/>
      <c r="M195" s="88"/>
      <c r="N195" s="31"/>
      <c r="O195" s="159"/>
      <c r="P195" s="124"/>
      <c r="Q195" s="124"/>
      <c r="R195" s="117"/>
    </row>
    <row r="196" ht="14.25" customHeight="1">
      <c r="B196" s="22"/>
      <c r="C196" s="22"/>
      <c r="M196" s="88"/>
      <c r="N196" s="31"/>
      <c r="O196" s="159"/>
      <c r="P196" s="124"/>
      <c r="Q196" s="124"/>
      <c r="R196" s="117"/>
    </row>
    <row r="197" ht="14.25" customHeight="1">
      <c r="B197" s="22"/>
      <c r="C197" s="22"/>
      <c r="M197" s="88"/>
      <c r="N197" s="31"/>
      <c r="O197" s="159"/>
      <c r="P197" s="124"/>
      <c r="Q197" s="124"/>
      <c r="R197" s="117"/>
    </row>
    <row r="198" ht="14.25" customHeight="1">
      <c r="B198" s="22"/>
      <c r="C198" s="22"/>
      <c r="M198" s="88"/>
      <c r="N198" s="31"/>
      <c r="O198" s="159"/>
      <c r="P198" s="124"/>
      <c r="Q198" s="124"/>
      <c r="R198" s="117"/>
    </row>
    <row r="199" ht="14.25" customHeight="1">
      <c r="B199" s="22"/>
      <c r="C199" s="22"/>
      <c r="M199" s="88"/>
      <c r="N199" s="31"/>
      <c r="O199" s="159"/>
      <c r="P199" s="124"/>
      <c r="Q199" s="124"/>
      <c r="R199" s="117"/>
    </row>
    <row r="200" ht="14.25" customHeight="1">
      <c r="B200" s="22"/>
      <c r="C200" s="22"/>
      <c r="M200" s="88"/>
      <c r="N200" s="31"/>
      <c r="O200" s="159"/>
      <c r="P200" s="124"/>
      <c r="Q200" s="124"/>
      <c r="R200" s="117"/>
    </row>
    <row r="201" ht="14.25" customHeight="1">
      <c r="B201" s="22"/>
      <c r="C201" s="22"/>
      <c r="M201" s="88"/>
      <c r="N201" s="31"/>
      <c r="O201" s="159"/>
      <c r="P201" s="124"/>
      <c r="Q201" s="124"/>
      <c r="R201" s="117"/>
    </row>
    <row r="202" ht="14.25" customHeight="1">
      <c r="B202" s="22"/>
      <c r="C202" s="22"/>
      <c r="M202" s="88"/>
      <c r="N202" s="31"/>
      <c r="O202" s="159"/>
      <c r="P202" s="124"/>
      <c r="Q202" s="124"/>
      <c r="R202" s="117"/>
    </row>
    <row r="203" ht="14.25" customHeight="1">
      <c r="B203" s="22"/>
      <c r="C203" s="22"/>
      <c r="M203" s="88"/>
      <c r="N203" s="31"/>
      <c r="O203" s="159"/>
      <c r="P203" s="124"/>
      <c r="Q203" s="124"/>
      <c r="R203" s="117"/>
    </row>
    <row r="204" ht="14.25" customHeight="1">
      <c r="B204" s="22"/>
      <c r="C204" s="22"/>
      <c r="M204" s="88"/>
      <c r="N204" s="31"/>
      <c r="O204" s="159"/>
      <c r="P204" s="124"/>
      <c r="Q204" s="124"/>
      <c r="R204" s="117"/>
    </row>
    <row r="205" ht="14.25" customHeight="1">
      <c r="B205" s="22"/>
      <c r="C205" s="22"/>
      <c r="M205" s="88"/>
      <c r="N205" s="31"/>
      <c r="O205" s="159"/>
      <c r="P205" s="124"/>
      <c r="Q205" s="124"/>
      <c r="R205" s="117"/>
    </row>
    <row r="206" ht="14.25" customHeight="1">
      <c r="B206" s="22"/>
      <c r="C206" s="22"/>
      <c r="M206" s="88"/>
      <c r="N206" s="31"/>
      <c r="O206" s="159"/>
      <c r="P206" s="124"/>
      <c r="Q206" s="124"/>
      <c r="R206" s="117"/>
    </row>
    <row r="207" ht="14.25" customHeight="1">
      <c r="B207" s="22"/>
      <c r="C207" s="22"/>
      <c r="M207" s="88"/>
      <c r="N207" s="31"/>
      <c r="O207" s="159"/>
      <c r="P207" s="124"/>
      <c r="Q207" s="124"/>
      <c r="R207" s="117"/>
    </row>
    <row r="208" ht="14.25" customHeight="1">
      <c r="B208" s="22"/>
      <c r="C208" s="22"/>
      <c r="M208" s="88"/>
      <c r="N208" s="31"/>
      <c r="O208" s="159"/>
      <c r="P208" s="124"/>
      <c r="Q208" s="124"/>
      <c r="R208" s="117"/>
    </row>
    <row r="209" ht="14.25" customHeight="1">
      <c r="B209" s="22"/>
      <c r="C209" s="22"/>
      <c r="M209" s="88"/>
      <c r="N209" s="31"/>
      <c r="O209" s="159"/>
      <c r="P209" s="124"/>
      <c r="Q209" s="124"/>
      <c r="R209" s="117"/>
    </row>
    <row r="210" ht="14.25" customHeight="1">
      <c r="B210" s="22"/>
      <c r="C210" s="22"/>
      <c r="M210" s="88"/>
      <c r="N210" s="31"/>
      <c r="O210" s="159"/>
      <c r="P210" s="124"/>
      <c r="Q210" s="124"/>
      <c r="R210" s="117"/>
    </row>
    <row r="211" ht="14.25" customHeight="1">
      <c r="B211" s="22"/>
      <c r="C211" s="22"/>
      <c r="M211" s="88"/>
      <c r="N211" s="31"/>
      <c r="O211" s="159"/>
      <c r="P211" s="124"/>
      <c r="Q211" s="124"/>
      <c r="R211" s="117"/>
    </row>
    <row r="212" ht="14.25" customHeight="1">
      <c r="B212" s="22"/>
      <c r="C212" s="22"/>
      <c r="M212" s="88"/>
      <c r="N212" s="31"/>
      <c r="O212" s="159"/>
      <c r="P212" s="124"/>
      <c r="Q212" s="124"/>
      <c r="R212" s="117"/>
    </row>
    <row r="213" ht="14.25" customHeight="1">
      <c r="B213" s="22"/>
      <c r="C213" s="22"/>
      <c r="M213" s="88"/>
      <c r="N213" s="31"/>
      <c r="O213" s="159"/>
      <c r="P213" s="124"/>
      <c r="Q213" s="124"/>
      <c r="R213" s="117"/>
    </row>
    <row r="214" ht="14.25" customHeight="1">
      <c r="B214" s="22"/>
      <c r="C214" s="22"/>
      <c r="M214" s="88"/>
      <c r="N214" s="31"/>
      <c r="O214" s="159"/>
      <c r="P214" s="124"/>
      <c r="Q214" s="124"/>
      <c r="R214" s="117"/>
    </row>
    <row r="215" ht="14.25" customHeight="1">
      <c r="B215" s="22"/>
      <c r="C215" s="22"/>
      <c r="M215" s="88"/>
      <c r="N215" s="31"/>
      <c r="O215" s="159"/>
      <c r="P215" s="124"/>
      <c r="Q215" s="124"/>
      <c r="R215" s="117"/>
    </row>
    <row r="216" ht="14.25" customHeight="1">
      <c r="B216" s="22"/>
      <c r="C216" s="22"/>
      <c r="M216" s="88"/>
      <c r="N216" s="31"/>
      <c r="O216" s="159"/>
      <c r="P216" s="124"/>
      <c r="Q216" s="124"/>
      <c r="R216" s="117"/>
    </row>
    <row r="217" ht="14.25" customHeight="1">
      <c r="B217" s="22"/>
      <c r="C217" s="22"/>
      <c r="M217" s="88"/>
      <c r="N217" s="31"/>
      <c r="O217" s="159"/>
      <c r="P217" s="124"/>
      <c r="Q217" s="124"/>
      <c r="R217" s="117"/>
    </row>
    <row r="218" ht="14.25" customHeight="1">
      <c r="B218" s="22"/>
      <c r="C218" s="22"/>
      <c r="M218" s="88"/>
      <c r="N218" s="31"/>
      <c r="O218" s="159"/>
      <c r="P218" s="124"/>
      <c r="Q218" s="124"/>
      <c r="R218" s="117"/>
    </row>
    <row r="219" ht="14.25" customHeight="1">
      <c r="B219" s="22"/>
      <c r="C219" s="22"/>
      <c r="M219" s="88"/>
      <c r="N219" s="31"/>
      <c r="O219" s="159"/>
      <c r="P219" s="124"/>
      <c r="Q219" s="124"/>
      <c r="R219" s="117"/>
    </row>
    <row r="220" ht="14.25" customHeight="1">
      <c r="B220" s="22"/>
      <c r="C220" s="22"/>
      <c r="M220" s="88"/>
      <c r="N220" s="31"/>
      <c r="O220" s="159"/>
      <c r="P220" s="124"/>
      <c r="Q220" s="124"/>
      <c r="R220" s="117"/>
    </row>
    <row r="221" ht="14.25" customHeight="1">
      <c r="B221" s="22"/>
      <c r="C221" s="22"/>
      <c r="M221" s="88"/>
      <c r="N221" s="31"/>
      <c r="O221" s="159"/>
      <c r="P221" s="124"/>
      <c r="Q221" s="124"/>
      <c r="R221" s="117"/>
    </row>
    <row r="222" ht="14.25" customHeight="1">
      <c r="B222" s="22"/>
      <c r="C222" s="22"/>
      <c r="M222" s="88"/>
      <c r="N222" s="31"/>
      <c r="O222" s="159"/>
      <c r="P222" s="124"/>
      <c r="Q222" s="124"/>
      <c r="R222" s="117"/>
    </row>
    <row r="223" ht="14.25" customHeight="1">
      <c r="B223" s="22"/>
      <c r="C223" s="22"/>
      <c r="M223" s="88"/>
      <c r="N223" s="31"/>
      <c r="O223" s="159"/>
      <c r="P223" s="124"/>
      <c r="Q223" s="124"/>
      <c r="R223" s="117"/>
    </row>
    <row r="224" ht="14.25" customHeight="1">
      <c r="B224" s="22"/>
      <c r="C224" s="22"/>
      <c r="M224" s="88"/>
      <c r="N224" s="31"/>
      <c r="O224" s="159"/>
      <c r="P224" s="124"/>
      <c r="Q224" s="124"/>
      <c r="R224" s="117"/>
    </row>
    <row r="225" ht="14.25" customHeight="1">
      <c r="B225" s="22"/>
      <c r="C225" s="22"/>
      <c r="M225" s="88"/>
      <c r="N225" s="31"/>
      <c r="O225" s="159"/>
      <c r="P225" s="124"/>
      <c r="Q225" s="124"/>
      <c r="R225" s="117"/>
    </row>
    <row r="226" ht="14.25" customHeight="1">
      <c r="B226" s="22"/>
      <c r="C226" s="22"/>
      <c r="M226" s="88"/>
      <c r="N226" s="31"/>
      <c r="O226" s="159"/>
      <c r="P226" s="124"/>
      <c r="Q226" s="124"/>
      <c r="R226" s="117"/>
    </row>
    <row r="227" ht="14.25" customHeight="1">
      <c r="B227" s="22"/>
      <c r="C227" s="22"/>
      <c r="M227" s="88"/>
      <c r="N227" s="31"/>
      <c r="O227" s="159"/>
      <c r="P227" s="124"/>
      <c r="Q227" s="124"/>
      <c r="R227" s="117"/>
    </row>
    <row r="228" ht="14.25" customHeight="1">
      <c r="B228" s="22"/>
      <c r="C228" s="22"/>
      <c r="M228" s="88"/>
      <c r="N228" s="31"/>
      <c r="O228" s="159"/>
      <c r="P228" s="124"/>
      <c r="Q228" s="124"/>
      <c r="R228" s="117"/>
    </row>
    <row r="229" ht="14.25" customHeight="1">
      <c r="B229" s="22"/>
      <c r="C229" s="22"/>
      <c r="M229" s="88"/>
      <c r="N229" s="31"/>
      <c r="O229" s="159"/>
      <c r="P229" s="124"/>
      <c r="Q229" s="124"/>
      <c r="R229" s="117"/>
    </row>
    <row r="230" ht="14.25" customHeight="1">
      <c r="B230" s="22"/>
      <c r="C230" s="22"/>
      <c r="M230" s="88"/>
      <c r="N230" s="31"/>
      <c r="O230" s="159"/>
      <c r="P230" s="124"/>
      <c r="Q230" s="124"/>
      <c r="R230" s="117"/>
    </row>
    <row r="231" ht="14.25" customHeight="1">
      <c r="B231" s="22"/>
      <c r="C231" s="22"/>
      <c r="M231" s="88"/>
      <c r="N231" s="31"/>
      <c r="O231" s="159"/>
      <c r="P231" s="124"/>
      <c r="Q231" s="124"/>
      <c r="R231" s="117"/>
    </row>
    <row r="232" ht="14.25" customHeight="1">
      <c r="B232" s="22"/>
      <c r="C232" s="22"/>
      <c r="M232" s="88"/>
      <c r="N232" s="31"/>
      <c r="O232" s="159"/>
      <c r="P232" s="124"/>
      <c r="Q232" s="124"/>
      <c r="R232" s="117"/>
    </row>
    <row r="233" ht="14.25" customHeight="1">
      <c r="B233" s="22"/>
      <c r="C233" s="22"/>
      <c r="M233" s="88"/>
      <c r="N233" s="31"/>
      <c r="O233" s="159"/>
      <c r="P233" s="124"/>
      <c r="Q233" s="124"/>
      <c r="R233" s="117"/>
    </row>
    <row r="234" ht="14.25" customHeight="1">
      <c r="B234" s="22"/>
      <c r="C234" s="22"/>
      <c r="M234" s="88"/>
      <c r="N234" s="31"/>
      <c r="O234" s="159"/>
      <c r="P234" s="124"/>
      <c r="Q234" s="124"/>
      <c r="R234" s="117"/>
    </row>
    <row r="235" ht="14.25" customHeight="1">
      <c r="B235" s="22"/>
      <c r="C235" s="22"/>
      <c r="M235" s="88"/>
      <c r="N235" s="31"/>
      <c r="O235" s="159"/>
      <c r="P235" s="124"/>
      <c r="Q235" s="124"/>
      <c r="R235" s="117"/>
    </row>
    <row r="236" ht="14.25" customHeight="1">
      <c r="B236" s="22"/>
      <c r="C236" s="22"/>
      <c r="M236" s="88"/>
      <c r="N236" s="31"/>
      <c r="O236" s="159"/>
      <c r="P236" s="124"/>
      <c r="Q236" s="124"/>
      <c r="R236" s="117"/>
    </row>
    <row r="237" ht="14.25" customHeight="1">
      <c r="B237" s="22"/>
      <c r="C237" s="22"/>
      <c r="M237" s="88"/>
      <c r="N237" s="31"/>
      <c r="O237" s="159"/>
      <c r="P237" s="124"/>
      <c r="Q237" s="124"/>
      <c r="R237" s="117"/>
    </row>
    <row r="238" ht="14.25" customHeight="1">
      <c r="B238" s="22"/>
      <c r="C238" s="22"/>
      <c r="M238" s="88"/>
      <c r="N238" s="31"/>
      <c r="O238" s="159"/>
      <c r="P238" s="124"/>
      <c r="Q238" s="124"/>
      <c r="R238" s="117"/>
    </row>
    <row r="239" ht="14.25" customHeight="1">
      <c r="B239" s="22"/>
      <c r="C239" s="22"/>
      <c r="M239" s="88"/>
      <c r="N239" s="31"/>
      <c r="O239" s="159"/>
      <c r="P239" s="124"/>
      <c r="Q239" s="124"/>
      <c r="R239" s="117"/>
    </row>
    <row r="240" ht="14.25" customHeight="1">
      <c r="B240" s="22"/>
      <c r="C240" s="22"/>
      <c r="M240" s="88"/>
      <c r="N240" s="31"/>
      <c r="O240" s="159"/>
      <c r="P240" s="124"/>
      <c r="Q240" s="124"/>
      <c r="R240" s="117"/>
    </row>
    <row r="241" ht="14.25" customHeight="1">
      <c r="B241" s="22"/>
      <c r="C241" s="22"/>
      <c r="M241" s="88"/>
      <c r="N241" s="31"/>
      <c r="O241" s="159"/>
      <c r="P241" s="124"/>
      <c r="Q241" s="124"/>
      <c r="R241" s="117"/>
    </row>
    <row r="242" ht="14.25" customHeight="1">
      <c r="B242" s="22"/>
      <c r="C242" s="22"/>
      <c r="M242" s="88"/>
      <c r="N242" s="31"/>
      <c r="O242" s="159"/>
      <c r="P242" s="124"/>
      <c r="Q242" s="124"/>
      <c r="R242" s="117"/>
    </row>
    <row r="243" ht="14.25" customHeight="1">
      <c r="B243" s="22"/>
      <c r="C243" s="22"/>
      <c r="M243" s="88"/>
      <c r="N243" s="31"/>
      <c r="O243" s="159"/>
      <c r="P243" s="124"/>
      <c r="Q243" s="124"/>
      <c r="R243" s="117"/>
    </row>
    <row r="244" ht="14.25" customHeight="1">
      <c r="B244" s="22"/>
      <c r="C244" s="22"/>
      <c r="M244" s="88"/>
      <c r="N244" s="31"/>
      <c r="O244" s="159"/>
      <c r="P244" s="124"/>
      <c r="Q244" s="124"/>
      <c r="R244" s="117"/>
    </row>
    <row r="245" ht="14.25" customHeight="1">
      <c r="B245" s="22"/>
      <c r="C245" s="22"/>
      <c r="M245" s="88"/>
      <c r="N245" s="31"/>
      <c r="O245" s="159"/>
      <c r="P245" s="124"/>
      <c r="Q245" s="124"/>
      <c r="R245" s="117"/>
    </row>
    <row r="246" ht="14.25" customHeight="1">
      <c r="B246" s="22"/>
      <c r="C246" s="22"/>
      <c r="M246" s="88"/>
      <c r="N246" s="31"/>
      <c r="O246" s="159"/>
      <c r="P246" s="124"/>
      <c r="Q246" s="124"/>
      <c r="R246" s="117"/>
    </row>
    <row r="247" ht="14.25" customHeight="1">
      <c r="B247" s="22"/>
      <c r="C247" s="22"/>
      <c r="M247" s="88"/>
      <c r="N247" s="31"/>
      <c r="O247" s="159"/>
      <c r="P247" s="124"/>
      <c r="Q247" s="124"/>
      <c r="R247" s="117"/>
    </row>
    <row r="248" ht="14.25" customHeight="1">
      <c r="B248" s="22"/>
      <c r="C248" s="22"/>
      <c r="M248" s="88"/>
      <c r="N248" s="31"/>
      <c r="O248" s="159"/>
      <c r="P248" s="124"/>
      <c r="Q248" s="124"/>
      <c r="R248" s="117"/>
    </row>
    <row r="249" ht="14.25" customHeight="1">
      <c r="B249" s="22"/>
      <c r="C249" s="22"/>
      <c r="M249" s="88"/>
      <c r="N249" s="31"/>
      <c r="O249" s="159"/>
      <c r="P249" s="124"/>
      <c r="Q249" s="124"/>
      <c r="R249" s="117"/>
    </row>
    <row r="250" ht="14.25" customHeight="1">
      <c r="B250" s="22"/>
      <c r="C250" s="22"/>
      <c r="M250" s="88"/>
      <c r="N250" s="31"/>
      <c r="O250" s="159"/>
      <c r="P250" s="124"/>
      <c r="Q250" s="124"/>
      <c r="R250" s="117"/>
    </row>
    <row r="251" ht="14.25" customHeight="1">
      <c r="B251" s="22"/>
      <c r="C251" s="22"/>
      <c r="M251" s="88"/>
      <c r="N251" s="31"/>
      <c r="O251" s="159"/>
      <c r="P251" s="124"/>
      <c r="Q251" s="124"/>
      <c r="R251" s="117"/>
    </row>
    <row r="252" ht="14.25" customHeight="1">
      <c r="B252" s="22"/>
      <c r="C252" s="22"/>
      <c r="M252" s="88"/>
      <c r="N252" s="31"/>
      <c r="O252" s="159"/>
      <c r="P252" s="124"/>
      <c r="Q252" s="124"/>
      <c r="R252" s="117"/>
    </row>
    <row r="253" ht="14.25" customHeight="1">
      <c r="B253" s="22"/>
      <c r="C253" s="22"/>
      <c r="M253" s="88"/>
      <c r="N253" s="31"/>
      <c r="O253" s="159"/>
      <c r="P253" s="124"/>
      <c r="Q253" s="124"/>
      <c r="R253" s="117"/>
    </row>
    <row r="254" ht="14.25" customHeight="1">
      <c r="B254" s="22"/>
      <c r="C254" s="22"/>
      <c r="M254" s="88"/>
      <c r="N254" s="31"/>
      <c r="O254" s="159"/>
      <c r="P254" s="124"/>
      <c r="Q254" s="124"/>
      <c r="R254" s="117"/>
    </row>
    <row r="255" ht="14.25" customHeight="1">
      <c r="B255" s="22"/>
      <c r="C255" s="22"/>
      <c r="M255" s="88"/>
      <c r="N255" s="31"/>
      <c r="O255" s="159"/>
      <c r="P255" s="124"/>
      <c r="Q255" s="124"/>
      <c r="R255" s="117"/>
    </row>
    <row r="256" ht="14.25" customHeight="1">
      <c r="B256" s="22"/>
      <c r="C256" s="22"/>
      <c r="M256" s="88"/>
      <c r="N256" s="31"/>
      <c r="O256" s="159"/>
      <c r="P256" s="124"/>
      <c r="Q256" s="124"/>
      <c r="R256" s="117"/>
    </row>
    <row r="257" ht="14.25" customHeight="1">
      <c r="B257" s="22"/>
      <c r="C257" s="22"/>
      <c r="M257" s="88"/>
      <c r="N257" s="31"/>
      <c r="O257" s="159"/>
      <c r="P257" s="124"/>
      <c r="Q257" s="124"/>
      <c r="R257" s="117"/>
    </row>
    <row r="258" ht="14.25" customHeight="1">
      <c r="B258" s="22"/>
      <c r="C258" s="22"/>
      <c r="M258" s="88"/>
      <c r="N258" s="31"/>
      <c r="O258" s="159"/>
      <c r="P258" s="124"/>
      <c r="Q258" s="124"/>
      <c r="R258" s="117"/>
    </row>
    <row r="259" ht="14.25" customHeight="1">
      <c r="B259" s="22"/>
      <c r="C259" s="22"/>
      <c r="M259" s="88"/>
      <c r="N259" s="31"/>
      <c r="O259" s="159"/>
      <c r="P259" s="124"/>
      <c r="Q259" s="124"/>
      <c r="R259" s="117"/>
    </row>
    <row r="260" ht="14.25" customHeight="1">
      <c r="B260" s="22"/>
      <c r="C260" s="22"/>
      <c r="M260" s="88"/>
      <c r="N260" s="31"/>
      <c r="O260" s="159"/>
      <c r="P260" s="124"/>
      <c r="Q260" s="124"/>
      <c r="R260" s="117"/>
    </row>
    <row r="261" ht="14.25" customHeight="1">
      <c r="B261" s="22"/>
      <c r="C261" s="22"/>
      <c r="M261" s="88"/>
      <c r="N261" s="31"/>
      <c r="O261" s="159"/>
      <c r="P261" s="124"/>
      <c r="Q261" s="124"/>
      <c r="R261" s="117"/>
    </row>
    <row r="262" ht="14.25" customHeight="1">
      <c r="B262" s="22"/>
      <c r="C262" s="22"/>
      <c r="M262" s="88"/>
      <c r="N262" s="31"/>
      <c r="O262" s="159"/>
      <c r="P262" s="124"/>
      <c r="Q262" s="124"/>
      <c r="R262" s="117"/>
    </row>
    <row r="263" ht="14.25" customHeight="1">
      <c r="B263" s="22"/>
      <c r="C263" s="22"/>
      <c r="M263" s="88"/>
      <c r="N263" s="31"/>
      <c r="O263" s="159"/>
      <c r="P263" s="124"/>
      <c r="Q263" s="124"/>
      <c r="R263" s="117"/>
    </row>
    <row r="264" ht="14.25" customHeight="1">
      <c r="B264" s="22"/>
      <c r="C264" s="22"/>
      <c r="M264" s="88"/>
      <c r="N264" s="31"/>
      <c r="O264" s="159"/>
      <c r="P264" s="124"/>
      <c r="Q264" s="124"/>
      <c r="R264" s="117"/>
    </row>
    <row r="265" ht="14.25" customHeight="1">
      <c r="B265" s="22"/>
      <c r="C265" s="22"/>
      <c r="M265" s="88"/>
      <c r="N265" s="31"/>
      <c r="O265" s="159"/>
      <c r="P265" s="124"/>
      <c r="Q265" s="124"/>
      <c r="R265" s="117"/>
    </row>
    <row r="266" ht="14.25" customHeight="1">
      <c r="B266" s="22"/>
      <c r="C266" s="22"/>
      <c r="M266" s="88"/>
      <c r="N266" s="31"/>
      <c r="O266" s="159"/>
      <c r="P266" s="124"/>
      <c r="Q266" s="124"/>
      <c r="R266" s="117"/>
    </row>
    <row r="267" ht="14.25" customHeight="1">
      <c r="B267" s="22"/>
      <c r="C267" s="22"/>
      <c r="M267" s="88"/>
      <c r="N267" s="31"/>
      <c r="O267" s="159"/>
      <c r="P267" s="124"/>
      <c r="Q267" s="124"/>
      <c r="R267" s="117"/>
    </row>
    <row r="268" ht="14.25" customHeight="1">
      <c r="B268" s="22"/>
      <c r="C268" s="22"/>
      <c r="M268" s="88"/>
      <c r="N268" s="31"/>
      <c r="O268" s="159"/>
      <c r="P268" s="124"/>
      <c r="Q268" s="124"/>
      <c r="R268" s="117"/>
    </row>
    <row r="269" ht="14.25" customHeight="1">
      <c r="B269" s="22"/>
      <c r="C269" s="22"/>
      <c r="M269" s="88"/>
      <c r="N269" s="31"/>
      <c r="O269" s="159"/>
      <c r="P269" s="124"/>
      <c r="Q269" s="124"/>
      <c r="R269" s="117"/>
    </row>
    <row r="270" ht="14.25" customHeight="1">
      <c r="B270" s="22"/>
      <c r="C270" s="22"/>
      <c r="M270" s="88"/>
      <c r="N270" s="31"/>
      <c r="O270" s="159"/>
      <c r="P270" s="124"/>
      <c r="Q270" s="124"/>
      <c r="R270" s="117"/>
    </row>
    <row r="271" ht="14.25" customHeight="1">
      <c r="B271" s="22"/>
      <c r="C271" s="22"/>
      <c r="M271" s="88"/>
      <c r="N271" s="31"/>
      <c r="O271" s="159"/>
      <c r="P271" s="124"/>
      <c r="Q271" s="124"/>
      <c r="R271" s="117"/>
    </row>
    <row r="272" ht="14.25" customHeight="1">
      <c r="B272" s="22"/>
      <c r="C272" s="22"/>
      <c r="M272" s="88"/>
      <c r="N272" s="31"/>
      <c r="O272" s="159"/>
      <c r="P272" s="124"/>
      <c r="Q272" s="124"/>
      <c r="R272" s="117"/>
    </row>
    <row r="273" ht="14.25" customHeight="1">
      <c r="B273" s="22"/>
      <c r="C273" s="22"/>
      <c r="M273" s="88"/>
      <c r="N273" s="31"/>
      <c r="O273" s="159"/>
      <c r="P273" s="124"/>
      <c r="Q273" s="124"/>
      <c r="R273" s="117"/>
    </row>
    <row r="274" ht="14.25" customHeight="1">
      <c r="B274" s="22"/>
      <c r="C274" s="22"/>
      <c r="M274" s="88"/>
      <c r="N274" s="31"/>
      <c r="O274" s="159"/>
      <c r="P274" s="124"/>
      <c r="Q274" s="124"/>
      <c r="R274" s="117"/>
    </row>
    <row r="275" ht="14.25" customHeight="1">
      <c r="B275" s="22"/>
      <c r="C275" s="22"/>
      <c r="M275" s="88"/>
      <c r="N275" s="31"/>
      <c r="O275" s="159"/>
      <c r="P275" s="124"/>
      <c r="Q275" s="124"/>
      <c r="R275" s="117"/>
    </row>
    <row r="276" ht="14.25" customHeight="1">
      <c r="B276" s="22"/>
      <c r="C276" s="22"/>
      <c r="M276" s="88"/>
      <c r="N276" s="31"/>
      <c r="O276" s="159"/>
      <c r="P276" s="124"/>
      <c r="Q276" s="124"/>
      <c r="R276" s="117"/>
    </row>
    <row r="277" ht="14.25" customHeight="1">
      <c r="B277" s="22"/>
      <c r="C277" s="22"/>
      <c r="M277" s="88"/>
      <c r="N277" s="31"/>
      <c r="O277" s="159"/>
      <c r="P277" s="124"/>
      <c r="Q277" s="124"/>
      <c r="R277" s="117"/>
    </row>
    <row r="278" ht="14.25" customHeight="1">
      <c r="B278" s="22"/>
      <c r="C278" s="22"/>
      <c r="M278" s="88"/>
      <c r="N278" s="31"/>
      <c r="O278" s="159"/>
      <c r="P278" s="124"/>
      <c r="Q278" s="124"/>
      <c r="R278" s="117"/>
    </row>
    <row r="279" ht="14.25" customHeight="1">
      <c r="B279" s="22"/>
      <c r="C279" s="22"/>
      <c r="M279" s="88"/>
      <c r="N279" s="31"/>
      <c r="O279" s="159"/>
      <c r="P279" s="124"/>
      <c r="Q279" s="124"/>
      <c r="R279" s="117"/>
    </row>
    <row r="280" ht="14.25" customHeight="1">
      <c r="B280" s="22"/>
      <c r="C280" s="22"/>
      <c r="M280" s="88"/>
      <c r="N280" s="31"/>
      <c r="O280" s="159"/>
      <c r="P280" s="124"/>
      <c r="Q280" s="124"/>
      <c r="R280" s="117"/>
    </row>
    <row r="281" ht="14.25" customHeight="1">
      <c r="B281" s="22"/>
      <c r="C281" s="22"/>
      <c r="M281" s="88"/>
      <c r="N281" s="31"/>
      <c r="O281" s="159"/>
      <c r="P281" s="124"/>
      <c r="Q281" s="124"/>
      <c r="R281" s="117"/>
    </row>
    <row r="282" ht="14.25" customHeight="1">
      <c r="B282" s="22"/>
      <c r="C282" s="22"/>
      <c r="M282" s="88"/>
      <c r="N282" s="31"/>
      <c r="O282" s="159"/>
      <c r="P282" s="124"/>
      <c r="Q282" s="124"/>
      <c r="R282" s="117"/>
    </row>
    <row r="283" ht="14.25" customHeight="1">
      <c r="B283" s="22"/>
      <c r="C283" s="22"/>
      <c r="M283" s="88"/>
      <c r="N283" s="31"/>
      <c r="O283" s="159"/>
      <c r="P283" s="124"/>
      <c r="Q283" s="124"/>
      <c r="R283" s="117"/>
    </row>
    <row r="284" ht="14.25" customHeight="1">
      <c r="B284" s="22"/>
      <c r="C284" s="22"/>
      <c r="M284" s="88"/>
      <c r="N284" s="31"/>
      <c r="O284" s="159"/>
      <c r="P284" s="124"/>
      <c r="Q284" s="124"/>
      <c r="R284" s="117"/>
    </row>
    <row r="285" ht="14.25" customHeight="1">
      <c r="B285" s="22"/>
      <c r="C285" s="22"/>
      <c r="M285" s="88"/>
      <c r="N285" s="31"/>
      <c r="O285" s="159"/>
      <c r="P285" s="124"/>
      <c r="Q285" s="124"/>
      <c r="R285" s="117"/>
    </row>
    <row r="286" ht="14.25" customHeight="1">
      <c r="B286" s="22"/>
      <c r="C286" s="22"/>
      <c r="M286" s="88"/>
      <c r="N286" s="31"/>
      <c r="O286" s="159"/>
      <c r="P286" s="124"/>
      <c r="Q286" s="124"/>
      <c r="R286" s="117"/>
    </row>
    <row r="287" ht="14.25" customHeight="1">
      <c r="B287" s="22"/>
      <c r="C287" s="22"/>
      <c r="M287" s="88"/>
      <c r="N287" s="31"/>
      <c r="O287" s="159"/>
      <c r="P287" s="124"/>
      <c r="Q287" s="124"/>
      <c r="R287" s="117"/>
    </row>
    <row r="288" ht="14.25" customHeight="1">
      <c r="B288" s="22"/>
      <c r="C288" s="22"/>
      <c r="M288" s="88"/>
      <c r="N288" s="31"/>
      <c r="O288" s="159"/>
      <c r="P288" s="124"/>
      <c r="Q288" s="124"/>
      <c r="R288" s="117"/>
    </row>
    <row r="289" ht="14.25" customHeight="1">
      <c r="B289" s="22"/>
      <c r="C289" s="22"/>
      <c r="M289" s="88"/>
      <c r="N289" s="31"/>
      <c r="O289" s="159"/>
      <c r="P289" s="124"/>
      <c r="Q289" s="124"/>
      <c r="R289" s="117"/>
    </row>
    <row r="290" ht="14.25" customHeight="1">
      <c r="B290" s="22"/>
      <c r="C290" s="22"/>
      <c r="M290" s="88"/>
      <c r="N290" s="31"/>
      <c r="O290" s="159"/>
      <c r="P290" s="124"/>
      <c r="Q290" s="124"/>
      <c r="R290" s="117"/>
    </row>
    <row r="291" ht="14.25" customHeight="1">
      <c r="B291" s="22"/>
      <c r="C291" s="22"/>
      <c r="M291" s="88"/>
      <c r="N291" s="31"/>
      <c r="O291" s="159"/>
      <c r="P291" s="124"/>
      <c r="Q291" s="124"/>
      <c r="R291" s="117"/>
    </row>
    <row r="292" ht="14.25" customHeight="1">
      <c r="B292" s="22"/>
      <c r="C292" s="22"/>
      <c r="M292" s="88"/>
      <c r="N292" s="31"/>
      <c r="O292" s="159"/>
      <c r="P292" s="124"/>
      <c r="Q292" s="124"/>
      <c r="R292" s="117"/>
    </row>
    <row r="293" ht="14.25" customHeight="1">
      <c r="B293" s="22"/>
      <c r="C293" s="22"/>
      <c r="M293" s="88"/>
      <c r="N293" s="31"/>
      <c r="O293" s="159"/>
      <c r="P293" s="124"/>
      <c r="Q293" s="124"/>
      <c r="R293" s="117"/>
    </row>
    <row r="294" ht="14.25" customHeight="1">
      <c r="B294" s="22"/>
      <c r="C294" s="22"/>
      <c r="M294" s="88"/>
      <c r="N294" s="31"/>
      <c r="O294" s="159"/>
      <c r="P294" s="124"/>
      <c r="Q294" s="124"/>
      <c r="R294" s="117"/>
    </row>
    <row r="295" ht="14.25" customHeight="1">
      <c r="B295" s="22"/>
      <c r="C295" s="22"/>
      <c r="M295" s="88"/>
      <c r="N295" s="31"/>
      <c r="O295" s="159"/>
      <c r="P295" s="124"/>
      <c r="Q295" s="124"/>
      <c r="R295" s="117"/>
    </row>
    <row r="296" ht="14.25" customHeight="1">
      <c r="B296" s="22"/>
      <c r="C296" s="22"/>
      <c r="M296" s="88"/>
      <c r="N296" s="31"/>
      <c r="O296" s="159"/>
      <c r="P296" s="124"/>
      <c r="Q296" s="124"/>
      <c r="R296" s="117"/>
    </row>
    <row r="297" ht="14.25" customHeight="1">
      <c r="B297" s="22"/>
      <c r="C297" s="22"/>
      <c r="M297" s="88"/>
      <c r="N297" s="31"/>
      <c r="O297" s="159"/>
      <c r="P297" s="124"/>
      <c r="Q297" s="124"/>
      <c r="R297" s="117"/>
    </row>
    <row r="298" ht="14.25" customHeight="1">
      <c r="B298" s="22"/>
      <c r="C298" s="22"/>
      <c r="M298" s="88"/>
      <c r="N298" s="31"/>
      <c r="O298" s="159"/>
      <c r="P298" s="124"/>
      <c r="Q298" s="124"/>
      <c r="R298" s="117"/>
    </row>
    <row r="299" ht="14.25" customHeight="1">
      <c r="B299" s="22"/>
      <c r="C299" s="22"/>
      <c r="M299" s="88"/>
      <c r="N299" s="31"/>
      <c r="O299" s="159"/>
      <c r="P299" s="124"/>
      <c r="Q299" s="124"/>
      <c r="R299" s="117"/>
    </row>
    <row r="300" ht="14.25" customHeight="1">
      <c r="B300" s="22"/>
      <c r="C300" s="22"/>
      <c r="M300" s="88"/>
      <c r="N300" s="31"/>
      <c r="O300" s="159"/>
      <c r="P300" s="124"/>
      <c r="Q300" s="124"/>
      <c r="R300" s="117"/>
    </row>
    <row r="301" ht="14.25" customHeight="1">
      <c r="B301" s="22"/>
      <c r="C301" s="22"/>
      <c r="M301" s="88"/>
      <c r="N301" s="31"/>
      <c r="O301" s="159"/>
      <c r="P301" s="124"/>
      <c r="Q301" s="124"/>
      <c r="R301" s="117"/>
    </row>
    <row r="302" ht="14.25" customHeight="1">
      <c r="B302" s="22"/>
      <c r="C302" s="22"/>
      <c r="M302" s="88"/>
      <c r="N302" s="31"/>
      <c r="O302" s="159"/>
      <c r="P302" s="124"/>
      <c r="Q302" s="124"/>
      <c r="R302" s="117"/>
    </row>
    <row r="303" ht="14.25" customHeight="1">
      <c r="B303" s="22"/>
      <c r="C303" s="22"/>
      <c r="M303" s="88"/>
      <c r="N303" s="31"/>
      <c r="O303" s="159"/>
      <c r="P303" s="124"/>
      <c r="Q303" s="124"/>
      <c r="R303" s="117"/>
    </row>
    <row r="304" ht="14.25" customHeight="1">
      <c r="B304" s="22"/>
      <c r="C304" s="22"/>
      <c r="M304" s="88"/>
      <c r="N304" s="31"/>
      <c r="O304" s="159"/>
      <c r="P304" s="124"/>
      <c r="Q304" s="124"/>
      <c r="R304" s="117"/>
    </row>
    <row r="305" ht="14.25" customHeight="1">
      <c r="B305" s="22"/>
      <c r="C305" s="22"/>
      <c r="M305" s="88"/>
      <c r="N305" s="31"/>
      <c r="O305" s="159"/>
      <c r="P305" s="124"/>
      <c r="Q305" s="124"/>
      <c r="R305" s="117"/>
    </row>
    <row r="306" ht="14.25" customHeight="1">
      <c r="B306" s="22"/>
      <c r="C306" s="22"/>
      <c r="M306" s="88"/>
      <c r="N306" s="31"/>
      <c r="O306" s="159"/>
      <c r="P306" s="124"/>
      <c r="Q306" s="124"/>
      <c r="R306" s="117"/>
    </row>
    <row r="307" ht="14.25" customHeight="1">
      <c r="B307" s="22"/>
      <c r="C307" s="22"/>
      <c r="M307" s="88"/>
      <c r="N307" s="31"/>
      <c r="O307" s="159"/>
      <c r="P307" s="124"/>
      <c r="Q307" s="124"/>
      <c r="R307" s="117"/>
    </row>
    <row r="308" ht="14.25" customHeight="1">
      <c r="B308" s="22"/>
      <c r="C308" s="22"/>
      <c r="M308" s="88"/>
      <c r="N308" s="31"/>
      <c r="O308" s="159"/>
      <c r="P308" s="124"/>
      <c r="Q308" s="124"/>
      <c r="R308" s="117"/>
    </row>
    <row r="309" ht="14.25" customHeight="1">
      <c r="B309" s="22"/>
      <c r="C309" s="22"/>
      <c r="M309" s="88"/>
      <c r="N309" s="31"/>
      <c r="O309" s="159"/>
      <c r="P309" s="124"/>
      <c r="Q309" s="124"/>
      <c r="R309" s="117"/>
    </row>
    <row r="310" ht="14.25" customHeight="1">
      <c r="B310" s="22"/>
      <c r="C310" s="22"/>
      <c r="M310" s="88"/>
      <c r="N310" s="31"/>
      <c r="O310" s="159"/>
      <c r="P310" s="124"/>
      <c r="Q310" s="124"/>
      <c r="R310" s="117"/>
    </row>
    <row r="311" ht="14.25" customHeight="1">
      <c r="B311" s="22"/>
      <c r="C311" s="22"/>
      <c r="M311" s="88"/>
      <c r="N311" s="31"/>
      <c r="O311" s="159"/>
      <c r="P311" s="124"/>
      <c r="Q311" s="124"/>
      <c r="R311" s="117"/>
    </row>
    <row r="312" ht="14.25" customHeight="1">
      <c r="B312" s="22"/>
      <c r="C312" s="22"/>
      <c r="M312" s="88"/>
      <c r="N312" s="31"/>
      <c r="O312" s="159"/>
      <c r="P312" s="124"/>
      <c r="Q312" s="124"/>
      <c r="R312" s="117"/>
    </row>
    <row r="313" ht="14.25" customHeight="1">
      <c r="B313" s="22"/>
      <c r="C313" s="22"/>
      <c r="M313" s="88"/>
      <c r="N313" s="31"/>
      <c r="O313" s="159"/>
      <c r="P313" s="124"/>
      <c r="Q313" s="124"/>
      <c r="R313" s="117"/>
    </row>
    <row r="314" ht="14.25" customHeight="1">
      <c r="B314" s="22"/>
      <c r="C314" s="22"/>
      <c r="M314" s="88"/>
      <c r="N314" s="31"/>
      <c r="O314" s="159"/>
      <c r="P314" s="124"/>
      <c r="Q314" s="124"/>
      <c r="R314" s="117"/>
    </row>
    <row r="315" ht="14.25" customHeight="1">
      <c r="B315" s="22"/>
      <c r="C315" s="22"/>
      <c r="M315" s="88"/>
      <c r="N315" s="31"/>
      <c r="O315" s="159"/>
      <c r="P315" s="124"/>
      <c r="Q315" s="124"/>
      <c r="R315" s="117"/>
    </row>
    <row r="316" ht="14.25" customHeight="1">
      <c r="B316" s="22"/>
      <c r="C316" s="22"/>
      <c r="M316" s="88"/>
      <c r="N316" s="31"/>
      <c r="O316" s="159"/>
      <c r="P316" s="124"/>
      <c r="Q316" s="124"/>
      <c r="R316" s="117"/>
    </row>
    <row r="317" ht="14.25" customHeight="1">
      <c r="B317" s="22"/>
      <c r="C317" s="22"/>
      <c r="M317" s="88"/>
      <c r="N317" s="31"/>
      <c r="O317" s="159"/>
      <c r="P317" s="124"/>
      <c r="Q317" s="124"/>
      <c r="R317" s="117"/>
    </row>
    <row r="318" ht="14.25" customHeight="1">
      <c r="B318" s="22"/>
      <c r="C318" s="22"/>
      <c r="M318" s="88"/>
      <c r="N318" s="31"/>
      <c r="O318" s="159"/>
      <c r="P318" s="124"/>
      <c r="Q318" s="124"/>
      <c r="R318" s="117"/>
    </row>
    <row r="319" ht="14.25" customHeight="1">
      <c r="B319" s="22"/>
      <c r="C319" s="22"/>
      <c r="M319" s="88"/>
      <c r="N319" s="31"/>
      <c r="O319" s="159"/>
      <c r="P319" s="124"/>
      <c r="Q319" s="124"/>
      <c r="R319" s="117"/>
    </row>
    <row r="320" ht="14.25" customHeight="1">
      <c r="B320" s="22"/>
      <c r="C320" s="22"/>
      <c r="M320" s="88"/>
      <c r="N320" s="31"/>
      <c r="O320" s="159"/>
      <c r="P320" s="124"/>
      <c r="Q320" s="124"/>
      <c r="R320" s="117"/>
    </row>
    <row r="321" ht="14.25" customHeight="1">
      <c r="B321" s="22"/>
      <c r="C321" s="22"/>
      <c r="M321" s="88"/>
      <c r="N321" s="31"/>
      <c r="O321" s="159"/>
      <c r="P321" s="124"/>
      <c r="Q321" s="124"/>
      <c r="R321" s="117"/>
    </row>
    <row r="322" ht="14.25" customHeight="1">
      <c r="B322" s="22"/>
      <c r="C322" s="22"/>
      <c r="M322" s="88"/>
      <c r="N322" s="31"/>
      <c r="O322" s="159"/>
      <c r="P322" s="124"/>
      <c r="Q322" s="124"/>
      <c r="R322" s="117"/>
    </row>
    <row r="323" ht="14.25" customHeight="1">
      <c r="B323" s="22"/>
      <c r="C323" s="22"/>
      <c r="M323" s="88"/>
      <c r="N323" s="31"/>
      <c r="O323" s="159"/>
      <c r="P323" s="124"/>
      <c r="Q323" s="124"/>
      <c r="R323" s="117"/>
    </row>
    <row r="324" ht="14.25" customHeight="1">
      <c r="B324" s="22"/>
      <c r="C324" s="22"/>
      <c r="M324" s="88"/>
      <c r="N324" s="31"/>
      <c r="O324" s="159"/>
      <c r="P324" s="124"/>
      <c r="Q324" s="124"/>
      <c r="R324" s="117"/>
    </row>
    <row r="325" ht="14.25" customHeight="1">
      <c r="B325" s="22"/>
      <c r="C325" s="22"/>
      <c r="M325" s="88"/>
      <c r="N325" s="31"/>
      <c r="O325" s="159"/>
      <c r="P325" s="124"/>
      <c r="Q325" s="124"/>
      <c r="R325" s="117"/>
    </row>
    <row r="326" ht="14.25" customHeight="1">
      <c r="B326" s="22"/>
      <c r="C326" s="22"/>
      <c r="M326" s="88"/>
      <c r="N326" s="31"/>
      <c r="O326" s="159"/>
      <c r="P326" s="124"/>
      <c r="Q326" s="124"/>
      <c r="R326" s="117"/>
    </row>
    <row r="327" ht="14.25" customHeight="1">
      <c r="B327" s="22"/>
      <c r="C327" s="22"/>
      <c r="M327" s="88"/>
      <c r="N327" s="31"/>
      <c r="O327" s="159"/>
      <c r="P327" s="124"/>
      <c r="Q327" s="124"/>
      <c r="R327" s="117"/>
    </row>
    <row r="328" ht="14.25" customHeight="1">
      <c r="B328" s="22"/>
      <c r="C328" s="22"/>
      <c r="M328" s="88"/>
      <c r="N328" s="31"/>
      <c r="O328" s="159"/>
      <c r="P328" s="124"/>
      <c r="Q328" s="124"/>
      <c r="R328" s="117"/>
    </row>
    <row r="329" ht="14.25" customHeight="1">
      <c r="B329" s="22"/>
      <c r="C329" s="22"/>
      <c r="M329" s="88"/>
      <c r="N329" s="31"/>
      <c r="O329" s="159"/>
      <c r="P329" s="124"/>
      <c r="Q329" s="124"/>
      <c r="R329" s="117"/>
    </row>
    <row r="330" ht="14.25" customHeight="1">
      <c r="B330" s="22"/>
      <c r="C330" s="22"/>
      <c r="M330" s="88"/>
      <c r="N330" s="31"/>
      <c r="O330" s="159"/>
      <c r="P330" s="124"/>
      <c r="Q330" s="124"/>
      <c r="R330" s="117"/>
    </row>
    <row r="331" ht="14.25" customHeight="1">
      <c r="B331" s="22"/>
      <c r="C331" s="22"/>
      <c r="M331" s="88"/>
      <c r="N331" s="31"/>
      <c r="O331" s="159"/>
      <c r="P331" s="124"/>
      <c r="Q331" s="124"/>
      <c r="R331" s="117"/>
    </row>
    <row r="332" ht="14.25" customHeight="1">
      <c r="B332" s="22"/>
      <c r="C332" s="22"/>
      <c r="M332" s="88"/>
      <c r="N332" s="31"/>
      <c r="O332" s="159"/>
      <c r="P332" s="124"/>
      <c r="Q332" s="124"/>
      <c r="R332" s="117"/>
    </row>
    <row r="333" ht="14.25" customHeight="1">
      <c r="B333" s="22"/>
      <c r="C333" s="22"/>
      <c r="M333" s="88"/>
      <c r="N333" s="31"/>
      <c r="O333" s="159"/>
      <c r="P333" s="124"/>
      <c r="Q333" s="124"/>
      <c r="R333" s="117"/>
    </row>
    <row r="334" ht="14.25" customHeight="1">
      <c r="B334" s="22"/>
      <c r="C334" s="22"/>
      <c r="M334" s="88"/>
      <c r="N334" s="31"/>
      <c r="O334" s="159"/>
      <c r="P334" s="124"/>
      <c r="Q334" s="124"/>
      <c r="R334" s="117"/>
    </row>
    <row r="335" ht="14.25" customHeight="1">
      <c r="B335" s="22"/>
      <c r="C335" s="22"/>
      <c r="M335" s="88"/>
      <c r="N335" s="31"/>
      <c r="O335" s="159"/>
      <c r="P335" s="124"/>
      <c r="Q335" s="124"/>
      <c r="R335" s="117"/>
    </row>
    <row r="336" ht="14.25" customHeight="1">
      <c r="B336" s="22"/>
      <c r="C336" s="22"/>
      <c r="M336" s="88"/>
      <c r="N336" s="31"/>
      <c r="O336" s="159"/>
      <c r="P336" s="124"/>
      <c r="Q336" s="124"/>
      <c r="R336" s="117"/>
    </row>
    <row r="337" ht="14.25" customHeight="1">
      <c r="B337" s="22"/>
      <c r="C337" s="22"/>
      <c r="M337" s="88"/>
      <c r="N337" s="31"/>
      <c r="O337" s="159"/>
      <c r="P337" s="124"/>
      <c r="Q337" s="124"/>
      <c r="R337" s="117"/>
    </row>
    <row r="338" ht="14.25" customHeight="1">
      <c r="B338" s="22"/>
      <c r="C338" s="22"/>
      <c r="M338" s="88"/>
      <c r="N338" s="31"/>
      <c r="O338" s="159"/>
      <c r="P338" s="124"/>
      <c r="Q338" s="124"/>
      <c r="R338" s="117"/>
    </row>
    <row r="339" ht="14.25" customHeight="1">
      <c r="B339" s="22"/>
      <c r="C339" s="22"/>
      <c r="M339" s="88"/>
      <c r="N339" s="31"/>
      <c r="O339" s="159"/>
      <c r="P339" s="124"/>
      <c r="Q339" s="124"/>
      <c r="R339" s="117"/>
    </row>
    <row r="340" ht="14.25" customHeight="1">
      <c r="B340" s="22"/>
      <c r="C340" s="22"/>
      <c r="M340" s="88"/>
      <c r="N340" s="31"/>
      <c r="O340" s="159"/>
      <c r="P340" s="124"/>
      <c r="Q340" s="124"/>
      <c r="R340" s="117"/>
    </row>
    <row r="341" ht="14.25" customHeight="1">
      <c r="B341" s="22"/>
      <c r="C341" s="22"/>
      <c r="M341" s="88"/>
      <c r="N341" s="31"/>
      <c r="O341" s="159"/>
      <c r="P341" s="124"/>
      <c r="Q341" s="124"/>
      <c r="R341" s="117"/>
    </row>
    <row r="342" ht="14.25" customHeight="1">
      <c r="B342" s="22"/>
      <c r="C342" s="22"/>
      <c r="M342" s="88"/>
      <c r="N342" s="31"/>
      <c r="O342" s="159"/>
      <c r="P342" s="124"/>
      <c r="Q342" s="124"/>
      <c r="R342" s="117"/>
    </row>
    <row r="343" ht="14.25" customHeight="1">
      <c r="B343" s="22"/>
      <c r="C343" s="22"/>
      <c r="M343" s="88"/>
      <c r="N343" s="31"/>
      <c r="O343" s="159"/>
      <c r="P343" s="124"/>
      <c r="Q343" s="124"/>
      <c r="R343" s="117"/>
    </row>
    <row r="344" ht="14.25" customHeight="1">
      <c r="B344" s="22"/>
      <c r="C344" s="22"/>
      <c r="M344" s="88"/>
      <c r="N344" s="31"/>
      <c r="O344" s="159"/>
      <c r="P344" s="124"/>
      <c r="Q344" s="124"/>
      <c r="R344" s="117"/>
    </row>
    <row r="345" ht="14.25" customHeight="1">
      <c r="B345" s="22"/>
      <c r="C345" s="22"/>
      <c r="M345" s="88"/>
      <c r="N345" s="31"/>
      <c r="O345" s="159"/>
      <c r="P345" s="124"/>
      <c r="Q345" s="124"/>
      <c r="R345" s="117"/>
    </row>
    <row r="346" ht="14.25" customHeight="1">
      <c r="B346" s="22"/>
      <c r="C346" s="22"/>
      <c r="M346" s="88"/>
      <c r="N346" s="31"/>
      <c r="O346" s="159"/>
      <c r="P346" s="124"/>
      <c r="Q346" s="124"/>
      <c r="R346" s="117"/>
    </row>
    <row r="347" ht="14.25" customHeight="1">
      <c r="B347" s="22"/>
      <c r="C347" s="22"/>
      <c r="M347" s="88"/>
      <c r="N347" s="31"/>
      <c r="O347" s="159"/>
      <c r="P347" s="124"/>
      <c r="Q347" s="124"/>
      <c r="R347" s="117"/>
    </row>
    <row r="348" ht="14.25" customHeight="1">
      <c r="B348" s="22"/>
      <c r="C348" s="22"/>
      <c r="M348" s="88"/>
      <c r="N348" s="31"/>
      <c r="O348" s="159"/>
      <c r="P348" s="124"/>
      <c r="Q348" s="124"/>
      <c r="R348" s="117"/>
    </row>
    <row r="349" ht="14.25" customHeight="1">
      <c r="B349" s="22"/>
      <c r="C349" s="22"/>
      <c r="M349" s="88"/>
      <c r="N349" s="31"/>
      <c r="O349" s="159"/>
      <c r="P349" s="124"/>
      <c r="Q349" s="124"/>
      <c r="R349" s="117"/>
    </row>
    <row r="350" ht="14.25" customHeight="1">
      <c r="B350" s="22"/>
      <c r="C350" s="22"/>
      <c r="M350" s="88"/>
      <c r="N350" s="31"/>
      <c r="O350" s="159"/>
      <c r="P350" s="124"/>
      <c r="Q350" s="124"/>
      <c r="R350" s="117"/>
    </row>
    <row r="351" ht="14.25" customHeight="1">
      <c r="B351" s="22"/>
      <c r="C351" s="22"/>
      <c r="M351" s="88"/>
      <c r="N351" s="31"/>
      <c r="O351" s="159"/>
      <c r="P351" s="124"/>
      <c r="Q351" s="124"/>
      <c r="R351" s="117"/>
    </row>
    <row r="352" ht="14.25" customHeight="1">
      <c r="B352" s="22"/>
      <c r="C352" s="22"/>
      <c r="M352" s="88"/>
      <c r="N352" s="31"/>
      <c r="O352" s="159"/>
      <c r="P352" s="124"/>
      <c r="Q352" s="124"/>
      <c r="R352" s="117"/>
    </row>
    <row r="353" ht="14.25" customHeight="1">
      <c r="B353" s="22"/>
      <c r="C353" s="22"/>
      <c r="M353" s="88"/>
      <c r="N353" s="31"/>
      <c r="O353" s="159"/>
      <c r="P353" s="124"/>
      <c r="Q353" s="124"/>
      <c r="R353" s="117"/>
    </row>
    <row r="354" ht="14.25" customHeight="1">
      <c r="B354" s="22"/>
      <c r="C354" s="22"/>
      <c r="M354" s="88"/>
      <c r="N354" s="31"/>
      <c r="O354" s="159"/>
      <c r="P354" s="124"/>
      <c r="Q354" s="124"/>
      <c r="R354" s="117"/>
    </row>
    <row r="355" ht="14.25" customHeight="1">
      <c r="B355" s="22"/>
      <c r="C355" s="22"/>
      <c r="M355" s="88"/>
      <c r="N355" s="31"/>
      <c r="O355" s="159"/>
      <c r="P355" s="124"/>
      <c r="Q355" s="124"/>
      <c r="R355" s="117"/>
    </row>
    <row r="356" ht="14.25" customHeight="1">
      <c r="B356" s="22"/>
      <c r="C356" s="22"/>
      <c r="M356" s="88"/>
      <c r="N356" s="31"/>
      <c r="O356" s="159"/>
      <c r="P356" s="124"/>
      <c r="Q356" s="124"/>
      <c r="R356" s="117"/>
    </row>
    <row r="357" ht="14.25" customHeight="1">
      <c r="B357" s="22"/>
      <c r="C357" s="22"/>
      <c r="M357" s="88"/>
      <c r="N357" s="31"/>
      <c r="O357" s="159"/>
      <c r="P357" s="124"/>
      <c r="Q357" s="124"/>
      <c r="R357" s="117"/>
    </row>
    <row r="358" ht="14.25" customHeight="1">
      <c r="B358" s="22"/>
      <c r="C358" s="22"/>
      <c r="M358" s="88"/>
      <c r="N358" s="31"/>
      <c r="O358" s="159"/>
      <c r="P358" s="124"/>
      <c r="Q358" s="124"/>
      <c r="R358" s="117"/>
    </row>
    <row r="359" ht="14.25" customHeight="1">
      <c r="B359" s="22"/>
      <c r="C359" s="22"/>
      <c r="M359" s="88"/>
      <c r="N359" s="31"/>
      <c r="O359" s="159"/>
      <c r="P359" s="124"/>
      <c r="Q359" s="124"/>
      <c r="R359" s="117"/>
    </row>
    <row r="360" ht="14.25" customHeight="1">
      <c r="B360" s="22"/>
      <c r="C360" s="22"/>
      <c r="M360" s="88"/>
      <c r="N360" s="31"/>
      <c r="O360" s="159"/>
      <c r="P360" s="124"/>
      <c r="Q360" s="124"/>
      <c r="R360" s="117"/>
    </row>
    <row r="361" ht="14.25" customHeight="1">
      <c r="B361" s="22"/>
      <c r="C361" s="22"/>
      <c r="M361" s="88"/>
      <c r="N361" s="31"/>
      <c r="O361" s="159"/>
      <c r="P361" s="124"/>
      <c r="Q361" s="124"/>
      <c r="R361" s="117"/>
    </row>
    <row r="362" ht="14.25" customHeight="1">
      <c r="B362" s="22"/>
      <c r="C362" s="22"/>
      <c r="M362" s="88"/>
      <c r="N362" s="31"/>
      <c r="O362" s="159"/>
      <c r="P362" s="124"/>
      <c r="Q362" s="124"/>
      <c r="R362" s="117"/>
    </row>
    <row r="363" ht="14.25" customHeight="1">
      <c r="B363" s="22"/>
      <c r="C363" s="22"/>
      <c r="M363" s="88"/>
      <c r="N363" s="31"/>
      <c r="O363" s="159"/>
      <c r="P363" s="124"/>
      <c r="Q363" s="124"/>
      <c r="R363" s="117"/>
    </row>
    <row r="364" ht="14.25" customHeight="1">
      <c r="B364" s="22"/>
      <c r="C364" s="22"/>
      <c r="M364" s="88"/>
      <c r="N364" s="31"/>
      <c r="O364" s="159"/>
      <c r="P364" s="124"/>
      <c r="Q364" s="124"/>
      <c r="R364" s="117"/>
    </row>
    <row r="365" ht="14.25" customHeight="1">
      <c r="B365" s="22"/>
      <c r="C365" s="22"/>
      <c r="M365" s="88"/>
      <c r="N365" s="31"/>
      <c r="O365" s="159"/>
      <c r="P365" s="124"/>
      <c r="Q365" s="124"/>
      <c r="R365" s="117"/>
    </row>
    <row r="366" ht="14.25" customHeight="1">
      <c r="B366" s="22"/>
      <c r="C366" s="22"/>
      <c r="M366" s="88"/>
      <c r="N366" s="31"/>
      <c r="O366" s="159"/>
      <c r="P366" s="124"/>
      <c r="Q366" s="124"/>
      <c r="R366" s="117"/>
    </row>
    <row r="367" ht="14.25" customHeight="1">
      <c r="B367" s="22"/>
      <c r="C367" s="22"/>
      <c r="M367" s="88"/>
      <c r="N367" s="31"/>
      <c r="O367" s="159"/>
      <c r="P367" s="124"/>
      <c r="Q367" s="124"/>
      <c r="R367" s="117"/>
    </row>
    <row r="368" ht="14.25" customHeight="1">
      <c r="B368" s="22"/>
      <c r="C368" s="22"/>
      <c r="M368" s="88"/>
      <c r="N368" s="31"/>
      <c r="O368" s="159"/>
      <c r="P368" s="124"/>
      <c r="Q368" s="124"/>
      <c r="R368" s="117"/>
    </row>
    <row r="369" ht="14.25" customHeight="1">
      <c r="B369" s="22"/>
      <c r="C369" s="22"/>
      <c r="M369" s="88"/>
      <c r="N369" s="31"/>
      <c r="O369" s="159"/>
      <c r="P369" s="124"/>
      <c r="Q369" s="124"/>
      <c r="R369" s="117"/>
    </row>
    <row r="370" ht="14.25" customHeight="1">
      <c r="B370" s="22"/>
      <c r="C370" s="22"/>
      <c r="M370" s="88"/>
      <c r="N370" s="31"/>
      <c r="O370" s="159"/>
      <c r="P370" s="124"/>
      <c r="Q370" s="124"/>
      <c r="R370" s="117"/>
    </row>
    <row r="371" ht="14.25" customHeight="1">
      <c r="B371" s="22"/>
      <c r="C371" s="22"/>
      <c r="M371" s="88"/>
      <c r="N371" s="31"/>
      <c r="O371" s="159"/>
      <c r="P371" s="124"/>
      <c r="Q371" s="124"/>
      <c r="R371" s="117"/>
    </row>
    <row r="372" ht="14.25" customHeight="1">
      <c r="B372" s="22"/>
      <c r="C372" s="22"/>
      <c r="M372" s="88"/>
      <c r="N372" s="31"/>
      <c r="O372" s="159"/>
      <c r="P372" s="124"/>
      <c r="Q372" s="124"/>
      <c r="R372" s="117"/>
    </row>
    <row r="373" ht="14.25" customHeight="1">
      <c r="B373" s="22"/>
      <c r="C373" s="22"/>
      <c r="M373" s="88"/>
      <c r="N373" s="31"/>
      <c r="O373" s="159"/>
      <c r="P373" s="124"/>
      <c r="Q373" s="124"/>
      <c r="R373" s="117"/>
    </row>
    <row r="374" ht="14.25" customHeight="1">
      <c r="B374" s="22"/>
      <c r="C374" s="22"/>
      <c r="M374" s="88"/>
      <c r="N374" s="31"/>
      <c r="O374" s="159"/>
      <c r="P374" s="124"/>
      <c r="Q374" s="124"/>
      <c r="R374" s="117"/>
    </row>
    <row r="375" ht="14.25" customHeight="1">
      <c r="B375" s="22"/>
      <c r="C375" s="22"/>
      <c r="M375" s="88"/>
      <c r="N375" s="31"/>
      <c r="O375" s="159"/>
      <c r="P375" s="124"/>
      <c r="Q375" s="124"/>
      <c r="R375" s="117"/>
    </row>
    <row r="376" ht="14.25" customHeight="1">
      <c r="B376" s="22"/>
      <c r="C376" s="22"/>
      <c r="M376" s="88"/>
      <c r="N376" s="31"/>
      <c r="O376" s="159"/>
      <c r="P376" s="124"/>
      <c r="Q376" s="124"/>
      <c r="R376" s="117"/>
    </row>
    <row r="377" ht="14.25" customHeight="1">
      <c r="B377" s="22"/>
      <c r="C377" s="22"/>
      <c r="M377" s="88"/>
      <c r="N377" s="31"/>
      <c r="O377" s="159"/>
      <c r="P377" s="124"/>
      <c r="Q377" s="124"/>
      <c r="R377" s="117"/>
    </row>
    <row r="378" ht="14.25" customHeight="1">
      <c r="B378" s="22"/>
      <c r="C378" s="22"/>
      <c r="M378" s="88"/>
      <c r="N378" s="31"/>
      <c r="O378" s="159"/>
      <c r="P378" s="124"/>
      <c r="Q378" s="124"/>
      <c r="R378" s="117"/>
    </row>
    <row r="379" ht="14.25" customHeight="1">
      <c r="B379" s="22"/>
      <c r="C379" s="22"/>
      <c r="M379" s="88"/>
      <c r="N379" s="31"/>
      <c r="O379" s="159"/>
      <c r="P379" s="124"/>
      <c r="Q379" s="124"/>
      <c r="R379" s="117"/>
    </row>
    <row r="380" ht="14.25" customHeight="1">
      <c r="B380" s="22"/>
      <c r="C380" s="22"/>
      <c r="M380" s="88"/>
      <c r="N380" s="31"/>
      <c r="O380" s="159"/>
      <c r="P380" s="124"/>
      <c r="Q380" s="124"/>
      <c r="R380" s="117"/>
    </row>
    <row r="381" ht="14.25" customHeight="1">
      <c r="B381" s="22"/>
      <c r="C381" s="22"/>
      <c r="M381" s="88"/>
      <c r="N381" s="31"/>
      <c r="O381" s="159"/>
      <c r="P381" s="124"/>
      <c r="Q381" s="124"/>
      <c r="R381" s="117"/>
    </row>
    <row r="382" ht="14.25" customHeight="1">
      <c r="B382" s="22"/>
      <c r="C382" s="22"/>
      <c r="M382" s="88"/>
      <c r="N382" s="31"/>
      <c r="O382" s="159"/>
      <c r="P382" s="124"/>
      <c r="Q382" s="124"/>
      <c r="R382" s="117"/>
    </row>
    <row r="383" ht="14.25" customHeight="1">
      <c r="B383" s="22"/>
      <c r="C383" s="22"/>
      <c r="M383" s="88"/>
      <c r="N383" s="31"/>
      <c r="O383" s="159"/>
      <c r="P383" s="124"/>
      <c r="Q383" s="124"/>
      <c r="R383" s="117"/>
    </row>
    <row r="384" ht="14.25" customHeight="1">
      <c r="B384" s="22"/>
      <c r="C384" s="22"/>
      <c r="M384" s="88"/>
      <c r="N384" s="31"/>
      <c r="O384" s="159"/>
      <c r="P384" s="124"/>
      <c r="Q384" s="124"/>
      <c r="R384" s="117"/>
    </row>
    <row r="385" ht="14.25" customHeight="1">
      <c r="B385" s="22"/>
      <c r="C385" s="22"/>
      <c r="M385" s="88"/>
      <c r="N385" s="31"/>
      <c r="O385" s="159"/>
      <c r="P385" s="124"/>
      <c r="Q385" s="124"/>
      <c r="R385" s="117"/>
    </row>
    <row r="386" ht="14.25" customHeight="1">
      <c r="B386" s="22"/>
      <c r="C386" s="22"/>
      <c r="M386" s="88"/>
      <c r="N386" s="31"/>
      <c r="O386" s="159"/>
      <c r="P386" s="124"/>
      <c r="Q386" s="124"/>
      <c r="R386" s="117"/>
    </row>
    <row r="387" ht="14.25" customHeight="1">
      <c r="B387" s="22"/>
      <c r="C387" s="22"/>
      <c r="M387" s="88"/>
      <c r="N387" s="31"/>
      <c r="O387" s="159"/>
      <c r="P387" s="124"/>
      <c r="Q387" s="124"/>
      <c r="R387" s="117"/>
    </row>
    <row r="388" ht="14.25" customHeight="1">
      <c r="B388" s="22"/>
      <c r="C388" s="22"/>
      <c r="M388" s="88"/>
      <c r="N388" s="31"/>
      <c r="O388" s="159"/>
      <c r="P388" s="124"/>
      <c r="Q388" s="124"/>
      <c r="R388" s="117"/>
    </row>
    <row r="389" ht="14.25" customHeight="1">
      <c r="B389" s="22"/>
      <c r="C389" s="22"/>
      <c r="M389" s="88"/>
      <c r="N389" s="31"/>
      <c r="O389" s="159"/>
      <c r="P389" s="124"/>
      <c r="Q389" s="124"/>
      <c r="R389" s="117"/>
    </row>
    <row r="390" ht="14.25" customHeight="1">
      <c r="B390" s="22"/>
      <c r="C390" s="22"/>
      <c r="M390" s="88"/>
      <c r="N390" s="31"/>
      <c r="O390" s="159"/>
      <c r="P390" s="124"/>
      <c r="Q390" s="124"/>
      <c r="R390" s="117"/>
    </row>
    <row r="391" ht="14.25" customHeight="1">
      <c r="B391" s="22"/>
      <c r="C391" s="22"/>
      <c r="M391" s="88"/>
      <c r="N391" s="31"/>
      <c r="O391" s="159"/>
      <c r="P391" s="124"/>
      <c r="Q391" s="124"/>
      <c r="R391" s="117"/>
    </row>
    <row r="392" ht="14.25" customHeight="1">
      <c r="B392" s="22"/>
      <c r="C392" s="22"/>
      <c r="M392" s="88"/>
      <c r="N392" s="31"/>
      <c r="O392" s="159"/>
      <c r="P392" s="124"/>
      <c r="Q392" s="124"/>
      <c r="R392" s="117"/>
    </row>
    <row r="393" ht="14.25" customHeight="1">
      <c r="B393" s="22"/>
      <c r="C393" s="22"/>
      <c r="M393" s="88"/>
      <c r="N393" s="31"/>
      <c r="O393" s="159"/>
      <c r="P393" s="124"/>
      <c r="Q393" s="124"/>
      <c r="R393" s="117"/>
    </row>
    <row r="394" ht="14.25" customHeight="1">
      <c r="B394" s="22"/>
      <c r="C394" s="22"/>
      <c r="M394" s="88"/>
      <c r="N394" s="31"/>
      <c r="O394" s="159"/>
      <c r="P394" s="124"/>
      <c r="Q394" s="124"/>
      <c r="R394" s="117"/>
    </row>
    <row r="395" ht="14.25" customHeight="1">
      <c r="B395" s="22"/>
      <c r="C395" s="22"/>
      <c r="M395" s="88"/>
      <c r="N395" s="31"/>
      <c r="O395" s="159"/>
      <c r="P395" s="124"/>
      <c r="Q395" s="124"/>
      <c r="R395" s="117"/>
    </row>
    <row r="396" ht="14.25" customHeight="1">
      <c r="B396" s="22"/>
      <c r="C396" s="22"/>
      <c r="M396" s="88"/>
      <c r="N396" s="31"/>
      <c r="O396" s="159"/>
      <c r="P396" s="124"/>
      <c r="Q396" s="124"/>
      <c r="R396" s="117"/>
    </row>
    <row r="397" ht="14.25" customHeight="1">
      <c r="B397" s="22"/>
      <c r="C397" s="22"/>
      <c r="M397" s="88"/>
      <c r="N397" s="31"/>
      <c r="O397" s="159"/>
      <c r="P397" s="124"/>
      <c r="Q397" s="124"/>
      <c r="R397" s="117"/>
    </row>
    <row r="398" ht="14.25" customHeight="1">
      <c r="B398" s="22"/>
      <c r="C398" s="22"/>
      <c r="M398" s="88"/>
      <c r="N398" s="31"/>
      <c r="O398" s="159"/>
      <c r="P398" s="124"/>
      <c r="Q398" s="124"/>
      <c r="R398" s="117"/>
    </row>
    <row r="399" ht="14.25" customHeight="1">
      <c r="B399" s="22"/>
      <c r="C399" s="22"/>
      <c r="M399" s="88"/>
      <c r="N399" s="31"/>
      <c r="O399" s="159"/>
      <c r="P399" s="124"/>
      <c r="Q399" s="124"/>
      <c r="R399" s="117"/>
    </row>
    <row r="400" ht="14.25" customHeight="1">
      <c r="B400" s="22"/>
      <c r="C400" s="22"/>
      <c r="M400" s="88"/>
      <c r="N400" s="31"/>
      <c r="O400" s="159"/>
      <c r="P400" s="124"/>
      <c r="Q400" s="124"/>
      <c r="R400" s="117"/>
    </row>
    <row r="401" ht="14.25" customHeight="1">
      <c r="B401" s="22"/>
      <c r="C401" s="22"/>
      <c r="M401" s="88"/>
      <c r="N401" s="31"/>
      <c r="O401" s="159"/>
      <c r="P401" s="124"/>
      <c r="Q401" s="124"/>
      <c r="R401" s="117"/>
    </row>
    <row r="402" ht="14.25" customHeight="1">
      <c r="B402" s="22"/>
      <c r="C402" s="22"/>
      <c r="M402" s="88"/>
      <c r="N402" s="31"/>
      <c r="O402" s="159"/>
      <c r="P402" s="124"/>
      <c r="Q402" s="124"/>
      <c r="R402" s="117"/>
    </row>
    <row r="403" ht="14.25" customHeight="1">
      <c r="B403" s="22"/>
      <c r="C403" s="22"/>
      <c r="M403" s="88"/>
      <c r="N403" s="31"/>
      <c r="O403" s="159"/>
      <c r="P403" s="124"/>
      <c r="Q403" s="124"/>
      <c r="R403" s="117"/>
    </row>
    <row r="404" ht="14.25" customHeight="1">
      <c r="B404" s="22"/>
      <c r="C404" s="22"/>
      <c r="M404" s="88"/>
      <c r="N404" s="31"/>
      <c r="O404" s="159"/>
      <c r="P404" s="124"/>
      <c r="Q404" s="124"/>
      <c r="R404" s="117"/>
    </row>
    <row r="405" ht="14.25" customHeight="1">
      <c r="B405" s="22"/>
      <c r="C405" s="22"/>
      <c r="M405" s="88"/>
      <c r="N405" s="31"/>
      <c r="O405" s="159"/>
      <c r="P405" s="124"/>
      <c r="Q405" s="124"/>
      <c r="R405" s="117"/>
    </row>
    <row r="406" ht="14.25" customHeight="1">
      <c r="B406" s="22"/>
      <c r="C406" s="22"/>
      <c r="M406" s="88"/>
      <c r="N406" s="31"/>
      <c r="O406" s="159"/>
      <c r="P406" s="124"/>
      <c r="Q406" s="124"/>
      <c r="R406" s="117"/>
    </row>
    <row r="407" ht="14.25" customHeight="1">
      <c r="B407" s="22"/>
      <c r="C407" s="22"/>
      <c r="M407" s="88"/>
      <c r="N407" s="31"/>
      <c r="O407" s="159"/>
      <c r="P407" s="124"/>
      <c r="Q407" s="124"/>
      <c r="R407" s="117"/>
    </row>
    <row r="408" ht="14.25" customHeight="1">
      <c r="B408" s="22"/>
      <c r="C408" s="22"/>
      <c r="M408" s="88"/>
      <c r="N408" s="31"/>
      <c r="O408" s="159"/>
      <c r="P408" s="124"/>
      <c r="Q408" s="124"/>
      <c r="R408" s="117"/>
    </row>
    <row r="409" ht="14.25" customHeight="1">
      <c r="B409" s="22"/>
      <c r="C409" s="22"/>
      <c r="M409" s="88"/>
      <c r="N409" s="31"/>
      <c r="O409" s="159"/>
      <c r="P409" s="124"/>
      <c r="Q409" s="124"/>
      <c r="R409" s="117"/>
    </row>
    <row r="410" ht="14.25" customHeight="1">
      <c r="B410" s="22"/>
      <c r="C410" s="22"/>
      <c r="M410" s="88"/>
      <c r="N410" s="31"/>
      <c r="O410" s="159"/>
      <c r="P410" s="124"/>
      <c r="Q410" s="124"/>
      <c r="R410" s="117"/>
    </row>
    <row r="411" ht="14.25" customHeight="1">
      <c r="B411" s="22"/>
      <c r="C411" s="22"/>
      <c r="M411" s="88"/>
      <c r="N411" s="31"/>
      <c r="O411" s="159"/>
      <c r="P411" s="124"/>
      <c r="Q411" s="124"/>
      <c r="R411" s="117"/>
    </row>
    <row r="412" ht="14.25" customHeight="1">
      <c r="B412" s="22"/>
      <c r="C412" s="22"/>
      <c r="M412" s="88"/>
      <c r="N412" s="31"/>
      <c r="O412" s="159"/>
      <c r="P412" s="124"/>
      <c r="Q412" s="124"/>
      <c r="R412" s="117"/>
    </row>
    <row r="413" ht="14.25" customHeight="1">
      <c r="B413" s="22"/>
      <c r="C413" s="22"/>
      <c r="M413" s="88"/>
      <c r="N413" s="31"/>
      <c r="O413" s="159"/>
      <c r="P413" s="124"/>
      <c r="Q413" s="124"/>
      <c r="R413" s="117"/>
    </row>
    <row r="414" ht="14.25" customHeight="1">
      <c r="B414" s="22"/>
      <c r="C414" s="22"/>
      <c r="M414" s="88"/>
      <c r="N414" s="31"/>
      <c r="O414" s="159"/>
      <c r="P414" s="124"/>
      <c r="Q414" s="124"/>
      <c r="R414" s="117"/>
    </row>
    <row r="415" ht="14.25" customHeight="1">
      <c r="B415" s="22"/>
      <c r="C415" s="22"/>
      <c r="M415" s="88"/>
      <c r="N415" s="31"/>
      <c r="O415" s="159"/>
      <c r="P415" s="124"/>
      <c r="Q415" s="124"/>
      <c r="R415" s="117"/>
    </row>
    <row r="416" ht="14.25" customHeight="1">
      <c r="B416" s="22"/>
      <c r="C416" s="22"/>
      <c r="M416" s="88"/>
      <c r="N416" s="31"/>
      <c r="O416" s="159"/>
      <c r="P416" s="124"/>
      <c r="Q416" s="124"/>
      <c r="R416" s="117"/>
    </row>
    <row r="417" ht="14.25" customHeight="1">
      <c r="B417" s="22"/>
      <c r="C417" s="22"/>
      <c r="M417" s="88"/>
      <c r="N417" s="31"/>
      <c r="O417" s="159"/>
      <c r="P417" s="124"/>
      <c r="Q417" s="124"/>
      <c r="R417" s="117"/>
    </row>
    <row r="418" ht="14.25" customHeight="1">
      <c r="B418" s="22"/>
      <c r="C418" s="22"/>
      <c r="M418" s="88"/>
      <c r="N418" s="31"/>
      <c r="O418" s="159"/>
      <c r="P418" s="124"/>
      <c r="Q418" s="124"/>
      <c r="R418" s="117"/>
    </row>
    <row r="419" ht="14.25" customHeight="1">
      <c r="B419" s="22"/>
      <c r="C419" s="22"/>
      <c r="M419" s="88"/>
      <c r="N419" s="31"/>
      <c r="O419" s="159"/>
      <c r="P419" s="124"/>
      <c r="Q419" s="124"/>
      <c r="R419" s="117"/>
    </row>
    <row r="420" ht="14.25" customHeight="1">
      <c r="B420" s="22"/>
      <c r="C420" s="22"/>
      <c r="M420" s="88"/>
      <c r="N420" s="31"/>
      <c r="O420" s="159"/>
      <c r="P420" s="124"/>
      <c r="Q420" s="124"/>
      <c r="R420" s="117"/>
    </row>
    <row r="421" ht="14.25" customHeight="1">
      <c r="B421" s="22"/>
      <c r="C421" s="22"/>
      <c r="M421" s="88"/>
      <c r="N421" s="31"/>
      <c r="O421" s="159"/>
      <c r="P421" s="124"/>
      <c r="Q421" s="124"/>
      <c r="R421" s="117"/>
    </row>
    <row r="422" ht="14.25" customHeight="1">
      <c r="B422" s="22"/>
      <c r="C422" s="22"/>
      <c r="M422" s="88"/>
      <c r="N422" s="31"/>
      <c r="O422" s="159"/>
      <c r="P422" s="124"/>
      <c r="Q422" s="124"/>
      <c r="R422" s="117"/>
    </row>
    <row r="423" ht="14.25" customHeight="1">
      <c r="B423" s="22"/>
      <c r="C423" s="22"/>
      <c r="M423" s="88"/>
      <c r="N423" s="31"/>
      <c r="O423" s="159"/>
      <c r="P423" s="124"/>
      <c r="Q423" s="124"/>
      <c r="R423" s="117"/>
    </row>
    <row r="424" ht="14.25" customHeight="1">
      <c r="B424" s="22"/>
      <c r="C424" s="22"/>
      <c r="M424" s="88"/>
      <c r="N424" s="31"/>
      <c r="O424" s="159"/>
      <c r="P424" s="124"/>
      <c r="Q424" s="124"/>
      <c r="R424" s="117"/>
    </row>
    <row r="425" ht="14.25" customHeight="1">
      <c r="B425" s="22"/>
      <c r="C425" s="22"/>
      <c r="M425" s="88"/>
      <c r="N425" s="31"/>
      <c r="O425" s="159"/>
      <c r="P425" s="124"/>
      <c r="Q425" s="124"/>
      <c r="R425" s="117"/>
    </row>
    <row r="426" ht="14.25" customHeight="1">
      <c r="B426" s="22"/>
      <c r="C426" s="22"/>
      <c r="M426" s="88"/>
      <c r="N426" s="31"/>
      <c r="O426" s="159"/>
      <c r="P426" s="124"/>
      <c r="Q426" s="124"/>
      <c r="R426" s="117"/>
    </row>
    <row r="427" ht="14.25" customHeight="1">
      <c r="B427" s="22"/>
      <c r="C427" s="22"/>
      <c r="M427" s="88"/>
      <c r="N427" s="31"/>
      <c r="O427" s="159"/>
      <c r="P427" s="124"/>
      <c r="Q427" s="124"/>
      <c r="R427" s="117"/>
    </row>
    <row r="428" ht="14.25" customHeight="1">
      <c r="B428" s="22"/>
      <c r="C428" s="22"/>
      <c r="M428" s="88"/>
      <c r="N428" s="31"/>
      <c r="O428" s="159"/>
      <c r="P428" s="124"/>
      <c r="Q428" s="124"/>
      <c r="R428" s="117"/>
    </row>
    <row r="429" ht="14.25" customHeight="1">
      <c r="B429" s="22"/>
      <c r="C429" s="22"/>
      <c r="M429" s="88"/>
      <c r="N429" s="31"/>
      <c r="O429" s="159"/>
      <c r="P429" s="124"/>
      <c r="Q429" s="124"/>
      <c r="R429" s="117"/>
    </row>
    <row r="430" ht="14.25" customHeight="1">
      <c r="B430" s="22"/>
      <c r="C430" s="22"/>
      <c r="M430" s="88"/>
      <c r="N430" s="31"/>
      <c r="O430" s="159"/>
      <c r="P430" s="124"/>
      <c r="Q430" s="124"/>
      <c r="R430" s="117"/>
    </row>
    <row r="431" ht="14.25" customHeight="1">
      <c r="B431" s="22"/>
      <c r="C431" s="22"/>
      <c r="M431" s="88"/>
      <c r="N431" s="31"/>
      <c r="O431" s="159"/>
      <c r="P431" s="124"/>
      <c r="Q431" s="124"/>
      <c r="R431" s="117"/>
    </row>
    <row r="432" ht="14.25" customHeight="1">
      <c r="B432" s="22"/>
      <c r="C432" s="22"/>
      <c r="M432" s="88"/>
      <c r="N432" s="31"/>
      <c r="O432" s="159"/>
      <c r="P432" s="124"/>
      <c r="Q432" s="124"/>
      <c r="R432" s="117"/>
    </row>
    <row r="433" ht="14.25" customHeight="1">
      <c r="B433" s="22"/>
      <c r="C433" s="22"/>
      <c r="M433" s="88"/>
      <c r="N433" s="31"/>
      <c r="O433" s="159"/>
      <c r="P433" s="124"/>
      <c r="Q433" s="124"/>
      <c r="R433" s="117"/>
    </row>
    <row r="434" ht="14.25" customHeight="1">
      <c r="B434" s="22"/>
      <c r="C434" s="22"/>
      <c r="M434" s="88"/>
      <c r="N434" s="31"/>
      <c r="O434" s="159"/>
      <c r="P434" s="124"/>
      <c r="Q434" s="124"/>
      <c r="R434" s="117"/>
    </row>
    <row r="435" ht="14.25" customHeight="1">
      <c r="B435" s="22"/>
      <c r="C435" s="22"/>
      <c r="M435" s="88"/>
      <c r="N435" s="31"/>
      <c r="O435" s="159"/>
      <c r="P435" s="124"/>
      <c r="Q435" s="124"/>
      <c r="R435" s="117"/>
    </row>
    <row r="436" ht="14.25" customHeight="1">
      <c r="B436" s="22"/>
      <c r="C436" s="22"/>
      <c r="M436" s="88"/>
      <c r="N436" s="31"/>
      <c r="O436" s="159"/>
      <c r="P436" s="124"/>
      <c r="Q436" s="124"/>
      <c r="R436" s="117"/>
    </row>
    <row r="437" ht="14.25" customHeight="1">
      <c r="B437" s="22"/>
      <c r="C437" s="22"/>
      <c r="M437" s="88"/>
      <c r="N437" s="31"/>
      <c r="O437" s="159"/>
      <c r="P437" s="124"/>
      <c r="Q437" s="124"/>
      <c r="R437" s="117"/>
    </row>
    <row r="438" ht="14.25" customHeight="1">
      <c r="B438" s="22"/>
      <c r="C438" s="22"/>
      <c r="M438" s="88"/>
      <c r="N438" s="31"/>
      <c r="O438" s="159"/>
      <c r="P438" s="124"/>
      <c r="Q438" s="124"/>
      <c r="R438" s="117"/>
    </row>
    <row r="439" ht="14.25" customHeight="1">
      <c r="B439" s="22"/>
      <c r="C439" s="22"/>
      <c r="M439" s="88"/>
      <c r="N439" s="31"/>
      <c r="O439" s="159"/>
      <c r="P439" s="124"/>
      <c r="Q439" s="124"/>
      <c r="R439" s="117"/>
    </row>
    <row r="440" ht="14.25" customHeight="1">
      <c r="B440" s="22"/>
      <c r="C440" s="22"/>
      <c r="M440" s="88"/>
      <c r="N440" s="31"/>
      <c r="O440" s="159"/>
      <c r="P440" s="124"/>
      <c r="Q440" s="124"/>
      <c r="R440" s="117"/>
    </row>
    <row r="441" ht="14.25" customHeight="1">
      <c r="B441" s="22"/>
      <c r="C441" s="22"/>
      <c r="M441" s="88"/>
      <c r="N441" s="31"/>
      <c r="O441" s="159"/>
      <c r="P441" s="124"/>
      <c r="Q441" s="124"/>
      <c r="R441" s="117"/>
    </row>
    <row r="442" ht="14.25" customHeight="1">
      <c r="B442" s="22"/>
      <c r="C442" s="22"/>
      <c r="M442" s="88"/>
      <c r="N442" s="31"/>
      <c r="O442" s="159"/>
      <c r="P442" s="124"/>
      <c r="Q442" s="124"/>
      <c r="R442" s="117"/>
    </row>
    <row r="443" ht="14.25" customHeight="1">
      <c r="B443" s="22"/>
      <c r="C443" s="22"/>
      <c r="M443" s="88"/>
      <c r="N443" s="31"/>
      <c r="O443" s="159"/>
      <c r="P443" s="124"/>
      <c r="Q443" s="124"/>
      <c r="R443" s="117"/>
    </row>
    <row r="444" ht="14.25" customHeight="1">
      <c r="B444" s="22"/>
      <c r="C444" s="22"/>
      <c r="M444" s="88"/>
      <c r="N444" s="31"/>
      <c r="O444" s="159"/>
      <c r="P444" s="124"/>
      <c r="Q444" s="124"/>
      <c r="R444" s="117"/>
    </row>
    <row r="445" ht="14.25" customHeight="1">
      <c r="B445" s="22"/>
      <c r="C445" s="22"/>
      <c r="M445" s="88"/>
      <c r="N445" s="31"/>
      <c r="O445" s="159"/>
      <c r="P445" s="124"/>
      <c r="Q445" s="124"/>
      <c r="R445" s="117"/>
    </row>
    <row r="446" ht="14.25" customHeight="1">
      <c r="B446" s="22"/>
      <c r="C446" s="22"/>
      <c r="M446" s="88"/>
      <c r="N446" s="31"/>
      <c r="O446" s="159"/>
      <c r="P446" s="124"/>
      <c r="Q446" s="124"/>
      <c r="R446" s="117"/>
    </row>
    <row r="447" ht="14.25" customHeight="1">
      <c r="B447" s="22"/>
      <c r="C447" s="22"/>
      <c r="M447" s="88"/>
      <c r="N447" s="31"/>
      <c r="O447" s="159"/>
      <c r="P447" s="124"/>
      <c r="Q447" s="124"/>
      <c r="R447" s="117"/>
    </row>
    <row r="448" ht="14.25" customHeight="1">
      <c r="B448" s="22"/>
      <c r="C448" s="22"/>
      <c r="M448" s="88"/>
      <c r="N448" s="31"/>
      <c r="O448" s="159"/>
      <c r="P448" s="124"/>
      <c r="Q448" s="124"/>
      <c r="R448" s="117"/>
    </row>
    <row r="449" ht="14.25" customHeight="1">
      <c r="B449" s="22"/>
      <c r="C449" s="22"/>
      <c r="M449" s="88"/>
      <c r="N449" s="31"/>
      <c r="O449" s="159"/>
      <c r="P449" s="124"/>
      <c r="Q449" s="124"/>
      <c r="R449" s="117"/>
    </row>
    <row r="450" ht="14.25" customHeight="1">
      <c r="B450" s="22"/>
      <c r="C450" s="22"/>
      <c r="M450" s="88"/>
      <c r="N450" s="31"/>
      <c r="O450" s="159"/>
      <c r="P450" s="124"/>
      <c r="Q450" s="124"/>
      <c r="R450" s="117"/>
    </row>
    <row r="451" ht="14.25" customHeight="1">
      <c r="B451" s="22"/>
      <c r="C451" s="22"/>
      <c r="M451" s="88"/>
      <c r="N451" s="31"/>
      <c r="O451" s="159"/>
      <c r="P451" s="124"/>
      <c r="Q451" s="124"/>
      <c r="R451" s="117"/>
    </row>
    <row r="452" ht="14.25" customHeight="1">
      <c r="B452" s="22"/>
      <c r="C452" s="22"/>
      <c r="M452" s="88"/>
      <c r="N452" s="31"/>
      <c r="O452" s="159"/>
      <c r="P452" s="124"/>
      <c r="Q452" s="124"/>
      <c r="R452" s="117"/>
    </row>
    <row r="453" ht="14.25" customHeight="1">
      <c r="B453" s="22"/>
      <c r="C453" s="22"/>
      <c r="M453" s="88"/>
      <c r="N453" s="31"/>
      <c r="O453" s="159"/>
      <c r="P453" s="124"/>
      <c r="Q453" s="124"/>
      <c r="R453" s="117"/>
    </row>
    <row r="454" ht="14.25" customHeight="1">
      <c r="B454" s="22"/>
      <c r="C454" s="22"/>
      <c r="M454" s="88"/>
      <c r="N454" s="31"/>
      <c r="O454" s="159"/>
      <c r="P454" s="124"/>
      <c r="Q454" s="124"/>
      <c r="R454" s="117"/>
    </row>
    <row r="455" ht="14.25" customHeight="1">
      <c r="B455" s="22"/>
      <c r="C455" s="22"/>
      <c r="M455" s="88"/>
      <c r="N455" s="31"/>
      <c r="O455" s="159"/>
      <c r="P455" s="124"/>
      <c r="Q455" s="124"/>
      <c r="R455" s="117"/>
    </row>
    <row r="456" ht="14.25" customHeight="1">
      <c r="B456" s="22"/>
      <c r="C456" s="22"/>
      <c r="M456" s="88"/>
      <c r="N456" s="31"/>
      <c r="O456" s="159"/>
      <c r="P456" s="124"/>
      <c r="Q456" s="124"/>
      <c r="R456" s="117"/>
    </row>
    <row r="457" ht="14.25" customHeight="1">
      <c r="B457" s="22"/>
      <c r="C457" s="22"/>
      <c r="M457" s="88"/>
      <c r="N457" s="31"/>
      <c r="O457" s="159"/>
      <c r="P457" s="124"/>
      <c r="Q457" s="124"/>
      <c r="R457" s="117"/>
    </row>
    <row r="458" ht="14.25" customHeight="1">
      <c r="B458" s="22"/>
      <c r="C458" s="22"/>
      <c r="M458" s="88"/>
      <c r="N458" s="31"/>
      <c r="O458" s="159"/>
      <c r="P458" s="124"/>
      <c r="Q458" s="124"/>
      <c r="R458" s="117"/>
    </row>
    <row r="459" ht="14.25" customHeight="1">
      <c r="B459" s="22"/>
      <c r="C459" s="22"/>
      <c r="M459" s="88"/>
      <c r="N459" s="31"/>
      <c r="O459" s="159"/>
      <c r="P459" s="124"/>
      <c r="Q459" s="124"/>
      <c r="R459" s="117"/>
    </row>
    <row r="460" ht="14.25" customHeight="1">
      <c r="B460" s="22"/>
      <c r="C460" s="22"/>
      <c r="M460" s="88"/>
      <c r="N460" s="31"/>
      <c r="O460" s="159"/>
      <c r="P460" s="124"/>
      <c r="Q460" s="124"/>
      <c r="R460" s="117"/>
    </row>
    <row r="461" ht="14.25" customHeight="1">
      <c r="B461" s="22"/>
      <c r="C461" s="22"/>
      <c r="M461" s="88"/>
      <c r="N461" s="31"/>
      <c r="O461" s="159"/>
      <c r="P461" s="124"/>
      <c r="Q461" s="124"/>
      <c r="R461" s="117"/>
    </row>
    <row r="462" ht="14.25" customHeight="1">
      <c r="B462" s="22"/>
      <c r="C462" s="22"/>
      <c r="M462" s="88"/>
      <c r="N462" s="31"/>
      <c r="O462" s="159"/>
      <c r="P462" s="124"/>
      <c r="Q462" s="124"/>
      <c r="R462" s="117"/>
    </row>
    <row r="463" ht="14.25" customHeight="1">
      <c r="B463" s="22"/>
      <c r="C463" s="22"/>
      <c r="M463" s="88"/>
      <c r="N463" s="31"/>
      <c r="O463" s="159"/>
      <c r="P463" s="124"/>
      <c r="Q463" s="124"/>
      <c r="R463" s="117"/>
    </row>
    <row r="464" ht="14.25" customHeight="1">
      <c r="B464" s="22"/>
      <c r="C464" s="22"/>
      <c r="M464" s="88"/>
      <c r="N464" s="31"/>
      <c r="O464" s="159"/>
      <c r="P464" s="124"/>
      <c r="Q464" s="124"/>
      <c r="R464" s="117"/>
    </row>
    <row r="465" ht="14.25" customHeight="1">
      <c r="B465" s="22"/>
      <c r="C465" s="22"/>
      <c r="M465" s="88"/>
      <c r="N465" s="31"/>
      <c r="O465" s="159"/>
      <c r="P465" s="124"/>
      <c r="Q465" s="124"/>
      <c r="R465" s="117"/>
    </row>
    <row r="466" ht="14.25" customHeight="1">
      <c r="B466" s="22"/>
      <c r="C466" s="22"/>
      <c r="M466" s="88"/>
      <c r="N466" s="31"/>
      <c r="O466" s="159"/>
      <c r="P466" s="124"/>
      <c r="Q466" s="124"/>
      <c r="R466" s="117"/>
    </row>
    <row r="467" ht="14.25" customHeight="1">
      <c r="B467" s="22"/>
      <c r="C467" s="22"/>
      <c r="M467" s="88"/>
      <c r="N467" s="31"/>
      <c r="O467" s="159"/>
      <c r="P467" s="124"/>
      <c r="Q467" s="124"/>
      <c r="R467" s="117"/>
    </row>
    <row r="468" ht="14.25" customHeight="1">
      <c r="B468" s="22"/>
      <c r="C468" s="22"/>
      <c r="M468" s="88"/>
      <c r="N468" s="31"/>
      <c r="O468" s="159"/>
      <c r="P468" s="124"/>
      <c r="Q468" s="124"/>
      <c r="R468" s="117"/>
    </row>
    <row r="469" ht="14.25" customHeight="1">
      <c r="B469" s="22"/>
      <c r="C469" s="22"/>
      <c r="M469" s="88"/>
      <c r="N469" s="31"/>
      <c r="O469" s="159"/>
      <c r="P469" s="124"/>
      <c r="Q469" s="124"/>
      <c r="R469" s="117"/>
    </row>
    <row r="470" ht="14.25" customHeight="1">
      <c r="B470" s="22"/>
      <c r="C470" s="22"/>
      <c r="M470" s="88"/>
      <c r="N470" s="31"/>
      <c r="O470" s="159"/>
      <c r="P470" s="124"/>
      <c r="Q470" s="124"/>
      <c r="R470" s="117"/>
    </row>
    <row r="471" ht="14.25" customHeight="1">
      <c r="B471" s="22"/>
      <c r="C471" s="22"/>
      <c r="M471" s="88"/>
      <c r="N471" s="31"/>
      <c r="O471" s="159"/>
      <c r="P471" s="124"/>
      <c r="Q471" s="124"/>
      <c r="R471" s="117"/>
    </row>
    <row r="472" ht="14.25" customHeight="1">
      <c r="B472" s="22"/>
      <c r="C472" s="22"/>
      <c r="M472" s="88"/>
      <c r="N472" s="31"/>
      <c r="O472" s="159"/>
      <c r="P472" s="124"/>
      <c r="Q472" s="124"/>
      <c r="R472" s="117"/>
    </row>
    <row r="473" ht="14.25" customHeight="1">
      <c r="B473" s="22"/>
      <c r="C473" s="22"/>
      <c r="M473" s="88"/>
      <c r="N473" s="31"/>
      <c r="O473" s="159"/>
      <c r="P473" s="124"/>
      <c r="Q473" s="124"/>
      <c r="R473" s="117"/>
    </row>
    <row r="474" ht="14.25" customHeight="1">
      <c r="B474" s="22"/>
      <c r="C474" s="22"/>
      <c r="M474" s="88"/>
      <c r="N474" s="31"/>
      <c r="O474" s="159"/>
      <c r="P474" s="124"/>
      <c r="Q474" s="124"/>
      <c r="R474" s="117"/>
    </row>
    <row r="475" ht="14.25" customHeight="1">
      <c r="B475" s="22"/>
      <c r="C475" s="22"/>
      <c r="M475" s="88"/>
      <c r="N475" s="31"/>
      <c r="O475" s="159"/>
      <c r="P475" s="124"/>
      <c r="Q475" s="124"/>
      <c r="R475" s="117"/>
    </row>
    <row r="476" ht="14.25" customHeight="1">
      <c r="B476" s="22"/>
      <c r="C476" s="22"/>
      <c r="M476" s="88"/>
      <c r="N476" s="31"/>
      <c r="O476" s="159"/>
      <c r="P476" s="124"/>
      <c r="Q476" s="124"/>
      <c r="R476" s="117"/>
    </row>
    <row r="477" ht="14.25" customHeight="1">
      <c r="B477" s="22"/>
      <c r="C477" s="22"/>
      <c r="M477" s="88"/>
      <c r="N477" s="31"/>
      <c r="O477" s="159"/>
      <c r="P477" s="124"/>
      <c r="Q477" s="124"/>
      <c r="R477" s="117"/>
    </row>
    <row r="478" ht="14.25" customHeight="1">
      <c r="B478" s="22"/>
      <c r="C478" s="22"/>
      <c r="M478" s="88"/>
      <c r="N478" s="31"/>
      <c r="O478" s="159"/>
      <c r="P478" s="124"/>
      <c r="Q478" s="124"/>
      <c r="R478" s="117"/>
    </row>
    <row r="479" ht="14.25" customHeight="1">
      <c r="B479" s="22"/>
      <c r="C479" s="22"/>
      <c r="M479" s="88"/>
      <c r="N479" s="31"/>
      <c r="O479" s="159"/>
      <c r="P479" s="124"/>
      <c r="Q479" s="124"/>
      <c r="R479" s="117"/>
    </row>
    <row r="480" ht="14.25" customHeight="1">
      <c r="B480" s="22"/>
      <c r="C480" s="22"/>
      <c r="M480" s="88"/>
      <c r="N480" s="31"/>
      <c r="O480" s="159"/>
      <c r="P480" s="124"/>
      <c r="Q480" s="124"/>
      <c r="R480" s="117"/>
    </row>
    <row r="481" ht="14.25" customHeight="1">
      <c r="B481" s="22"/>
      <c r="C481" s="22"/>
      <c r="M481" s="88"/>
      <c r="N481" s="31"/>
      <c r="O481" s="159"/>
      <c r="P481" s="124"/>
      <c r="Q481" s="124"/>
      <c r="R481" s="117"/>
    </row>
    <row r="482" ht="14.25" customHeight="1">
      <c r="B482" s="22"/>
      <c r="C482" s="22"/>
      <c r="M482" s="88"/>
      <c r="N482" s="31"/>
      <c r="O482" s="159"/>
      <c r="P482" s="124"/>
      <c r="Q482" s="124"/>
      <c r="R482" s="117"/>
    </row>
    <row r="483" ht="14.25" customHeight="1">
      <c r="B483" s="22"/>
      <c r="C483" s="22"/>
      <c r="M483" s="88"/>
      <c r="N483" s="31"/>
      <c r="O483" s="159"/>
      <c r="P483" s="124"/>
      <c r="Q483" s="124"/>
      <c r="R483" s="117"/>
    </row>
    <row r="484" ht="14.25" customHeight="1">
      <c r="B484" s="22"/>
      <c r="C484" s="22"/>
      <c r="M484" s="88"/>
      <c r="N484" s="31"/>
      <c r="O484" s="159"/>
      <c r="P484" s="124"/>
      <c r="Q484" s="124"/>
      <c r="R484" s="117"/>
    </row>
    <row r="485" ht="14.25" customHeight="1">
      <c r="B485" s="22"/>
      <c r="C485" s="22"/>
      <c r="M485" s="88"/>
      <c r="N485" s="31"/>
      <c r="O485" s="159"/>
      <c r="P485" s="124"/>
      <c r="Q485" s="124"/>
      <c r="R485" s="117"/>
    </row>
    <row r="486" ht="14.25" customHeight="1">
      <c r="B486" s="22"/>
      <c r="C486" s="22"/>
      <c r="M486" s="88"/>
      <c r="N486" s="31"/>
      <c r="O486" s="159"/>
      <c r="P486" s="124"/>
      <c r="Q486" s="124"/>
      <c r="R486" s="117"/>
    </row>
    <row r="487" ht="14.25" customHeight="1">
      <c r="B487" s="22"/>
      <c r="C487" s="22"/>
      <c r="M487" s="88"/>
      <c r="N487" s="31"/>
      <c r="O487" s="159"/>
      <c r="P487" s="124"/>
      <c r="Q487" s="124"/>
      <c r="R487" s="117"/>
    </row>
    <row r="488" ht="14.25" customHeight="1">
      <c r="B488" s="22"/>
      <c r="C488" s="22"/>
      <c r="M488" s="88"/>
      <c r="N488" s="31"/>
      <c r="O488" s="159"/>
      <c r="P488" s="124"/>
      <c r="Q488" s="124"/>
      <c r="R488" s="117"/>
    </row>
    <row r="489" ht="14.25" customHeight="1">
      <c r="B489" s="22"/>
      <c r="C489" s="22"/>
      <c r="M489" s="88"/>
      <c r="N489" s="31"/>
      <c r="O489" s="159"/>
      <c r="P489" s="124"/>
      <c r="Q489" s="124"/>
      <c r="R489" s="117"/>
    </row>
    <row r="490" ht="14.25" customHeight="1">
      <c r="B490" s="22"/>
      <c r="C490" s="22"/>
      <c r="M490" s="88"/>
      <c r="N490" s="31"/>
      <c r="O490" s="159"/>
      <c r="P490" s="124"/>
      <c r="Q490" s="124"/>
      <c r="R490" s="117"/>
    </row>
    <row r="491" ht="14.25" customHeight="1">
      <c r="B491" s="22"/>
      <c r="C491" s="22"/>
      <c r="M491" s="88"/>
      <c r="N491" s="31"/>
      <c r="O491" s="159"/>
      <c r="P491" s="124"/>
      <c r="Q491" s="124"/>
      <c r="R491" s="117"/>
    </row>
    <row r="492" ht="14.25" customHeight="1">
      <c r="B492" s="22"/>
      <c r="C492" s="22"/>
      <c r="M492" s="88"/>
      <c r="N492" s="31"/>
      <c r="O492" s="159"/>
      <c r="P492" s="124"/>
      <c r="Q492" s="124"/>
      <c r="R492" s="117"/>
    </row>
    <row r="493" ht="14.25" customHeight="1">
      <c r="B493" s="22"/>
      <c r="C493" s="22"/>
      <c r="M493" s="88"/>
      <c r="N493" s="31"/>
      <c r="O493" s="159"/>
      <c r="P493" s="124"/>
      <c r="Q493" s="124"/>
      <c r="R493" s="117"/>
    </row>
    <row r="494" ht="14.25" customHeight="1">
      <c r="B494" s="22"/>
      <c r="C494" s="22"/>
      <c r="M494" s="88"/>
      <c r="N494" s="31"/>
      <c r="O494" s="159"/>
      <c r="P494" s="124"/>
      <c r="Q494" s="124"/>
      <c r="R494" s="117"/>
    </row>
    <row r="495" ht="14.25" customHeight="1">
      <c r="B495" s="22"/>
      <c r="C495" s="22"/>
      <c r="M495" s="88"/>
      <c r="N495" s="31"/>
      <c r="O495" s="159"/>
      <c r="P495" s="124"/>
      <c r="Q495" s="124"/>
      <c r="R495" s="117"/>
    </row>
    <row r="496" ht="14.25" customHeight="1">
      <c r="B496" s="22"/>
      <c r="C496" s="22"/>
      <c r="M496" s="88"/>
      <c r="N496" s="31"/>
      <c r="O496" s="159"/>
      <c r="P496" s="124"/>
      <c r="Q496" s="124"/>
      <c r="R496" s="117"/>
    </row>
    <row r="497" ht="14.25" customHeight="1">
      <c r="B497" s="22"/>
      <c r="C497" s="22"/>
      <c r="M497" s="88"/>
      <c r="N497" s="31"/>
      <c r="O497" s="159"/>
      <c r="P497" s="124"/>
      <c r="Q497" s="124"/>
      <c r="R497" s="117"/>
    </row>
    <row r="498" ht="14.25" customHeight="1">
      <c r="B498" s="22"/>
      <c r="C498" s="22"/>
      <c r="M498" s="88"/>
      <c r="N498" s="31"/>
      <c r="O498" s="159"/>
      <c r="P498" s="124"/>
      <c r="Q498" s="124"/>
      <c r="R498" s="117"/>
    </row>
    <row r="499" ht="14.25" customHeight="1">
      <c r="B499" s="22"/>
      <c r="C499" s="22"/>
      <c r="M499" s="88"/>
      <c r="N499" s="31"/>
      <c r="O499" s="159"/>
      <c r="P499" s="124"/>
      <c r="Q499" s="124"/>
      <c r="R499" s="117"/>
    </row>
    <row r="500" ht="14.25" customHeight="1">
      <c r="B500" s="22"/>
      <c r="C500" s="22"/>
      <c r="M500" s="88"/>
      <c r="N500" s="31"/>
      <c r="O500" s="159"/>
      <c r="P500" s="124"/>
      <c r="Q500" s="124"/>
      <c r="R500" s="117"/>
    </row>
    <row r="501" ht="14.25" customHeight="1">
      <c r="B501" s="22"/>
      <c r="C501" s="22"/>
      <c r="M501" s="88"/>
      <c r="N501" s="31"/>
      <c r="O501" s="159"/>
      <c r="P501" s="124"/>
      <c r="Q501" s="124"/>
      <c r="R501" s="117"/>
    </row>
    <row r="502" ht="14.25" customHeight="1">
      <c r="B502" s="22"/>
      <c r="C502" s="22"/>
      <c r="M502" s="88"/>
      <c r="N502" s="31"/>
      <c r="O502" s="159"/>
      <c r="P502" s="124"/>
      <c r="Q502" s="124"/>
      <c r="R502" s="117"/>
    </row>
    <row r="503" ht="14.25" customHeight="1">
      <c r="B503" s="22"/>
      <c r="C503" s="22"/>
      <c r="M503" s="88"/>
      <c r="N503" s="31"/>
      <c r="O503" s="159"/>
      <c r="P503" s="124"/>
      <c r="Q503" s="124"/>
      <c r="R503" s="117"/>
    </row>
    <row r="504" ht="14.25" customHeight="1">
      <c r="B504" s="22"/>
      <c r="C504" s="22"/>
      <c r="M504" s="88"/>
      <c r="N504" s="31"/>
      <c r="O504" s="159"/>
      <c r="P504" s="124"/>
      <c r="Q504" s="124"/>
      <c r="R504" s="117"/>
    </row>
    <row r="505" ht="14.25" customHeight="1">
      <c r="B505" s="22"/>
      <c r="C505" s="22"/>
      <c r="M505" s="88"/>
      <c r="N505" s="31"/>
      <c r="O505" s="159"/>
      <c r="P505" s="124"/>
      <c r="Q505" s="124"/>
      <c r="R505" s="117"/>
    </row>
    <row r="506" ht="14.25" customHeight="1">
      <c r="B506" s="22"/>
      <c r="C506" s="22"/>
      <c r="M506" s="88"/>
      <c r="N506" s="31"/>
      <c r="O506" s="159"/>
      <c r="P506" s="124"/>
      <c r="Q506" s="124"/>
      <c r="R506" s="117"/>
    </row>
    <row r="507" ht="14.25" customHeight="1">
      <c r="B507" s="22"/>
      <c r="C507" s="22"/>
      <c r="M507" s="88"/>
      <c r="N507" s="31"/>
      <c r="O507" s="159"/>
      <c r="P507" s="124"/>
      <c r="Q507" s="124"/>
      <c r="R507" s="117"/>
    </row>
    <row r="508" ht="14.25" customHeight="1">
      <c r="B508" s="22"/>
      <c r="C508" s="22"/>
      <c r="M508" s="88"/>
      <c r="N508" s="31"/>
      <c r="O508" s="159"/>
      <c r="P508" s="124"/>
      <c r="Q508" s="124"/>
      <c r="R508" s="117"/>
    </row>
    <row r="509" ht="14.25" customHeight="1">
      <c r="B509" s="22"/>
      <c r="C509" s="22"/>
      <c r="M509" s="88"/>
      <c r="N509" s="31"/>
      <c r="O509" s="159"/>
      <c r="P509" s="124"/>
      <c r="Q509" s="124"/>
      <c r="R509" s="117"/>
    </row>
    <row r="510" ht="14.25" customHeight="1">
      <c r="B510" s="22"/>
      <c r="C510" s="22"/>
      <c r="M510" s="88"/>
      <c r="N510" s="31"/>
      <c r="O510" s="159"/>
      <c r="P510" s="124"/>
      <c r="Q510" s="124"/>
      <c r="R510" s="117"/>
    </row>
    <row r="511" ht="14.25" customHeight="1">
      <c r="B511" s="22"/>
      <c r="C511" s="22"/>
      <c r="M511" s="88"/>
      <c r="N511" s="31"/>
      <c r="O511" s="159"/>
      <c r="P511" s="124"/>
      <c r="Q511" s="124"/>
      <c r="R511" s="117"/>
    </row>
    <row r="512" ht="14.25" customHeight="1">
      <c r="B512" s="22"/>
      <c r="C512" s="22"/>
      <c r="M512" s="88"/>
      <c r="N512" s="31"/>
      <c r="O512" s="159"/>
      <c r="P512" s="124"/>
      <c r="Q512" s="124"/>
      <c r="R512" s="117"/>
    </row>
    <row r="513" ht="14.25" customHeight="1">
      <c r="B513" s="22"/>
      <c r="C513" s="22"/>
      <c r="M513" s="88"/>
      <c r="N513" s="31"/>
      <c r="O513" s="159"/>
      <c r="P513" s="124"/>
      <c r="Q513" s="124"/>
      <c r="R513" s="117"/>
    </row>
    <row r="514" ht="14.25" customHeight="1">
      <c r="B514" s="22"/>
      <c r="C514" s="22"/>
      <c r="M514" s="88"/>
      <c r="N514" s="31"/>
      <c r="O514" s="159"/>
      <c r="P514" s="124"/>
      <c r="Q514" s="124"/>
      <c r="R514" s="117"/>
    </row>
    <row r="515" ht="14.25" customHeight="1">
      <c r="B515" s="22"/>
      <c r="C515" s="22"/>
      <c r="M515" s="88"/>
      <c r="N515" s="31"/>
      <c r="O515" s="159"/>
      <c r="P515" s="124"/>
      <c r="Q515" s="124"/>
      <c r="R515" s="117"/>
    </row>
    <row r="516" ht="14.25" customHeight="1">
      <c r="B516" s="22"/>
      <c r="C516" s="22"/>
      <c r="M516" s="88"/>
      <c r="N516" s="31"/>
      <c r="O516" s="159"/>
      <c r="P516" s="124"/>
      <c r="Q516" s="124"/>
      <c r="R516" s="117"/>
    </row>
    <row r="517" ht="14.25" customHeight="1">
      <c r="B517" s="22"/>
      <c r="C517" s="22"/>
      <c r="M517" s="88"/>
      <c r="N517" s="31"/>
      <c r="O517" s="159"/>
      <c r="P517" s="124"/>
      <c r="Q517" s="124"/>
      <c r="R517" s="117"/>
    </row>
    <row r="518" ht="14.25" customHeight="1">
      <c r="B518" s="22"/>
      <c r="C518" s="22"/>
      <c r="M518" s="88"/>
      <c r="N518" s="31"/>
      <c r="O518" s="159"/>
      <c r="P518" s="124"/>
      <c r="Q518" s="124"/>
      <c r="R518" s="117"/>
    </row>
    <row r="519" ht="14.25" customHeight="1">
      <c r="B519" s="22"/>
      <c r="C519" s="22"/>
      <c r="M519" s="88"/>
      <c r="N519" s="31"/>
      <c r="O519" s="159"/>
      <c r="P519" s="124"/>
      <c r="Q519" s="124"/>
      <c r="R519" s="117"/>
    </row>
    <row r="520" ht="14.25" customHeight="1">
      <c r="B520" s="22"/>
      <c r="C520" s="22"/>
      <c r="M520" s="88"/>
      <c r="N520" s="31"/>
      <c r="O520" s="159"/>
      <c r="P520" s="124"/>
      <c r="Q520" s="124"/>
      <c r="R520" s="117"/>
    </row>
    <row r="521" ht="14.25" customHeight="1">
      <c r="B521" s="22"/>
      <c r="C521" s="22"/>
      <c r="M521" s="88"/>
      <c r="N521" s="31"/>
      <c r="O521" s="159"/>
      <c r="P521" s="124"/>
      <c r="Q521" s="124"/>
      <c r="R521" s="117"/>
    </row>
    <row r="522" ht="14.25" customHeight="1">
      <c r="B522" s="22"/>
      <c r="C522" s="22"/>
      <c r="M522" s="88"/>
      <c r="N522" s="31"/>
      <c r="O522" s="159"/>
      <c r="P522" s="124"/>
      <c r="Q522" s="124"/>
      <c r="R522" s="117"/>
    </row>
    <row r="523" ht="14.25" customHeight="1">
      <c r="B523" s="22"/>
      <c r="C523" s="22"/>
      <c r="M523" s="88"/>
      <c r="N523" s="31"/>
      <c r="O523" s="159"/>
      <c r="P523" s="124"/>
      <c r="Q523" s="124"/>
      <c r="R523" s="117"/>
    </row>
    <row r="524" ht="14.25" customHeight="1">
      <c r="B524" s="22"/>
      <c r="C524" s="22"/>
      <c r="M524" s="88"/>
      <c r="N524" s="31"/>
      <c r="O524" s="159"/>
      <c r="P524" s="124"/>
      <c r="Q524" s="124"/>
      <c r="R524" s="117"/>
    </row>
    <row r="525" ht="14.25" customHeight="1">
      <c r="B525" s="22"/>
      <c r="C525" s="22"/>
      <c r="M525" s="88"/>
      <c r="N525" s="31"/>
      <c r="O525" s="159"/>
      <c r="P525" s="124"/>
      <c r="Q525" s="124"/>
      <c r="R525" s="117"/>
    </row>
    <row r="526" ht="14.25" customHeight="1">
      <c r="B526" s="22"/>
      <c r="C526" s="22"/>
      <c r="M526" s="88"/>
      <c r="N526" s="31"/>
      <c r="O526" s="159"/>
      <c r="P526" s="124"/>
      <c r="Q526" s="124"/>
      <c r="R526" s="117"/>
    </row>
    <row r="527" ht="14.25" customHeight="1">
      <c r="B527" s="22"/>
      <c r="C527" s="22"/>
      <c r="M527" s="88"/>
      <c r="N527" s="31"/>
      <c r="O527" s="159"/>
      <c r="P527" s="124"/>
      <c r="Q527" s="124"/>
      <c r="R527" s="117"/>
    </row>
    <row r="528" ht="14.25" customHeight="1">
      <c r="B528" s="22"/>
      <c r="C528" s="22"/>
      <c r="M528" s="88"/>
      <c r="N528" s="31"/>
      <c r="O528" s="159"/>
      <c r="P528" s="124"/>
      <c r="Q528" s="124"/>
      <c r="R528" s="117"/>
    </row>
    <row r="529" ht="14.25" customHeight="1">
      <c r="B529" s="22"/>
      <c r="C529" s="22"/>
      <c r="M529" s="88"/>
      <c r="N529" s="31"/>
      <c r="O529" s="159"/>
      <c r="P529" s="124"/>
      <c r="Q529" s="124"/>
      <c r="R529" s="117"/>
    </row>
    <row r="530" ht="14.25" customHeight="1">
      <c r="B530" s="22"/>
      <c r="C530" s="22"/>
      <c r="M530" s="88"/>
      <c r="N530" s="31"/>
      <c r="O530" s="159"/>
      <c r="P530" s="124"/>
      <c r="Q530" s="124"/>
      <c r="R530" s="117"/>
    </row>
    <row r="531" ht="14.25" customHeight="1">
      <c r="B531" s="22"/>
      <c r="C531" s="22"/>
      <c r="M531" s="88"/>
      <c r="N531" s="31"/>
      <c r="O531" s="159"/>
      <c r="P531" s="124"/>
      <c r="Q531" s="124"/>
      <c r="R531" s="117"/>
    </row>
    <row r="532" ht="14.25" customHeight="1">
      <c r="B532" s="22"/>
      <c r="C532" s="22"/>
      <c r="M532" s="88"/>
      <c r="N532" s="31"/>
      <c r="O532" s="159"/>
      <c r="P532" s="124"/>
      <c r="Q532" s="124"/>
      <c r="R532" s="117"/>
    </row>
    <row r="533" ht="14.25" customHeight="1">
      <c r="B533" s="22"/>
      <c r="C533" s="22"/>
      <c r="M533" s="88"/>
      <c r="N533" s="31"/>
      <c r="O533" s="159"/>
      <c r="P533" s="124"/>
      <c r="Q533" s="124"/>
      <c r="R533" s="117"/>
    </row>
    <row r="534" ht="14.25" customHeight="1">
      <c r="B534" s="22"/>
      <c r="C534" s="22"/>
      <c r="M534" s="88"/>
      <c r="N534" s="31"/>
      <c r="O534" s="159"/>
      <c r="P534" s="124"/>
      <c r="Q534" s="124"/>
      <c r="R534" s="117"/>
    </row>
    <row r="535" ht="14.25" customHeight="1">
      <c r="B535" s="22"/>
      <c r="C535" s="22"/>
      <c r="M535" s="88"/>
      <c r="N535" s="31"/>
      <c r="O535" s="159"/>
      <c r="P535" s="124"/>
      <c r="Q535" s="124"/>
      <c r="R535" s="117"/>
    </row>
    <row r="536" ht="14.25" customHeight="1">
      <c r="B536" s="22"/>
      <c r="C536" s="22"/>
      <c r="M536" s="88"/>
      <c r="N536" s="31"/>
      <c r="O536" s="159"/>
      <c r="P536" s="124"/>
      <c r="Q536" s="124"/>
      <c r="R536" s="117"/>
    </row>
    <row r="537" ht="14.25" customHeight="1">
      <c r="B537" s="22"/>
      <c r="C537" s="22"/>
      <c r="M537" s="88"/>
      <c r="N537" s="31"/>
      <c r="O537" s="159"/>
      <c r="P537" s="124"/>
      <c r="Q537" s="124"/>
      <c r="R537" s="117"/>
    </row>
    <row r="538" ht="14.25" customHeight="1">
      <c r="B538" s="22"/>
      <c r="C538" s="22"/>
      <c r="M538" s="88"/>
      <c r="N538" s="31"/>
      <c r="O538" s="159"/>
      <c r="P538" s="124"/>
      <c r="Q538" s="124"/>
      <c r="R538" s="117"/>
    </row>
    <row r="539" ht="14.25" customHeight="1">
      <c r="B539" s="22"/>
      <c r="C539" s="22"/>
      <c r="M539" s="88"/>
      <c r="N539" s="31"/>
      <c r="O539" s="159"/>
      <c r="P539" s="124"/>
      <c r="Q539" s="124"/>
      <c r="R539" s="117"/>
    </row>
    <row r="540" ht="14.25" customHeight="1">
      <c r="B540" s="22"/>
      <c r="C540" s="22"/>
      <c r="M540" s="88"/>
      <c r="N540" s="31"/>
      <c r="O540" s="159"/>
      <c r="P540" s="124"/>
      <c r="Q540" s="124"/>
      <c r="R540" s="117"/>
    </row>
    <row r="541" ht="14.25" customHeight="1">
      <c r="B541" s="22"/>
      <c r="C541" s="22"/>
      <c r="M541" s="88"/>
      <c r="N541" s="31"/>
      <c r="O541" s="159"/>
      <c r="P541" s="124"/>
      <c r="Q541" s="124"/>
      <c r="R541" s="117"/>
    </row>
    <row r="542" ht="14.25" customHeight="1">
      <c r="B542" s="22"/>
      <c r="C542" s="22"/>
      <c r="M542" s="88"/>
      <c r="N542" s="31"/>
      <c r="O542" s="159"/>
      <c r="P542" s="124"/>
      <c r="Q542" s="124"/>
      <c r="R542" s="117"/>
    </row>
    <row r="543" ht="14.25" customHeight="1">
      <c r="B543" s="22"/>
      <c r="C543" s="22"/>
      <c r="M543" s="88"/>
      <c r="N543" s="31"/>
      <c r="O543" s="159"/>
      <c r="P543" s="124"/>
      <c r="Q543" s="124"/>
      <c r="R543" s="117"/>
    </row>
    <row r="544" ht="14.25" customHeight="1">
      <c r="B544" s="22"/>
      <c r="C544" s="22"/>
      <c r="M544" s="88"/>
      <c r="N544" s="31"/>
      <c r="O544" s="159"/>
      <c r="P544" s="124"/>
      <c r="Q544" s="124"/>
      <c r="R544" s="117"/>
    </row>
    <row r="545" ht="14.25" customHeight="1">
      <c r="B545" s="22"/>
      <c r="C545" s="22"/>
      <c r="M545" s="88"/>
      <c r="N545" s="31"/>
      <c r="O545" s="159"/>
      <c r="P545" s="124"/>
      <c r="Q545" s="124"/>
      <c r="R545" s="117"/>
    </row>
    <row r="546" ht="14.25" customHeight="1">
      <c r="B546" s="22"/>
      <c r="C546" s="22"/>
      <c r="M546" s="88"/>
      <c r="N546" s="31"/>
      <c r="O546" s="159"/>
      <c r="P546" s="124"/>
      <c r="Q546" s="124"/>
      <c r="R546" s="117"/>
    </row>
    <row r="547" ht="14.25" customHeight="1">
      <c r="B547" s="22"/>
      <c r="C547" s="22"/>
      <c r="M547" s="88"/>
      <c r="N547" s="31"/>
      <c r="O547" s="159"/>
      <c r="P547" s="124"/>
      <c r="Q547" s="124"/>
      <c r="R547" s="117"/>
    </row>
    <row r="548" ht="14.25" customHeight="1">
      <c r="B548" s="22"/>
      <c r="C548" s="22"/>
      <c r="M548" s="88"/>
      <c r="N548" s="31"/>
      <c r="O548" s="159"/>
      <c r="P548" s="124"/>
      <c r="Q548" s="124"/>
      <c r="R548" s="117"/>
    </row>
    <row r="549" ht="14.25" customHeight="1">
      <c r="B549" s="22"/>
      <c r="C549" s="22"/>
      <c r="M549" s="88"/>
      <c r="N549" s="31"/>
      <c r="O549" s="159"/>
      <c r="P549" s="124"/>
      <c r="Q549" s="124"/>
      <c r="R549" s="117"/>
    </row>
    <row r="550" ht="14.25" customHeight="1">
      <c r="B550" s="22"/>
      <c r="C550" s="22"/>
      <c r="M550" s="88"/>
      <c r="N550" s="31"/>
      <c r="O550" s="159"/>
      <c r="P550" s="124"/>
      <c r="Q550" s="124"/>
      <c r="R550" s="117"/>
    </row>
    <row r="551" ht="14.25" customHeight="1">
      <c r="B551" s="22"/>
      <c r="C551" s="22"/>
      <c r="M551" s="88"/>
      <c r="N551" s="31"/>
      <c r="O551" s="159"/>
      <c r="P551" s="124"/>
      <c r="Q551" s="124"/>
      <c r="R551" s="117"/>
    </row>
    <row r="552" ht="14.25" customHeight="1">
      <c r="B552" s="22"/>
      <c r="C552" s="22"/>
      <c r="M552" s="88"/>
      <c r="N552" s="31"/>
      <c r="O552" s="159"/>
      <c r="P552" s="124"/>
      <c r="Q552" s="124"/>
      <c r="R552" s="117"/>
    </row>
    <row r="553" ht="14.25" customHeight="1">
      <c r="B553" s="22"/>
      <c r="C553" s="22"/>
      <c r="M553" s="88"/>
      <c r="N553" s="31"/>
      <c r="O553" s="159"/>
      <c r="P553" s="124"/>
      <c r="Q553" s="124"/>
      <c r="R553" s="117"/>
    </row>
    <row r="554" ht="14.25" customHeight="1">
      <c r="B554" s="22"/>
      <c r="C554" s="22"/>
      <c r="M554" s="88"/>
      <c r="N554" s="31"/>
      <c r="O554" s="159"/>
      <c r="P554" s="124"/>
      <c r="Q554" s="124"/>
      <c r="R554" s="117"/>
    </row>
    <row r="555" ht="14.25" customHeight="1">
      <c r="B555" s="22"/>
      <c r="C555" s="22"/>
      <c r="M555" s="88"/>
      <c r="N555" s="31"/>
      <c r="O555" s="159"/>
      <c r="P555" s="124"/>
      <c r="Q555" s="124"/>
      <c r="R555" s="117"/>
    </row>
    <row r="556" ht="14.25" customHeight="1">
      <c r="B556" s="22"/>
      <c r="C556" s="22"/>
      <c r="M556" s="88"/>
      <c r="N556" s="31"/>
      <c r="O556" s="159"/>
      <c r="P556" s="124"/>
      <c r="Q556" s="124"/>
      <c r="R556" s="117"/>
    </row>
    <row r="557" ht="14.25" customHeight="1">
      <c r="B557" s="22"/>
      <c r="C557" s="22"/>
      <c r="M557" s="88"/>
      <c r="N557" s="31"/>
      <c r="O557" s="159"/>
      <c r="P557" s="124"/>
      <c r="Q557" s="124"/>
      <c r="R557" s="117"/>
    </row>
    <row r="558" ht="14.25" customHeight="1">
      <c r="B558" s="22"/>
      <c r="C558" s="22"/>
      <c r="M558" s="88"/>
      <c r="N558" s="31"/>
      <c r="O558" s="159"/>
      <c r="P558" s="124"/>
      <c r="Q558" s="124"/>
      <c r="R558" s="117"/>
    </row>
    <row r="559" ht="14.25" customHeight="1">
      <c r="B559" s="22"/>
      <c r="C559" s="22"/>
      <c r="M559" s="88"/>
      <c r="N559" s="31"/>
      <c r="O559" s="159"/>
      <c r="P559" s="124"/>
      <c r="Q559" s="124"/>
      <c r="R559" s="117"/>
    </row>
    <row r="560" ht="14.25" customHeight="1">
      <c r="B560" s="22"/>
      <c r="C560" s="22"/>
      <c r="M560" s="88"/>
      <c r="N560" s="31"/>
      <c r="O560" s="159"/>
      <c r="P560" s="124"/>
      <c r="Q560" s="124"/>
      <c r="R560" s="117"/>
    </row>
    <row r="561" ht="14.25" customHeight="1">
      <c r="B561" s="22"/>
      <c r="C561" s="22"/>
      <c r="M561" s="88"/>
      <c r="N561" s="31"/>
      <c r="O561" s="159"/>
      <c r="P561" s="124"/>
      <c r="Q561" s="124"/>
      <c r="R561" s="117"/>
    </row>
    <row r="562" ht="14.25" customHeight="1">
      <c r="B562" s="22"/>
      <c r="C562" s="22"/>
      <c r="M562" s="88"/>
      <c r="N562" s="31"/>
      <c r="O562" s="159"/>
      <c r="P562" s="124"/>
      <c r="Q562" s="124"/>
      <c r="R562" s="117"/>
    </row>
    <row r="563" ht="14.25" customHeight="1">
      <c r="B563" s="22"/>
      <c r="C563" s="22"/>
      <c r="M563" s="88"/>
      <c r="N563" s="31"/>
      <c r="O563" s="159"/>
      <c r="P563" s="124"/>
      <c r="Q563" s="124"/>
      <c r="R563" s="117"/>
    </row>
    <row r="564" ht="14.25" customHeight="1">
      <c r="B564" s="22"/>
      <c r="C564" s="22"/>
      <c r="M564" s="88"/>
      <c r="N564" s="31"/>
      <c r="O564" s="159"/>
      <c r="P564" s="124"/>
      <c r="Q564" s="124"/>
      <c r="R564" s="117"/>
    </row>
    <row r="565" ht="14.25" customHeight="1">
      <c r="B565" s="22"/>
      <c r="C565" s="22"/>
      <c r="M565" s="88"/>
      <c r="N565" s="31"/>
      <c r="O565" s="159"/>
      <c r="P565" s="124"/>
      <c r="Q565" s="124"/>
      <c r="R565" s="117"/>
    </row>
    <row r="566" ht="14.25" customHeight="1">
      <c r="B566" s="22"/>
      <c r="C566" s="22"/>
      <c r="M566" s="88"/>
      <c r="N566" s="31"/>
      <c r="O566" s="159"/>
      <c r="P566" s="124"/>
      <c r="Q566" s="124"/>
      <c r="R566" s="117"/>
    </row>
    <row r="567" ht="14.25" customHeight="1">
      <c r="B567" s="22"/>
      <c r="C567" s="22"/>
      <c r="M567" s="88"/>
      <c r="N567" s="31"/>
      <c r="O567" s="159"/>
      <c r="P567" s="124"/>
      <c r="Q567" s="124"/>
      <c r="R567" s="117"/>
    </row>
    <row r="568" ht="14.25" customHeight="1">
      <c r="B568" s="22"/>
      <c r="C568" s="22"/>
      <c r="M568" s="88"/>
      <c r="N568" s="31"/>
      <c r="O568" s="159"/>
      <c r="P568" s="124"/>
      <c r="Q568" s="124"/>
      <c r="R568" s="117"/>
    </row>
    <row r="569" ht="14.25" customHeight="1">
      <c r="B569" s="22"/>
      <c r="C569" s="22"/>
      <c r="M569" s="88"/>
      <c r="N569" s="31"/>
      <c r="O569" s="159"/>
      <c r="P569" s="124"/>
      <c r="Q569" s="124"/>
      <c r="R569" s="117"/>
    </row>
    <row r="570" ht="14.25" customHeight="1">
      <c r="B570" s="22"/>
      <c r="C570" s="22"/>
      <c r="M570" s="88"/>
      <c r="N570" s="31"/>
      <c r="O570" s="159"/>
      <c r="P570" s="124"/>
      <c r="Q570" s="124"/>
      <c r="R570" s="117"/>
    </row>
    <row r="571" ht="14.25" customHeight="1">
      <c r="B571" s="22"/>
      <c r="C571" s="22"/>
      <c r="M571" s="88"/>
      <c r="N571" s="31"/>
      <c r="O571" s="159"/>
      <c r="P571" s="124"/>
      <c r="Q571" s="124"/>
      <c r="R571" s="117"/>
    </row>
    <row r="572" ht="14.25" customHeight="1">
      <c r="B572" s="22"/>
      <c r="C572" s="22"/>
      <c r="M572" s="88"/>
      <c r="N572" s="31"/>
      <c r="O572" s="159"/>
      <c r="P572" s="124"/>
      <c r="Q572" s="124"/>
      <c r="R572" s="117"/>
    </row>
    <row r="573" ht="14.25" customHeight="1">
      <c r="B573" s="22"/>
      <c r="C573" s="22"/>
      <c r="M573" s="88"/>
      <c r="N573" s="31"/>
      <c r="O573" s="159"/>
      <c r="P573" s="124"/>
      <c r="Q573" s="124"/>
      <c r="R573" s="117"/>
    </row>
    <row r="574" ht="14.25" customHeight="1">
      <c r="B574" s="22"/>
      <c r="C574" s="22"/>
      <c r="M574" s="88"/>
      <c r="N574" s="31"/>
      <c r="O574" s="159"/>
      <c r="P574" s="124"/>
      <c r="Q574" s="124"/>
      <c r="R574" s="117"/>
    </row>
    <row r="575" ht="14.25" customHeight="1">
      <c r="B575" s="22"/>
      <c r="C575" s="22"/>
      <c r="M575" s="88"/>
      <c r="N575" s="31"/>
      <c r="O575" s="159"/>
      <c r="P575" s="124"/>
      <c r="Q575" s="124"/>
      <c r="R575" s="117"/>
    </row>
    <row r="576" ht="14.25" customHeight="1">
      <c r="B576" s="22"/>
      <c r="C576" s="22"/>
      <c r="M576" s="88"/>
      <c r="N576" s="31"/>
      <c r="O576" s="159"/>
      <c r="P576" s="124"/>
      <c r="Q576" s="124"/>
      <c r="R576" s="117"/>
    </row>
    <row r="577" ht="14.25" customHeight="1">
      <c r="B577" s="22"/>
      <c r="C577" s="22"/>
      <c r="M577" s="88"/>
      <c r="N577" s="31"/>
      <c r="O577" s="159"/>
      <c r="P577" s="124"/>
      <c r="Q577" s="124"/>
      <c r="R577" s="117"/>
    </row>
    <row r="578" ht="14.25" customHeight="1">
      <c r="B578" s="22"/>
      <c r="C578" s="22"/>
      <c r="M578" s="88"/>
      <c r="N578" s="31"/>
      <c r="O578" s="159"/>
      <c r="P578" s="124"/>
      <c r="Q578" s="124"/>
      <c r="R578" s="117"/>
    </row>
    <row r="579" ht="14.25" customHeight="1">
      <c r="B579" s="22"/>
      <c r="C579" s="22"/>
      <c r="M579" s="88"/>
      <c r="N579" s="31"/>
      <c r="O579" s="159"/>
      <c r="P579" s="124"/>
      <c r="Q579" s="124"/>
      <c r="R579" s="117"/>
    </row>
    <row r="580" ht="14.25" customHeight="1">
      <c r="B580" s="22"/>
      <c r="C580" s="22"/>
      <c r="M580" s="88"/>
      <c r="N580" s="31"/>
      <c r="O580" s="159"/>
      <c r="P580" s="124"/>
      <c r="Q580" s="124"/>
      <c r="R580" s="117"/>
    </row>
    <row r="581" ht="14.25" customHeight="1">
      <c r="B581" s="22"/>
      <c r="C581" s="22"/>
      <c r="M581" s="88"/>
      <c r="N581" s="31"/>
      <c r="O581" s="159"/>
      <c r="P581" s="124"/>
      <c r="Q581" s="124"/>
      <c r="R581" s="117"/>
    </row>
    <row r="582" ht="14.25" customHeight="1">
      <c r="B582" s="22"/>
      <c r="C582" s="22"/>
      <c r="M582" s="88"/>
      <c r="N582" s="31"/>
      <c r="O582" s="159"/>
      <c r="P582" s="124"/>
      <c r="Q582" s="124"/>
      <c r="R582" s="117"/>
    </row>
    <row r="583" ht="14.25" customHeight="1">
      <c r="B583" s="22"/>
      <c r="C583" s="22"/>
      <c r="M583" s="88"/>
      <c r="N583" s="31"/>
      <c r="O583" s="159"/>
      <c r="P583" s="124"/>
      <c r="Q583" s="124"/>
      <c r="R583" s="117"/>
    </row>
    <row r="584" ht="14.25" customHeight="1">
      <c r="B584" s="22"/>
      <c r="C584" s="22"/>
      <c r="M584" s="88"/>
      <c r="N584" s="31"/>
      <c r="O584" s="159"/>
      <c r="P584" s="124"/>
      <c r="Q584" s="124"/>
      <c r="R584" s="117"/>
    </row>
    <row r="585" ht="14.25" customHeight="1">
      <c r="B585" s="22"/>
      <c r="C585" s="22"/>
      <c r="M585" s="88"/>
      <c r="N585" s="31"/>
      <c r="O585" s="159"/>
      <c r="P585" s="124"/>
      <c r="Q585" s="124"/>
      <c r="R585" s="117"/>
    </row>
    <row r="586" ht="14.25" customHeight="1">
      <c r="B586" s="22"/>
      <c r="C586" s="22"/>
      <c r="M586" s="88"/>
      <c r="N586" s="31"/>
      <c r="O586" s="159"/>
      <c r="P586" s="124"/>
      <c r="Q586" s="124"/>
      <c r="R586" s="117"/>
    </row>
    <row r="587" ht="14.25" customHeight="1">
      <c r="B587" s="22"/>
      <c r="C587" s="22"/>
      <c r="M587" s="88"/>
      <c r="N587" s="31"/>
      <c r="O587" s="159"/>
      <c r="P587" s="124"/>
      <c r="Q587" s="124"/>
      <c r="R587" s="117"/>
    </row>
    <row r="588" ht="14.25" customHeight="1">
      <c r="B588" s="22"/>
      <c r="C588" s="22"/>
      <c r="M588" s="88"/>
      <c r="N588" s="31"/>
      <c r="O588" s="159"/>
      <c r="P588" s="124"/>
      <c r="Q588" s="124"/>
      <c r="R588" s="117"/>
    </row>
    <row r="589" ht="14.25" customHeight="1">
      <c r="B589" s="22"/>
      <c r="C589" s="22"/>
      <c r="M589" s="88"/>
      <c r="N589" s="31"/>
      <c r="O589" s="159"/>
      <c r="P589" s="124"/>
      <c r="Q589" s="124"/>
      <c r="R589" s="117"/>
    </row>
    <row r="590" ht="14.25" customHeight="1">
      <c r="B590" s="22"/>
      <c r="C590" s="22"/>
      <c r="M590" s="88"/>
      <c r="N590" s="31"/>
      <c r="O590" s="159"/>
      <c r="P590" s="124"/>
      <c r="Q590" s="124"/>
      <c r="R590" s="117"/>
    </row>
    <row r="591" ht="14.25" customHeight="1">
      <c r="B591" s="22"/>
      <c r="C591" s="22"/>
      <c r="M591" s="88"/>
      <c r="N591" s="31"/>
      <c r="O591" s="159"/>
      <c r="P591" s="124"/>
      <c r="Q591" s="124"/>
      <c r="R591" s="117"/>
    </row>
    <row r="592" ht="14.25" customHeight="1">
      <c r="B592" s="22"/>
      <c r="C592" s="22"/>
      <c r="M592" s="88"/>
      <c r="N592" s="31"/>
      <c r="O592" s="159"/>
      <c r="P592" s="124"/>
      <c r="Q592" s="124"/>
      <c r="R592" s="117"/>
    </row>
    <row r="593" ht="14.25" customHeight="1">
      <c r="B593" s="22"/>
      <c r="C593" s="22"/>
      <c r="M593" s="88"/>
      <c r="N593" s="31"/>
      <c r="O593" s="159"/>
      <c r="P593" s="124"/>
      <c r="Q593" s="124"/>
      <c r="R593" s="117"/>
    </row>
    <row r="594" ht="14.25" customHeight="1">
      <c r="B594" s="22"/>
      <c r="C594" s="22"/>
      <c r="M594" s="88"/>
      <c r="N594" s="31"/>
      <c r="O594" s="159"/>
      <c r="P594" s="124"/>
      <c r="Q594" s="124"/>
      <c r="R594" s="117"/>
    </row>
    <row r="595" ht="14.25" customHeight="1">
      <c r="B595" s="22"/>
      <c r="C595" s="22"/>
      <c r="M595" s="88"/>
      <c r="N595" s="31"/>
      <c r="O595" s="159"/>
      <c r="P595" s="124"/>
      <c r="Q595" s="124"/>
      <c r="R595" s="117"/>
    </row>
    <row r="596" ht="14.25" customHeight="1">
      <c r="B596" s="22"/>
      <c r="C596" s="22"/>
      <c r="M596" s="88"/>
      <c r="N596" s="31"/>
      <c r="O596" s="159"/>
      <c r="P596" s="124"/>
      <c r="Q596" s="124"/>
      <c r="R596" s="117"/>
    </row>
    <row r="597" ht="14.25" customHeight="1">
      <c r="B597" s="22"/>
      <c r="C597" s="22"/>
      <c r="M597" s="88"/>
      <c r="N597" s="31"/>
      <c r="O597" s="159"/>
      <c r="P597" s="124"/>
      <c r="Q597" s="124"/>
      <c r="R597" s="117"/>
    </row>
    <row r="598" ht="14.25" customHeight="1">
      <c r="B598" s="22"/>
      <c r="C598" s="22"/>
      <c r="M598" s="88"/>
      <c r="N598" s="31"/>
      <c r="O598" s="159"/>
      <c r="P598" s="124"/>
      <c r="Q598" s="124"/>
      <c r="R598" s="117"/>
    </row>
    <row r="599" ht="14.25" customHeight="1">
      <c r="B599" s="22"/>
      <c r="C599" s="22"/>
      <c r="M599" s="88"/>
      <c r="N599" s="31"/>
      <c r="O599" s="159"/>
      <c r="P599" s="124"/>
      <c r="Q599" s="124"/>
      <c r="R599" s="117"/>
    </row>
    <row r="600" ht="14.25" customHeight="1">
      <c r="B600" s="22"/>
      <c r="C600" s="22"/>
      <c r="M600" s="88"/>
      <c r="N600" s="31"/>
      <c r="O600" s="159"/>
      <c r="P600" s="124"/>
      <c r="Q600" s="124"/>
      <c r="R600" s="117"/>
    </row>
    <row r="601" ht="14.25" customHeight="1">
      <c r="B601" s="22"/>
      <c r="C601" s="22"/>
      <c r="M601" s="88"/>
      <c r="N601" s="31"/>
      <c r="O601" s="159"/>
      <c r="P601" s="124"/>
      <c r="Q601" s="124"/>
      <c r="R601" s="117"/>
    </row>
    <row r="602" ht="14.25" customHeight="1">
      <c r="B602" s="22"/>
      <c r="C602" s="22"/>
      <c r="M602" s="88"/>
      <c r="N602" s="31"/>
      <c r="O602" s="159"/>
      <c r="P602" s="124"/>
      <c r="Q602" s="124"/>
      <c r="R602" s="117"/>
    </row>
    <row r="603" ht="14.25" customHeight="1">
      <c r="B603" s="22"/>
      <c r="C603" s="22"/>
      <c r="M603" s="88"/>
      <c r="N603" s="31"/>
      <c r="O603" s="159"/>
      <c r="P603" s="124"/>
      <c r="Q603" s="124"/>
      <c r="R603" s="117"/>
    </row>
    <row r="604" ht="14.25" customHeight="1">
      <c r="B604" s="22"/>
      <c r="C604" s="22"/>
      <c r="M604" s="88"/>
      <c r="N604" s="31"/>
      <c r="O604" s="159"/>
      <c r="P604" s="124"/>
      <c r="Q604" s="124"/>
      <c r="R604" s="117"/>
    </row>
    <row r="605" ht="14.25" customHeight="1">
      <c r="B605" s="22"/>
      <c r="C605" s="22"/>
      <c r="M605" s="88"/>
      <c r="N605" s="31"/>
      <c r="O605" s="159"/>
      <c r="P605" s="124"/>
      <c r="Q605" s="124"/>
      <c r="R605" s="117"/>
    </row>
    <row r="606" ht="14.25" customHeight="1">
      <c r="B606" s="22"/>
      <c r="C606" s="22"/>
      <c r="M606" s="88"/>
      <c r="N606" s="31"/>
      <c r="O606" s="159"/>
      <c r="P606" s="124"/>
      <c r="Q606" s="124"/>
      <c r="R606" s="117"/>
    </row>
    <row r="607" ht="14.25" customHeight="1">
      <c r="B607" s="22"/>
      <c r="C607" s="22"/>
      <c r="M607" s="88"/>
      <c r="N607" s="31"/>
      <c r="O607" s="159"/>
      <c r="P607" s="124"/>
      <c r="Q607" s="124"/>
      <c r="R607" s="117"/>
    </row>
    <row r="608" ht="14.25" customHeight="1">
      <c r="B608" s="22"/>
      <c r="C608" s="22"/>
      <c r="M608" s="88"/>
      <c r="N608" s="31"/>
      <c r="O608" s="159"/>
      <c r="P608" s="124"/>
      <c r="Q608" s="124"/>
      <c r="R608" s="117"/>
    </row>
    <row r="609" ht="14.25" customHeight="1">
      <c r="B609" s="22"/>
      <c r="C609" s="22"/>
      <c r="M609" s="88"/>
      <c r="N609" s="31"/>
      <c r="O609" s="159"/>
      <c r="P609" s="124"/>
      <c r="Q609" s="124"/>
      <c r="R609" s="117"/>
    </row>
    <row r="610" ht="14.25" customHeight="1">
      <c r="B610" s="22"/>
      <c r="C610" s="22"/>
      <c r="M610" s="88"/>
      <c r="N610" s="31"/>
      <c r="O610" s="159"/>
      <c r="P610" s="124"/>
      <c r="Q610" s="124"/>
      <c r="R610" s="117"/>
    </row>
    <row r="611" ht="14.25" customHeight="1">
      <c r="B611" s="22"/>
      <c r="C611" s="22"/>
      <c r="M611" s="88"/>
      <c r="N611" s="31"/>
      <c r="O611" s="159"/>
      <c r="P611" s="124"/>
      <c r="Q611" s="124"/>
      <c r="R611" s="117"/>
    </row>
    <row r="612" ht="14.25" customHeight="1">
      <c r="B612" s="22"/>
      <c r="C612" s="22"/>
      <c r="M612" s="88"/>
      <c r="N612" s="31"/>
      <c r="O612" s="159"/>
      <c r="P612" s="124"/>
      <c r="Q612" s="124"/>
      <c r="R612" s="117"/>
    </row>
    <row r="613" ht="14.25" customHeight="1">
      <c r="B613" s="22"/>
      <c r="C613" s="22"/>
      <c r="M613" s="88"/>
      <c r="N613" s="31"/>
      <c r="O613" s="159"/>
      <c r="P613" s="124"/>
      <c r="Q613" s="124"/>
      <c r="R613" s="117"/>
    </row>
    <row r="614" ht="14.25" customHeight="1">
      <c r="B614" s="22"/>
      <c r="C614" s="22"/>
      <c r="M614" s="88"/>
      <c r="N614" s="31"/>
      <c r="O614" s="159"/>
      <c r="P614" s="124"/>
      <c r="Q614" s="124"/>
      <c r="R614" s="117"/>
    </row>
    <row r="615" ht="14.25" customHeight="1">
      <c r="B615" s="22"/>
      <c r="C615" s="22"/>
      <c r="M615" s="88"/>
      <c r="N615" s="31"/>
      <c r="O615" s="159"/>
      <c r="P615" s="124"/>
      <c r="Q615" s="124"/>
      <c r="R615" s="117"/>
    </row>
    <row r="616" ht="14.25" customHeight="1">
      <c r="B616" s="22"/>
      <c r="C616" s="22"/>
      <c r="M616" s="88"/>
      <c r="N616" s="31"/>
      <c r="O616" s="159"/>
      <c r="P616" s="124"/>
      <c r="Q616" s="124"/>
      <c r="R616" s="117"/>
    </row>
    <row r="617" ht="14.25" customHeight="1">
      <c r="B617" s="22"/>
      <c r="C617" s="22"/>
      <c r="M617" s="88"/>
      <c r="N617" s="31"/>
      <c r="O617" s="159"/>
      <c r="P617" s="124"/>
      <c r="Q617" s="124"/>
      <c r="R617" s="117"/>
    </row>
    <row r="618" ht="14.25" customHeight="1">
      <c r="B618" s="22"/>
      <c r="C618" s="22"/>
      <c r="M618" s="88"/>
      <c r="N618" s="31"/>
      <c r="O618" s="159"/>
      <c r="P618" s="124"/>
      <c r="Q618" s="124"/>
      <c r="R618" s="117"/>
    </row>
    <row r="619" ht="14.25" customHeight="1">
      <c r="B619" s="22"/>
      <c r="C619" s="22"/>
      <c r="M619" s="88"/>
      <c r="N619" s="31"/>
      <c r="O619" s="159"/>
      <c r="P619" s="124"/>
      <c r="Q619" s="124"/>
      <c r="R619" s="117"/>
    </row>
    <row r="620" ht="14.25" customHeight="1">
      <c r="B620" s="22"/>
      <c r="C620" s="22"/>
      <c r="M620" s="88"/>
      <c r="N620" s="31"/>
      <c r="O620" s="159"/>
      <c r="P620" s="124"/>
      <c r="Q620" s="124"/>
      <c r="R620" s="117"/>
    </row>
    <row r="621" ht="14.25" customHeight="1">
      <c r="B621" s="22"/>
      <c r="C621" s="22"/>
      <c r="M621" s="88"/>
      <c r="N621" s="31"/>
      <c r="O621" s="159"/>
      <c r="P621" s="124"/>
      <c r="Q621" s="124"/>
      <c r="R621" s="117"/>
    </row>
    <row r="622" ht="14.25" customHeight="1">
      <c r="B622" s="22"/>
      <c r="C622" s="22"/>
      <c r="M622" s="88"/>
      <c r="N622" s="31"/>
      <c r="O622" s="159"/>
      <c r="P622" s="124"/>
      <c r="Q622" s="124"/>
      <c r="R622" s="117"/>
    </row>
    <row r="623" ht="14.25" customHeight="1">
      <c r="B623" s="22"/>
      <c r="C623" s="22"/>
      <c r="M623" s="88"/>
      <c r="N623" s="31"/>
      <c r="O623" s="159"/>
      <c r="P623" s="124"/>
      <c r="Q623" s="124"/>
      <c r="R623" s="117"/>
    </row>
    <row r="624" ht="14.25" customHeight="1">
      <c r="B624" s="22"/>
      <c r="C624" s="22"/>
      <c r="M624" s="88"/>
      <c r="N624" s="31"/>
      <c r="O624" s="159"/>
      <c r="P624" s="124"/>
      <c r="Q624" s="124"/>
      <c r="R624" s="117"/>
    </row>
    <row r="625" ht="14.25" customHeight="1">
      <c r="B625" s="22"/>
      <c r="C625" s="22"/>
      <c r="M625" s="88"/>
      <c r="N625" s="31"/>
      <c r="O625" s="159"/>
      <c r="P625" s="124"/>
      <c r="Q625" s="124"/>
      <c r="R625" s="117"/>
    </row>
    <row r="626" ht="14.25" customHeight="1">
      <c r="B626" s="22"/>
      <c r="C626" s="22"/>
      <c r="M626" s="88"/>
      <c r="N626" s="31"/>
      <c r="O626" s="159"/>
      <c r="P626" s="124"/>
      <c r="Q626" s="124"/>
      <c r="R626" s="117"/>
    </row>
    <row r="627" ht="14.25" customHeight="1">
      <c r="B627" s="22"/>
      <c r="C627" s="22"/>
      <c r="M627" s="88"/>
      <c r="N627" s="31"/>
      <c r="O627" s="159"/>
      <c r="P627" s="124"/>
      <c r="Q627" s="124"/>
      <c r="R627" s="117"/>
    </row>
    <row r="628" ht="14.25" customHeight="1">
      <c r="B628" s="22"/>
      <c r="C628" s="22"/>
      <c r="M628" s="88"/>
      <c r="N628" s="31"/>
      <c r="O628" s="159"/>
      <c r="P628" s="124"/>
      <c r="Q628" s="124"/>
      <c r="R628" s="117"/>
    </row>
    <row r="629" ht="14.25" customHeight="1">
      <c r="B629" s="22"/>
      <c r="C629" s="22"/>
      <c r="M629" s="88"/>
      <c r="N629" s="31"/>
      <c r="O629" s="159"/>
      <c r="P629" s="124"/>
      <c r="Q629" s="124"/>
      <c r="R629" s="117"/>
    </row>
    <row r="630" ht="14.25" customHeight="1">
      <c r="B630" s="22"/>
      <c r="C630" s="22"/>
      <c r="M630" s="88"/>
      <c r="N630" s="31"/>
      <c r="O630" s="159"/>
      <c r="P630" s="124"/>
      <c r="Q630" s="124"/>
      <c r="R630" s="117"/>
    </row>
    <row r="631" ht="14.25" customHeight="1">
      <c r="B631" s="22"/>
      <c r="C631" s="22"/>
      <c r="M631" s="88"/>
      <c r="N631" s="31"/>
      <c r="O631" s="159"/>
      <c r="P631" s="124"/>
      <c r="Q631" s="124"/>
      <c r="R631" s="117"/>
    </row>
    <row r="632" ht="14.25" customHeight="1">
      <c r="B632" s="22"/>
      <c r="C632" s="22"/>
      <c r="M632" s="88"/>
      <c r="N632" s="31"/>
      <c r="O632" s="159"/>
      <c r="P632" s="124"/>
      <c r="Q632" s="124"/>
      <c r="R632" s="117"/>
    </row>
    <row r="633" ht="14.25" customHeight="1">
      <c r="B633" s="22"/>
      <c r="C633" s="22"/>
      <c r="M633" s="88"/>
      <c r="N633" s="31"/>
      <c r="O633" s="159"/>
      <c r="P633" s="124"/>
      <c r="Q633" s="124"/>
      <c r="R633" s="117"/>
    </row>
    <row r="634" ht="14.25" customHeight="1">
      <c r="B634" s="22"/>
      <c r="C634" s="22"/>
      <c r="M634" s="88"/>
      <c r="N634" s="31"/>
      <c r="O634" s="159"/>
      <c r="P634" s="124"/>
      <c r="Q634" s="124"/>
      <c r="R634" s="117"/>
    </row>
    <row r="635" ht="14.25" customHeight="1">
      <c r="B635" s="22"/>
      <c r="C635" s="22"/>
      <c r="M635" s="88"/>
      <c r="N635" s="31"/>
      <c r="O635" s="159"/>
      <c r="P635" s="124"/>
      <c r="Q635" s="124"/>
      <c r="R635" s="117"/>
    </row>
    <row r="636" ht="14.25" customHeight="1">
      <c r="B636" s="22"/>
      <c r="C636" s="22"/>
      <c r="M636" s="88"/>
      <c r="N636" s="31"/>
      <c r="O636" s="159"/>
      <c r="P636" s="124"/>
      <c r="Q636" s="124"/>
      <c r="R636" s="117"/>
    </row>
    <row r="637" ht="14.25" customHeight="1">
      <c r="B637" s="22"/>
      <c r="C637" s="22"/>
      <c r="M637" s="88"/>
      <c r="N637" s="31"/>
      <c r="O637" s="159"/>
      <c r="P637" s="124"/>
      <c r="Q637" s="124"/>
      <c r="R637" s="117"/>
    </row>
    <row r="638" ht="14.25" customHeight="1">
      <c r="B638" s="22"/>
      <c r="C638" s="22"/>
      <c r="M638" s="88"/>
      <c r="N638" s="31"/>
      <c r="O638" s="159"/>
      <c r="P638" s="124"/>
      <c r="Q638" s="124"/>
      <c r="R638" s="117"/>
    </row>
    <row r="639" ht="14.25" customHeight="1">
      <c r="B639" s="22"/>
      <c r="C639" s="22"/>
      <c r="M639" s="88"/>
      <c r="N639" s="31"/>
      <c r="O639" s="159"/>
      <c r="P639" s="124"/>
      <c r="Q639" s="124"/>
      <c r="R639" s="117"/>
    </row>
    <row r="640" ht="14.25" customHeight="1">
      <c r="B640" s="22"/>
      <c r="C640" s="22"/>
      <c r="M640" s="88"/>
      <c r="N640" s="31"/>
      <c r="O640" s="159"/>
      <c r="P640" s="124"/>
      <c r="Q640" s="124"/>
      <c r="R640" s="117"/>
    </row>
    <row r="641" ht="14.25" customHeight="1">
      <c r="B641" s="22"/>
      <c r="C641" s="22"/>
      <c r="M641" s="88"/>
      <c r="N641" s="31"/>
      <c r="O641" s="159"/>
      <c r="P641" s="124"/>
      <c r="Q641" s="124"/>
      <c r="R641" s="117"/>
    </row>
    <row r="642" ht="14.25" customHeight="1">
      <c r="B642" s="22"/>
      <c r="C642" s="22"/>
      <c r="M642" s="88"/>
      <c r="N642" s="31"/>
      <c r="O642" s="159"/>
      <c r="P642" s="124"/>
      <c r="Q642" s="124"/>
      <c r="R642" s="117"/>
    </row>
    <row r="643" ht="14.25" customHeight="1">
      <c r="B643" s="22"/>
      <c r="C643" s="22"/>
      <c r="M643" s="88"/>
      <c r="N643" s="31"/>
      <c r="O643" s="159"/>
      <c r="P643" s="124"/>
      <c r="Q643" s="124"/>
      <c r="R643" s="117"/>
    </row>
    <row r="644" ht="14.25" customHeight="1">
      <c r="B644" s="22"/>
      <c r="C644" s="22"/>
      <c r="M644" s="88"/>
      <c r="N644" s="31"/>
      <c r="O644" s="159"/>
      <c r="P644" s="124"/>
      <c r="Q644" s="124"/>
      <c r="R644" s="117"/>
    </row>
    <row r="645" ht="14.25" customHeight="1">
      <c r="B645" s="22"/>
      <c r="C645" s="22"/>
      <c r="M645" s="88"/>
      <c r="N645" s="31"/>
      <c r="O645" s="159"/>
      <c r="P645" s="124"/>
      <c r="Q645" s="124"/>
      <c r="R645" s="117"/>
    </row>
    <row r="646" ht="14.25" customHeight="1">
      <c r="B646" s="22"/>
      <c r="C646" s="22"/>
      <c r="M646" s="88"/>
      <c r="N646" s="31"/>
      <c r="O646" s="159"/>
      <c r="P646" s="124"/>
      <c r="Q646" s="124"/>
      <c r="R646" s="117"/>
    </row>
    <row r="647" ht="14.25" customHeight="1">
      <c r="B647" s="22"/>
      <c r="C647" s="22"/>
      <c r="M647" s="88"/>
      <c r="N647" s="31"/>
      <c r="O647" s="159"/>
      <c r="P647" s="124"/>
      <c r="Q647" s="124"/>
      <c r="R647" s="117"/>
    </row>
    <row r="648" ht="14.25" customHeight="1">
      <c r="B648" s="22"/>
      <c r="C648" s="22"/>
      <c r="M648" s="88"/>
      <c r="N648" s="31"/>
      <c r="O648" s="159"/>
      <c r="P648" s="124"/>
      <c r="Q648" s="124"/>
      <c r="R648" s="117"/>
    </row>
    <row r="649" ht="14.25" customHeight="1">
      <c r="B649" s="22"/>
      <c r="C649" s="22"/>
      <c r="M649" s="88"/>
      <c r="N649" s="31"/>
      <c r="O649" s="159"/>
      <c r="P649" s="124"/>
      <c r="Q649" s="124"/>
      <c r="R649" s="117"/>
    </row>
    <row r="650" ht="14.25" customHeight="1">
      <c r="B650" s="22"/>
      <c r="C650" s="22"/>
      <c r="M650" s="88"/>
      <c r="N650" s="31"/>
      <c r="O650" s="159"/>
      <c r="P650" s="124"/>
      <c r="Q650" s="124"/>
      <c r="R650" s="117"/>
    </row>
    <row r="651" ht="14.25" customHeight="1">
      <c r="B651" s="22"/>
      <c r="C651" s="22"/>
      <c r="M651" s="88"/>
      <c r="N651" s="31"/>
      <c r="O651" s="159"/>
      <c r="P651" s="124"/>
      <c r="Q651" s="124"/>
      <c r="R651" s="117"/>
    </row>
    <row r="652" ht="14.25" customHeight="1">
      <c r="B652" s="22"/>
      <c r="C652" s="22"/>
      <c r="M652" s="88"/>
      <c r="N652" s="31"/>
      <c r="O652" s="159"/>
      <c r="P652" s="124"/>
      <c r="Q652" s="124"/>
      <c r="R652" s="117"/>
    </row>
    <row r="653" ht="14.25" customHeight="1">
      <c r="B653" s="22"/>
      <c r="C653" s="22"/>
      <c r="M653" s="88"/>
      <c r="N653" s="31"/>
      <c r="O653" s="159"/>
      <c r="P653" s="124"/>
      <c r="Q653" s="124"/>
      <c r="R653" s="117"/>
    </row>
    <row r="654" ht="14.25" customHeight="1">
      <c r="B654" s="22"/>
      <c r="C654" s="22"/>
      <c r="M654" s="88"/>
      <c r="N654" s="31"/>
      <c r="O654" s="159"/>
      <c r="P654" s="124"/>
      <c r="Q654" s="124"/>
      <c r="R654" s="117"/>
    </row>
    <row r="655" ht="14.25" customHeight="1">
      <c r="B655" s="22"/>
      <c r="C655" s="22"/>
      <c r="M655" s="88"/>
      <c r="N655" s="31"/>
      <c r="O655" s="159"/>
      <c r="P655" s="124"/>
      <c r="Q655" s="124"/>
      <c r="R655" s="117"/>
    </row>
    <row r="656" ht="14.25" customHeight="1">
      <c r="B656" s="22"/>
      <c r="C656" s="22"/>
      <c r="M656" s="88"/>
      <c r="N656" s="31"/>
      <c r="O656" s="159"/>
      <c r="P656" s="124"/>
      <c r="Q656" s="124"/>
      <c r="R656" s="117"/>
    </row>
    <row r="657" ht="14.25" customHeight="1">
      <c r="B657" s="22"/>
      <c r="C657" s="22"/>
      <c r="M657" s="88"/>
      <c r="N657" s="31"/>
      <c r="O657" s="159"/>
      <c r="P657" s="124"/>
      <c r="Q657" s="124"/>
      <c r="R657" s="117"/>
    </row>
    <row r="658" ht="14.25" customHeight="1">
      <c r="B658" s="22"/>
      <c r="C658" s="22"/>
      <c r="M658" s="88"/>
      <c r="N658" s="31"/>
      <c r="O658" s="159"/>
      <c r="P658" s="124"/>
      <c r="Q658" s="124"/>
      <c r="R658" s="117"/>
    </row>
    <row r="659" ht="14.25" customHeight="1">
      <c r="B659" s="22"/>
      <c r="C659" s="22"/>
      <c r="M659" s="88"/>
      <c r="N659" s="31"/>
      <c r="O659" s="159"/>
      <c r="P659" s="124"/>
      <c r="Q659" s="124"/>
      <c r="R659" s="117"/>
    </row>
    <row r="660" ht="14.25" customHeight="1">
      <c r="B660" s="22"/>
      <c r="C660" s="22"/>
      <c r="M660" s="88"/>
      <c r="N660" s="31"/>
      <c r="O660" s="159"/>
      <c r="P660" s="124"/>
      <c r="Q660" s="124"/>
      <c r="R660" s="117"/>
    </row>
    <row r="661" ht="14.25" customHeight="1">
      <c r="B661" s="22"/>
      <c r="C661" s="22"/>
      <c r="M661" s="88"/>
      <c r="N661" s="31"/>
      <c r="O661" s="159"/>
      <c r="P661" s="124"/>
      <c r="Q661" s="124"/>
      <c r="R661" s="117"/>
    </row>
    <row r="662" ht="14.25" customHeight="1">
      <c r="B662" s="22"/>
      <c r="C662" s="22"/>
      <c r="M662" s="88"/>
      <c r="N662" s="31"/>
      <c r="O662" s="159"/>
      <c r="P662" s="124"/>
      <c r="Q662" s="124"/>
      <c r="R662" s="117"/>
    </row>
    <row r="663" ht="14.25" customHeight="1">
      <c r="B663" s="22"/>
      <c r="C663" s="22"/>
      <c r="M663" s="88"/>
      <c r="N663" s="31"/>
      <c r="O663" s="159"/>
      <c r="P663" s="124"/>
      <c r="Q663" s="124"/>
      <c r="R663" s="117"/>
    </row>
    <row r="664" ht="14.25" customHeight="1">
      <c r="B664" s="22"/>
      <c r="C664" s="22"/>
      <c r="M664" s="88"/>
      <c r="N664" s="31"/>
      <c r="O664" s="159"/>
      <c r="P664" s="124"/>
      <c r="Q664" s="124"/>
      <c r="R664" s="117"/>
    </row>
    <row r="665" ht="14.25" customHeight="1">
      <c r="B665" s="22"/>
      <c r="C665" s="22"/>
      <c r="M665" s="88"/>
      <c r="N665" s="31"/>
      <c r="O665" s="159"/>
      <c r="P665" s="124"/>
      <c r="Q665" s="124"/>
      <c r="R665" s="117"/>
    </row>
    <row r="666" ht="14.25" customHeight="1">
      <c r="B666" s="22"/>
      <c r="C666" s="22"/>
      <c r="M666" s="88"/>
      <c r="N666" s="31"/>
      <c r="O666" s="159"/>
      <c r="P666" s="124"/>
      <c r="Q666" s="124"/>
      <c r="R666" s="117"/>
    </row>
    <row r="667" ht="14.25" customHeight="1">
      <c r="B667" s="22"/>
      <c r="C667" s="22"/>
      <c r="M667" s="88"/>
      <c r="N667" s="31"/>
      <c r="O667" s="159"/>
      <c r="P667" s="124"/>
      <c r="Q667" s="124"/>
      <c r="R667" s="117"/>
    </row>
    <row r="668" ht="14.25" customHeight="1">
      <c r="B668" s="22"/>
      <c r="C668" s="22"/>
      <c r="M668" s="88"/>
      <c r="N668" s="31"/>
      <c r="O668" s="159"/>
      <c r="P668" s="124"/>
      <c r="Q668" s="124"/>
      <c r="R668" s="117"/>
    </row>
    <row r="669" ht="14.25" customHeight="1">
      <c r="B669" s="22"/>
      <c r="C669" s="22"/>
      <c r="M669" s="88"/>
      <c r="N669" s="31"/>
      <c r="O669" s="159"/>
      <c r="P669" s="124"/>
      <c r="Q669" s="124"/>
      <c r="R669" s="117"/>
    </row>
    <row r="670" ht="14.25" customHeight="1">
      <c r="B670" s="22"/>
      <c r="C670" s="22"/>
      <c r="M670" s="88"/>
      <c r="N670" s="31"/>
      <c r="O670" s="159"/>
      <c r="P670" s="124"/>
      <c r="Q670" s="124"/>
      <c r="R670" s="117"/>
    </row>
    <row r="671" ht="14.25" customHeight="1">
      <c r="B671" s="22"/>
      <c r="C671" s="22"/>
      <c r="M671" s="88"/>
      <c r="N671" s="31"/>
      <c r="O671" s="159"/>
      <c r="P671" s="124"/>
      <c r="Q671" s="124"/>
      <c r="R671" s="117"/>
    </row>
    <row r="672" ht="14.25" customHeight="1">
      <c r="B672" s="22"/>
      <c r="C672" s="22"/>
      <c r="M672" s="88"/>
      <c r="N672" s="31"/>
      <c r="O672" s="159"/>
      <c r="P672" s="124"/>
      <c r="Q672" s="124"/>
      <c r="R672" s="117"/>
    </row>
    <row r="673" ht="14.25" customHeight="1">
      <c r="B673" s="22"/>
      <c r="C673" s="22"/>
      <c r="M673" s="88"/>
      <c r="N673" s="31"/>
      <c r="O673" s="159"/>
      <c r="P673" s="124"/>
      <c r="Q673" s="124"/>
      <c r="R673" s="117"/>
    </row>
    <row r="674" ht="14.25" customHeight="1">
      <c r="B674" s="22"/>
      <c r="C674" s="22"/>
      <c r="M674" s="88"/>
      <c r="N674" s="31"/>
      <c r="O674" s="159"/>
      <c r="P674" s="124"/>
      <c r="Q674" s="124"/>
      <c r="R674" s="117"/>
    </row>
    <row r="675" ht="14.25" customHeight="1">
      <c r="B675" s="22"/>
      <c r="C675" s="22"/>
      <c r="M675" s="88"/>
      <c r="N675" s="31"/>
      <c r="O675" s="159"/>
      <c r="P675" s="124"/>
      <c r="Q675" s="124"/>
      <c r="R675" s="117"/>
    </row>
    <row r="676" ht="14.25" customHeight="1">
      <c r="B676" s="22"/>
      <c r="C676" s="22"/>
      <c r="M676" s="88"/>
      <c r="N676" s="31"/>
      <c r="O676" s="159"/>
      <c r="P676" s="124"/>
      <c r="Q676" s="124"/>
      <c r="R676" s="117"/>
    </row>
    <row r="677" ht="14.25" customHeight="1">
      <c r="B677" s="22"/>
      <c r="C677" s="22"/>
      <c r="M677" s="88"/>
      <c r="N677" s="31"/>
      <c r="O677" s="159"/>
      <c r="P677" s="124"/>
      <c r="Q677" s="124"/>
      <c r="R677" s="117"/>
    </row>
    <row r="678" ht="14.25" customHeight="1">
      <c r="B678" s="22"/>
      <c r="C678" s="22"/>
      <c r="M678" s="88"/>
      <c r="N678" s="31"/>
      <c r="O678" s="159"/>
      <c r="P678" s="124"/>
      <c r="Q678" s="124"/>
      <c r="R678" s="117"/>
    </row>
    <row r="679" ht="14.25" customHeight="1">
      <c r="B679" s="22"/>
      <c r="C679" s="22"/>
      <c r="M679" s="88"/>
      <c r="N679" s="31"/>
      <c r="O679" s="159"/>
      <c r="P679" s="124"/>
      <c r="Q679" s="124"/>
      <c r="R679" s="117"/>
    </row>
    <row r="680" ht="14.25" customHeight="1">
      <c r="B680" s="22"/>
      <c r="C680" s="22"/>
      <c r="M680" s="88"/>
      <c r="N680" s="31"/>
      <c r="O680" s="159"/>
      <c r="P680" s="124"/>
      <c r="Q680" s="124"/>
      <c r="R680" s="117"/>
    </row>
    <row r="681" ht="14.25" customHeight="1">
      <c r="B681" s="22"/>
      <c r="C681" s="22"/>
      <c r="M681" s="88"/>
      <c r="N681" s="31"/>
      <c r="O681" s="159"/>
      <c r="P681" s="124"/>
      <c r="Q681" s="124"/>
      <c r="R681" s="117"/>
    </row>
    <row r="682" ht="14.25" customHeight="1">
      <c r="B682" s="22"/>
      <c r="C682" s="22"/>
      <c r="M682" s="88"/>
      <c r="N682" s="31"/>
      <c r="O682" s="159"/>
      <c r="P682" s="124"/>
      <c r="Q682" s="124"/>
      <c r="R682" s="117"/>
    </row>
    <row r="683" ht="14.25" customHeight="1">
      <c r="B683" s="22"/>
      <c r="C683" s="22"/>
      <c r="M683" s="88"/>
      <c r="N683" s="31"/>
      <c r="O683" s="159"/>
      <c r="P683" s="124"/>
      <c r="Q683" s="124"/>
      <c r="R683" s="117"/>
    </row>
    <row r="684" ht="14.25" customHeight="1">
      <c r="B684" s="22"/>
      <c r="C684" s="22"/>
      <c r="M684" s="88"/>
      <c r="N684" s="31"/>
      <c r="O684" s="159"/>
      <c r="P684" s="124"/>
      <c r="Q684" s="124"/>
      <c r="R684" s="117"/>
    </row>
    <row r="685" ht="14.25" customHeight="1">
      <c r="B685" s="22"/>
      <c r="C685" s="22"/>
      <c r="M685" s="88"/>
      <c r="N685" s="31"/>
      <c r="O685" s="159"/>
      <c r="P685" s="124"/>
      <c r="Q685" s="124"/>
      <c r="R685" s="117"/>
    </row>
    <row r="686" ht="14.25" customHeight="1">
      <c r="B686" s="22"/>
      <c r="C686" s="22"/>
      <c r="M686" s="88"/>
      <c r="N686" s="31"/>
      <c r="O686" s="159"/>
      <c r="P686" s="124"/>
      <c r="Q686" s="124"/>
      <c r="R686" s="117"/>
    </row>
    <row r="687" ht="14.25" customHeight="1">
      <c r="B687" s="22"/>
      <c r="C687" s="22"/>
      <c r="M687" s="88"/>
      <c r="N687" s="31"/>
      <c r="O687" s="159"/>
      <c r="P687" s="124"/>
      <c r="Q687" s="124"/>
      <c r="R687" s="117"/>
    </row>
    <row r="688" ht="14.25" customHeight="1">
      <c r="B688" s="22"/>
      <c r="C688" s="22"/>
      <c r="M688" s="88"/>
      <c r="N688" s="31"/>
      <c r="O688" s="159"/>
      <c r="P688" s="124"/>
      <c r="Q688" s="124"/>
      <c r="R688" s="117"/>
    </row>
    <row r="689" ht="14.25" customHeight="1">
      <c r="B689" s="22"/>
      <c r="C689" s="22"/>
      <c r="M689" s="88"/>
      <c r="N689" s="31"/>
      <c r="O689" s="159"/>
      <c r="P689" s="124"/>
      <c r="Q689" s="124"/>
      <c r="R689" s="117"/>
    </row>
    <row r="690" ht="14.25" customHeight="1">
      <c r="B690" s="22"/>
      <c r="C690" s="22"/>
      <c r="M690" s="88"/>
      <c r="N690" s="31"/>
      <c r="O690" s="159"/>
      <c r="P690" s="124"/>
      <c r="Q690" s="124"/>
      <c r="R690" s="117"/>
    </row>
    <row r="691" ht="14.25" customHeight="1">
      <c r="B691" s="22"/>
      <c r="C691" s="22"/>
      <c r="M691" s="88"/>
      <c r="N691" s="31"/>
      <c r="O691" s="159"/>
      <c r="P691" s="124"/>
      <c r="Q691" s="124"/>
      <c r="R691" s="117"/>
    </row>
    <row r="692" ht="14.25" customHeight="1">
      <c r="B692" s="22"/>
      <c r="C692" s="22"/>
      <c r="M692" s="88"/>
      <c r="N692" s="31"/>
      <c r="O692" s="159"/>
      <c r="P692" s="124"/>
      <c r="Q692" s="124"/>
      <c r="R692" s="117"/>
    </row>
    <row r="693" ht="14.25" customHeight="1">
      <c r="B693" s="22"/>
      <c r="C693" s="22"/>
      <c r="M693" s="88"/>
      <c r="N693" s="31"/>
      <c r="O693" s="159"/>
      <c r="P693" s="124"/>
      <c r="Q693" s="124"/>
      <c r="R693" s="117"/>
    </row>
    <row r="694" ht="14.25" customHeight="1">
      <c r="B694" s="22"/>
      <c r="C694" s="22"/>
      <c r="M694" s="88"/>
      <c r="N694" s="31"/>
      <c r="O694" s="159"/>
      <c r="P694" s="124"/>
      <c r="Q694" s="124"/>
      <c r="R694" s="117"/>
    </row>
    <row r="695" ht="14.25" customHeight="1">
      <c r="B695" s="22"/>
      <c r="C695" s="22"/>
      <c r="M695" s="88"/>
      <c r="N695" s="31"/>
      <c r="O695" s="159"/>
      <c r="P695" s="124"/>
      <c r="Q695" s="124"/>
      <c r="R695" s="117"/>
    </row>
    <row r="696" ht="14.25" customHeight="1">
      <c r="B696" s="22"/>
      <c r="C696" s="22"/>
      <c r="M696" s="88"/>
      <c r="N696" s="31"/>
      <c r="O696" s="159"/>
      <c r="P696" s="124"/>
      <c r="Q696" s="124"/>
      <c r="R696" s="117"/>
    </row>
    <row r="697" ht="14.25" customHeight="1">
      <c r="B697" s="22"/>
      <c r="C697" s="22"/>
      <c r="M697" s="88"/>
      <c r="N697" s="31"/>
      <c r="O697" s="159"/>
      <c r="P697" s="124"/>
      <c r="Q697" s="124"/>
      <c r="R697" s="117"/>
    </row>
    <row r="698" ht="14.25" customHeight="1">
      <c r="B698" s="22"/>
      <c r="C698" s="22"/>
      <c r="M698" s="88"/>
      <c r="N698" s="31"/>
      <c r="O698" s="159"/>
      <c r="P698" s="124"/>
      <c r="Q698" s="124"/>
      <c r="R698" s="117"/>
    </row>
    <row r="699" ht="14.25" customHeight="1">
      <c r="B699" s="22"/>
      <c r="C699" s="22"/>
      <c r="M699" s="88"/>
      <c r="N699" s="31"/>
      <c r="O699" s="159"/>
      <c r="P699" s="124"/>
      <c r="Q699" s="124"/>
      <c r="R699" s="117"/>
    </row>
    <row r="700" ht="14.25" customHeight="1">
      <c r="B700" s="22"/>
      <c r="C700" s="22"/>
      <c r="M700" s="88"/>
      <c r="N700" s="31"/>
      <c r="O700" s="159"/>
      <c r="P700" s="124"/>
      <c r="Q700" s="124"/>
      <c r="R700" s="117"/>
    </row>
    <row r="701" ht="14.25" customHeight="1">
      <c r="B701" s="22"/>
      <c r="C701" s="22"/>
      <c r="M701" s="88"/>
      <c r="N701" s="31"/>
      <c r="O701" s="159"/>
      <c r="P701" s="124"/>
      <c r="Q701" s="124"/>
      <c r="R701" s="117"/>
    </row>
    <row r="702" ht="14.25" customHeight="1">
      <c r="B702" s="22"/>
      <c r="C702" s="22"/>
      <c r="M702" s="88"/>
      <c r="N702" s="31"/>
      <c r="O702" s="159"/>
      <c r="P702" s="124"/>
      <c r="Q702" s="124"/>
      <c r="R702" s="117"/>
    </row>
    <row r="703" ht="14.25" customHeight="1">
      <c r="B703" s="22"/>
      <c r="C703" s="22"/>
      <c r="M703" s="88"/>
      <c r="N703" s="31"/>
      <c r="O703" s="159"/>
      <c r="P703" s="124"/>
      <c r="Q703" s="124"/>
      <c r="R703" s="117"/>
    </row>
    <row r="704" ht="14.25" customHeight="1">
      <c r="B704" s="22"/>
      <c r="C704" s="22"/>
      <c r="M704" s="88"/>
      <c r="N704" s="31"/>
      <c r="O704" s="159"/>
      <c r="P704" s="124"/>
      <c r="Q704" s="124"/>
      <c r="R704" s="117"/>
    </row>
    <row r="705" ht="14.25" customHeight="1">
      <c r="B705" s="22"/>
      <c r="C705" s="22"/>
      <c r="M705" s="88"/>
      <c r="N705" s="31"/>
      <c r="O705" s="159"/>
      <c r="P705" s="124"/>
      <c r="Q705" s="124"/>
      <c r="R705" s="117"/>
    </row>
    <row r="706" ht="14.25" customHeight="1">
      <c r="B706" s="22"/>
      <c r="C706" s="22"/>
      <c r="M706" s="88"/>
      <c r="N706" s="31"/>
      <c r="O706" s="159"/>
      <c r="P706" s="124"/>
      <c r="Q706" s="124"/>
      <c r="R706" s="117"/>
    </row>
    <row r="707" ht="14.25" customHeight="1">
      <c r="B707" s="22"/>
      <c r="C707" s="22"/>
      <c r="M707" s="88"/>
      <c r="N707" s="31"/>
      <c r="O707" s="159"/>
      <c r="P707" s="124"/>
      <c r="Q707" s="124"/>
      <c r="R707" s="117"/>
    </row>
    <row r="708" ht="14.25" customHeight="1">
      <c r="B708" s="22"/>
      <c r="C708" s="22"/>
      <c r="M708" s="88"/>
      <c r="N708" s="31"/>
      <c r="O708" s="159"/>
      <c r="P708" s="124"/>
      <c r="Q708" s="124"/>
      <c r="R708" s="117"/>
    </row>
    <row r="709" ht="14.25" customHeight="1">
      <c r="B709" s="22"/>
      <c r="C709" s="22"/>
      <c r="M709" s="88"/>
      <c r="N709" s="31"/>
      <c r="O709" s="159"/>
      <c r="P709" s="124"/>
      <c r="Q709" s="124"/>
      <c r="R709" s="117"/>
    </row>
    <row r="710" ht="14.25" customHeight="1">
      <c r="B710" s="22"/>
      <c r="C710" s="22"/>
      <c r="M710" s="88"/>
      <c r="N710" s="31"/>
      <c r="O710" s="159"/>
      <c r="P710" s="124"/>
      <c r="Q710" s="124"/>
      <c r="R710" s="117"/>
    </row>
    <row r="711" ht="14.25" customHeight="1">
      <c r="B711" s="22"/>
      <c r="C711" s="22"/>
      <c r="M711" s="88"/>
      <c r="N711" s="31"/>
      <c r="O711" s="159"/>
      <c r="P711" s="124"/>
      <c r="Q711" s="124"/>
      <c r="R711" s="117"/>
    </row>
    <row r="712" ht="14.25" customHeight="1">
      <c r="B712" s="22"/>
      <c r="C712" s="22"/>
      <c r="M712" s="88"/>
      <c r="N712" s="31"/>
      <c r="O712" s="159"/>
      <c r="P712" s="124"/>
      <c r="Q712" s="124"/>
      <c r="R712" s="117"/>
    </row>
    <row r="713" ht="14.25" customHeight="1">
      <c r="B713" s="22"/>
      <c r="C713" s="22"/>
      <c r="M713" s="88"/>
      <c r="N713" s="31"/>
      <c r="O713" s="159"/>
      <c r="P713" s="124"/>
      <c r="Q713" s="124"/>
      <c r="R713" s="117"/>
    </row>
    <row r="714" ht="14.25" customHeight="1">
      <c r="B714" s="22"/>
      <c r="C714" s="22"/>
      <c r="M714" s="88"/>
      <c r="N714" s="31"/>
      <c r="O714" s="159"/>
      <c r="P714" s="124"/>
      <c r="Q714" s="124"/>
      <c r="R714" s="117"/>
    </row>
    <row r="715" ht="14.25" customHeight="1">
      <c r="B715" s="22"/>
      <c r="C715" s="22"/>
      <c r="M715" s="88"/>
      <c r="N715" s="31"/>
      <c r="O715" s="159"/>
      <c r="P715" s="124"/>
      <c r="Q715" s="124"/>
      <c r="R715" s="117"/>
    </row>
    <row r="716" ht="14.25" customHeight="1">
      <c r="B716" s="22"/>
      <c r="C716" s="22"/>
      <c r="M716" s="88"/>
      <c r="N716" s="31"/>
      <c r="O716" s="159"/>
      <c r="P716" s="124"/>
      <c r="Q716" s="124"/>
      <c r="R716" s="117"/>
    </row>
    <row r="717" ht="14.25" customHeight="1">
      <c r="B717" s="22"/>
      <c r="C717" s="22"/>
      <c r="M717" s="88"/>
      <c r="N717" s="31"/>
      <c r="O717" s="159"/>
      <c r="P717" s="124"/>
      <c r="Q717" s="124"/>
      <c r="R717" s="117"/>
    </row>
    <row r="718" ht="14.25" customHeight="1">
      <c r="B718" s="22"/>
      <c r="C718" s="22"/>
      <c r="M718" s="88"/>
      <c r="N718" s="31"/>
      <c r="O718" s="159"/>
      <c r="P718" s="124"/>
      <c r="Q718" s="124"/>
      <c r="R718" s="117"/>
    </row>
    <row r="719" ht="14.25" customHeight="1">
      <c r="B719" s="22"/>
      <c r="C719" s="22"/>
      <c r="M719" s="88"/>
      <c r="N719" s="31"/>
      <c r="O719" s="159"/>
      <c r="P719" s="124"/>
      <c r="Q719" s="124"/>
      <c r="R719" s="117"/>
    </row>
    <row r="720" ht="14.25" customHeight="1">
      <c r="B720" s="22"/>
      <c r="C720" s="22"/>
      <c r="M720" s="88"/>
      <c r="N720" s="31"/>
      <c r="O720" s="159"/>
      <c r="P720" s="124"/>
      <c r="Q720" s="124"/>
      <c r="R720" s="117"/>
    </row>
    <row r="721" ht="14.25" customHeight="1">
      <c r="B721" s="22"/>
      <c r="C721" s="22"/>
      <c r="M721" s="88"/>
      <c r="N721" s="31"/>
      <c r="O721" s="159"/>
      <c r="P721" s="124"/>
      <c r="Q721" s="124"/>
      <c r="R721" s="117"/>
    </row>
    <row r="722" ht="14.25" customHeight="1">
      <c r="B722" s="22"/>
      <c r="C722" s="22"/>
      <c r="M722" s="88"/>
      <c r="N722" s="31"/>
      <c r="O722" s="159"/>
      <c r="P722" s="124"/>
      <c r="Q722" s="124"/>
      <c r="R722" s="117"/>
    </row>
    <row r="723" ht="14.25" customHeight="1">
      <c r="B723" s="22"/>
      <c r="C723" s="22"/>
      <c r="M723" s="88"/>
      <c r="N723" s="31"/>
      <c r="O723" s="159"/>
      <c r="P723" s="124"/>
      <c r="Q723" s="124"/>
      <c r="R723" s="117"/>
    </row>
    <row r="724" ht="14.25" customHeight="1">
      <c r="B724" s="22"/>
      <c r="C724" s="22"/>
      <c r="M724" s="88"/>
      <c r="N724" s="31"/>
      <c r="O724" s="159"/>
      <c r="P724" s="124"/>
      <c r="Q724" s="124"/>
      <c r="R724" s="117"/>
    </row>
    <row r="725" ht="14.25" customHeight="1">
      <c r="B725" s="22"/>
      <c r="C725" s="22"/>
      <c r="M725" s="88"/>
      <c r="N725" s="31"/>
      <c r="O725" s="159"/>
      <c r="P725" s="124"/>
      <c r="Q725" s="124"/>
      <c r="R725" s="117"/>
    </row>
    <row r="726" ht="14.25" customHeight="1">
      <c r="B726" s="22"/>
      <c r="C726" s="22"/>
      <c r="M726" s="88"/>
      <c r="N726" s="31"/>
      <c r="O726" s="159"/>
      <c r="P726" s="124"/>
      <c r="Q726" s="124"/>
      <c r="R726" s="117"/>
    </row>
    <row r="727" ht="14.25" customHeight="1">
      <c r="B727" s="22"/>
      <c r="C727" s="22"/>
      <c r="M727" s="88"/>
      <c r="N727" s="31"/>
      <c r="O727" s="159"/>
      <c r="P727" s="124"/>
      <c r="Q727" s="124"/>
      <c r="R727" s="117"/>
    </row>
    <row r="728" ht="14.25" customHeight="1">
      <c r="B728" s="22"/>
      <c r="C728" s="22"/>
      <c r="M728" s="88"/>
      <c r="N728" s="31"/>
      <c r="O728" s="159"/>
      <c r="P728" s="124"/>
      <c r="Q728" s="124"/>
      <c r="R728" s="117"/>
    </row>
    <row r="729" ht="14.25" customHeight="1">
      <c r="B729" s="22"/>
      <c r="C729" s="22"/>
      <c r="M729" s="88"/>
      <c r="N729" s="31"/>
      <c r="O729" s="159"/>
      <c r="P729" s="124"/>
      <c r="Q729" s="124"/>
      <c r="R729" s="117"/>
    </row>
    <row r="730" ht="14.25" customHeight="1">
      <c r="B730" s="22"/>
      <c r="C730" s="22"/>
      <c r="M730" s="88"/>
      <c r="N730" s="31"/>
      <c r="O730" s="159"/>
      <c r="P730" s="124"/>
      <c r="Q730" s="124"/>
      <c r="R730" s="117"/>
    </row>
    <row r="731" ht="14.25" customHeight="1">
      <c r="B731" s="22"/>
      <c r="C731" s="22"/>
      <c r="M731" s="88"/>
      <c r="N731" s="31"/>
      <c r="O731" s="159"/>
      <c r="P731" s="124"/>
      <c r="Q731" s="124"/>
      <c r="R731" s="117"/>
    </row>
    <row r="732" ht="14.25" customHeight="1">
      <c r="B732" s="22"/>
      <c r="C732" s="22"/>
      <c r="M732" s="88"/>
      <c r="N732" s="31"/>
      <c r="O732" s="159"/>
      <c r="P732" s="124"/>
      <c r="Q732" s="124"/>
      <c r="R732" s="117"/>
    </row>
    <row r="733" ht="14.25" customHeight="1">
      <c r="B733" s="22"/>
      <c r="C733" s="22"/>
      <c r="M733" s="88"/>
      <c r="N733" s="31"/>
      <c r="O733" s="159"/>
      <c r="P733" s="124"/>
      <c r="Q733" s="124"/>
      <c r="R733" s="117"/>
    </row>
    <row r="734" ht="14.25" customHeight="1">
      <c r="B734" s="22"/>
      <c r="C734" s="22"/>
      <c r="M734" s="88"/>
      <c r="N734" s="31"/>
      <c r="O734" s="159"/>
      <c r="P734" s="124"/>
      <c r="Q734" s="124"/>
      <c r="R734" s="117"/>
    </row>
    <row r="735" ht="14.25" customHeight="1">
      <c r="B735" s="22"/>
      <c r="C735" s="22"/>
      <c r="M735" s="88"/>
      <c r="N735" s="31"/>
      <c r="O735" s="159"/>
      <c r="P735" s="124"/>
      <c r="Q735" s="124"/>
      <c r="R735" s="117"/>
    </row>
    <row r="736" ht="14.25" customHeight="1">
      <c r="B736" s="22"/>
      <c r="C736" s="22"/>
      <c r="M736" s="88"/>
      <c r="N736" s="31"/>
      <c r="O736" s="159"/>
      <c r="P736" s="124"/>
      <c r="Q736" s="124"/>
      <c r="R736" s="117"/>
    </row>
    <row r="737" ht="14.25" customHeight="1">
      <c r="B737" s="22"/>
      <c r="C737" s="22"/>
      <c r="M737" s="88"/>
      <c r="N737" s="31"/>
      <c r="O737" s="159"/>
      <c r="P737" s="124"/>
      <c r="Q737" s="124"/>
      <c r="R737" s="117"/>
    </row>
    <row r="738" ht="14.25" customHeight="1">
      <c r="B738" s="22"/>
      <c r="C738" s="22"/>
      <c r="M738" s="88"/>
      <c r="N738" s="31"/>
      <c r="O738" s="159"/>
      <c r="P738" s="124"/>
      <c r="Q738" s="124"/>
      <c r="R738" s="117"/>
    </row>
    <row r="739" ht="14.25" customHeight="1">
      <c r="B739" s="22"/>
      <c r="C739" s="22"/>
      <c r="M739" s="88"/>
      <c r="N739" s="31"/>
      <c r="O739" s="159"/>
      <c r="P739" s="124"/>
      <c r="Q739" s="124"/>
      <c r="R739" s="117"/>
    </row>
    <row r="740" ht="14.25" customHeight="1">
      <c r="B740" s="22"/>
      <c r="C740" s="22"/>
      <c r="M740" s="88"/>
      <c r="N740" s="31"/>
      <c r="O740" s="159"/>
      <c r="P740" s="124"/>
      <c r="Q740" s="124"/>
      <c r="R740" s="117"/>
    </row>
    <row r="741" ht="14.25" customHeight="1">
      <c r="B741" s="22"/>
      <c r="C741" s="22"/>
      <c r="M741" s="88"/>
      <c r="N741" s="31"/>
      <c r="O741" s="159"/>
      <c r="P741" s="124"/>
      <c r="Q741" s="124"/>
      <c r="R741" s="117"/>
    </row>
    <row r="742" ht="14.25" customHeight="1">
      <c r="B742" s="22"/>
      <c r="C742" s="22"/>
      <c r="M742" s="88"/>
      <c r="N742" s="31"/>
      <c r="O742" s="159"/>
      <c r="P742" s="124"/>
      <c r="Q742" s="124"/>
      <c r="R742" s="117"/>
    </row>
    <row r="743" ht="14.25" customHeight="1">
      <c r="B743" s="22"/>
      <c r="C743" s="22"/>
      <c r="M743" s="88"/>
      <c r="N743" s="31"/>
      <c r="O743" s="159"/>
      <c r="P743" s="124"/>
      <c r="Q743" s="124"/>
      <c r="R743" s="117"/>
    </row>
    <row r="744" ht="14.25" customHeight="1">
      <c r="B744" s="22"/>
      <c r="C744" s="22"/>
      <c r="M744" s="88"/>
      <c r="N744" s="31"/>
      <c r="O744" s="159"/>
      <c r="P744" s="124"/>
      <c r="Q744" s="124"/>
      <c r="R744" s="117"/>
    </row>
    <row r="745" ht="14.25" customHeight="1">
      <c r="B745" s="22"/>
      <c r="C745" s="22"/>
      <c r="M745" s="88"/>
      <c r="N745" s="31"/>
      <c r="O745" s="159"/>
      <c r="P745" s="124"/>
      <c r="Q745" s="124"/>
      <c r="R745" s="117"/>
    </row>
    <row r="746" ht="14.25" customHeight="1">
      <c r="B746" s="22"/>
      <c r="C746" s="22"/>
      <c r="M746" s="88"/>
      <c r="N746" s="31"/>
      <c r="O746" s="159"/>
      <c r="P746" s="124"/>
      <c r="Q746" s="124"/>
      <c r="R746" s="117"/>
    </row>
    <row r="747" ht="14.25" customHeight="1">
      <c r="B747" s="22"/>
      <c r="C747" s="22"/>
      <c r="M747" s="88"/>
      <c r="N747" s="31"/>
      <c r="O747" s="159"/>
      <c r="P747" s="124"/>
      <c r="Q747" s="124"/>
      <c r="R747" s="117"/>
    </row>
    <row r="748" ht="14.25" customHeight="1">
      <c r="B748" s="22"/>
      <c r="C748" s="22"/>
      <c r="M748" s="88"/>
      <c r="N748" s="31"/>
      <c r="O748" s="159"/>
      <c r="P748" s="124"/>
      <c r="Q748" s="124"/>
      <c r="R748" s="117"/>
    </row>
    <row r="749" ht="14.25" customHeight="1">
      <c r="B749" s="22"/>
      <c r="C749" s="22"/>
      <c r="M749" s="88"/>
      <c r="N749" s="31"/>
      <c r="O749" s="159"/>
      <c r="P749" s="124"/>
      <c r="Q749" s="124"/>
      <c r="R749" s="117"/>
    </row>
    <row r="750" ht="14.25" customHeight="1">
      <c r="B750" s="22"/>
      <c r="C750" s="22"/>
      <c r="M750" s="88"/>
      <c r="N750" s="31"/>
      <c r="O750" s="159"/>
      <c r="P750" s="124"/>
      <c r="Q750" s="124"/>
      <c r="R750" s="117"/>
    </row>
    <row r="751" ht="14.25" customHeight="1">
      <c r="B751" s="22"/>
      <c r="C751" s="22"/>
      <c r="M751" s="88"/>
      <c r="N751" s="31"/>
      <c r="O751" s="159"/>
      <c r="P751" s="124"/>
      <c r="Q751" s="124"/>
      <c r="R751" s="117"/>
    </row>
    <row r="752" ht="14.25" customHeight="1">
      <c r="B752" s="22"/>
      <c r="C752" s="22"/>
      <c r="M752" s="88"/>
      <c r="N752" s="31"/>
      <c r="O752" s="159"/>
      <c r="P752" s="124"/>
      <c r="Q752" s="124"/>
      <c r="R752" s="117"/>
    </row>
    <row r="753" ht="14.25" customHeight="1">
      <c r="B753" s="22"/>
      <c r="C753" s="22"/>
      <c r="M753" s="88"/>
      <c r="N753" s="31"/>
      <c r="O753" s="159"/>
      <c r="P753" s="124"/>
      <c r="Q753" s="124"/>
      <c r="R753" s="117"/>
    </row>
    <row r="754" ht="14.25" customHeight="1">
      <c r="B754" s="22"/>
      <c r="C754" s="22"/>
      <c r="M754" s="88"/>
      <c r="N754" s="31"/>
      <c r="O754" s="159"/>
      <c r="P754" s="124"/>
      <c r="Q754" s="124"/>
      <c r="R754" s="117"/>
    </row>
    <row r="755" ht="14.25" customHeight="1">
      <c r="B755" s="22"/>
      <c r="C755" s="22"/>
      <c r="M755" s="88"/>
      <c r="N755" s="31"/>
      <c r="O755" s="159"/>
      <c r="P755" s="124"/>
      <c r="Q755" s="124"/>
      <c r="R755" s="117"/>
    </row>
    <row r="756" ht="14.25" customHeight="1">
      <c r="B756" s="22"/>
      <c r="C756" s="22"/>
      <c r="M756" s="88"/>
      <c r="N756" s="31"/>
      <c r="O756" s="159"/>
      <c r="P756" s="124"/>
      <c r="Q756" s="124"/>
      <c r="R756" s="117"/>
    </row>
    <row r="757" ht="14.25" customHeight="1">
      <c r="B757" s="22"/>
      <c r="C757" s="22"/>
      <c r="M757" s="88"/>
      <c r="N757" s="31"/>
      <c r="O757" s="159"/>
      <c r="P757" s="124"/>
      <c r="Q757" s="124"/>
      <c r="R757" s="117"/>
    </row>
    <row r="758" ht="14.25" customHeight="1">
      <c r="B758" s="22"/>
      <c r="C758" s="22"/>
      <c r="M758" s="88"/>
      <c r="N758" s="31"/>
      <c r="O758" s="159"/>
      <c r="P758" s="124"/>
      <c r="Q758" s="124"/>
      <c r="R758" s="117"/>
    </row>
    <row r="759" ht="14.25" customHeight="1">
      <c r="B759" s="22"/>
      <c r="C759" s="22"/>
      <c r="M759" s="88"/>
      <c r="N759" s="31"/>
      <c r="O759" s="159"/>
      <c r="P759" s="124"/>
      <c r="Q759" s="124"/>
      <c r="R759" s="117"/>
    </row>
    <row r="760" ht="14.25" customHeight="1">
      <c r="B760" s="22"/>
      <c r="C760" s="22"/>
      <c r="M760" s="88"/>
      <c r="N760" s="31"/>
      <c r="O760" s="159"/>
      <c r="P760" s="124"/>
      <c r="Q760" s="124"/>
      <c r="R760" s="117"/>
    </row>
    <row r="761" ht="14.25" customHeight="1">
      <c r="B761" s="22"/>
      <c r="C761" s="22"/>
      <c r="M761" s="88"/>
      <c r="N761" s="31"/>
      <c r="O761" s="159"/>
      <c r="P761" s="124"/>
      <c r="Q761" s="124"/>
      <c r="R761" s="117"/>
    </row>
    <row r="762" ht="14.25" customHeight="1">
      <c r="B762" s="22"/>
      <c r="C762" s="22"/>
      <c r="M762" s="88"/>
      <c r="N762" s="31"/>
      <c r="O762" s="159"/>
      <c r="P762" s="124"/>
      <c r="Q762" s="124"/>
      <c r="R762" s="117"/>
    </row>
    <row r="763" ht="14.25" customHeight="1">
      <c r="B763" s="22"/>
      <c r="C763" s="22"/>
      <c r="M763" s="88"/>
      <c r="N763" s="31"/>
      <c r="O763" s="159"/>
      <c r="P763" s="124"/>
      <c r="Q763" s="124"/>
      <c r="R763" s="117"/>
    </row>
    <row r="764" ht="14.25" customHeight="1">
      <c r="B764" s="22"/>
      <c r="C764" s="22"/>
      <c r="M764" s="88"/>
      <c r="N764" s="31"/>
      <c r="O764" s="159"/>
      <c r="P764" s="124"/>
      <c r="Q764" s="124"/>
      <c r="R764" s="117"/>
    </row>
    <row r="765" ht="14.25" customHeight="1">
      <c r="B765" s="22"/>
      <c r="C765" s="22"/>
      <c r="M765" s="88"/>
      <c r="N765" s="31"/>
      <c r="O765" s="159"/>
      <c r="P765" s="124"/>
      <c r="Q765" s="124"/>
      <c r="R765" s="117"/>
    </row>
    <row r="766" ht="14.25" customHeight="1">
      <c r="B766" s="22"/>
      <c r="C766" s="22"/>
      <c r="M766" s="88"/>
      <c r="N766" s="31"/>
      <c r="O766" s="159"/>
      <c r="P766" s="124"/>
      <c r="Q766" s="124"/>
      <c r="R766" s="117"/>
    </row>
    <row r="767" ht="14.25" customHeight="1">
      <c r="B767" s="22"/>
      <c r="C767" s="22"/>
      <c r="M767" s="88"/>
      <c r="N767" s="31"/>
      <c r="O767" s="159"/>
      <c r="P767" s="124"/>
      <c r="Q767" s="124"/>
      <c r="R767" s="117"/>
    </row>
    <row r="768" ht="14.25" customHeight="1">
      <c r="B768" s="22"/>
      <c r="C768" s="22"/>
      <c r="M768" s="88"/>
      <c r="N768" s="31"/>
      <c r="O768" s="159"/>
      <c r="P768" s="124"/>
      <c r="Q768" s="124"/>
      <c r="R768" s="117"/>
    </row>
    <row r="769" ht="14.25" customHeight="1">
      <c r="B769" s="22"/>
      <c r="C769" s="22"/>
      <c r="M769" s="88"/>
      <c r="N769" s="31"/>
      <c r="O769" s="159"/>
      <c r="P769" s="124"/>
      <c r="Q769" s="124"/>
      <c r="R769" s="117"/>
    </row>
    <row r="770" ht="14.25" customHeight="1">
      <c r="B770" s="22"/>
      <c r="C770" s="22"/>
      <c r="M770" s="88"/>
      <c r="N770" s="31"/>
      <c r="O770" s="159"/>
      <c r="P770" s="124"/>
      <c r="Q770" s="124"/>
      <c r="R770" s="117"/>
    </row>
    <row r="771" ht="14.25" customHeight="1">
      <c r="B771" s="22"/>
      <c r="C771" s="22"/>
      <c r="M771" s="88"/>
      <c r="N771" s="31"/>
      <c r="O771" s="159"/>
      <c r="P771" s="124"/>
      <c r="Q771" s="124"/>
      <c r="R771" s="117"/>
    </row>
    <row r="772" ht="14.25" customHeight="1">
      <c r="B772" s="22"/>
      <c r="C772" s="22"/>
      <c r="M772" s="88"/>
      <c r="N772" s="31"/>
      <c r="O772" s="159"/>
      <c r="P772" s="124"/>
      <c r="Q772" s="124"/>
      <c r="R772" s="117"/>
    </row>
    <row r="773" ht="14.25" customHeight="1">
      <c r="B773" s="22"/>
      <c r="C773" s="22"/>
      <c r="M773" s="88"/>
      <c r="N773" s="31"/>
      <c r="O773" s="159"/>
      <c r="P773" s="124"/>
      <c r="Q773" s="124"/>
      <c r="R773" s="117"/>
    </row>
    <row r="774" ht="14.25" customHeight="1">
      <c r="B774" s="22"/>
      <c r="C774" s="22"/>
      <c r="M774" s="88"/>
      <c r="N774" s="31"/>
      <c r="O774" s="159"/>
      <c r="P774" s="124"/>
      <c r="Q774" s="124"/>
      <c r="R774" s="117"/>
    </row>
    <row r="775" ht="14.25" customHeight="1">
      <c r="B775" s="22"/>
      <c r="C775" s="22"/>
      <c r="M775" s="88"/>
      <c r="N775" s="31"/>
      <c r="O775" s="159"/>
      <c r="P775" s="124"/>
      <c r="Q775" s="124"/>
      <c r="R775" s="117"/>
    </row>
    <row r="776" ht="14.25" customHeight="1">
      <c r="B776" s="22"/>
      <c r="C776" s="22"/>
      <c r="M776" s="88"/>
      <c r="N776" s="31"/>
      <c r="O776" s="159"/>
      <c r="P776" s="124"/>
      <c r="Q776" s="124"/>
      <c r="R776" s="117"/>
    </row>
    <row r="777" ht="14.25" customHeight="1">
      <c r="B777" s="22"/>
      <c r="C777" s="22"/>
      <c r="M777" s="88"/>
      <c r="N777" s="31"/>
      <c r="O777" s="159"/>
      <c r="P777" s="124"/>
      <c r="Q777" s="124"/>
      <c r="R777" s="117"/>
    </row>
    <row r="778" ht="14.25" customHeight="1">
      <c r="B778" s="22"/>
      <c r="C778" s="22"/>
      <c r="M778" s="88"/>
      <c r="N778" s="31"/>
      <c r="O778" s="159"/>
      <c r="P778" s="124"/>
      <c r="Q778" s="124"/>
      <c r="R778" s="117"/>
    </row>
    <row r="779" ht="14.25" customHeight="1">
      <c r="B779" s="22"/>
      <c r="C779" s="22"/>
      <c r="M779" s="88"/>
      <c r="N779" s="31"/>
      <c r="O779" s="159"/>
      <c r="P779" s="124"/>
      <c r="Q779" s="124"/>
      <c r="R779" s="117"/>
    </row>
    <row r="780" ht="14.25" customHeight="1">
      <c r="B780" s="22"/>
      <c r="C780" s="22"/>
      <c r="M780" s="88"/>
      <c r="N780" s="31"/>
      <c r="O780" s="159"/>
      <c r="P780" s="124"/>
      <c r="Q780" s="124"/>
      <c r="R780" s="117"/>
    </row>
    <row r="781" ht="14.25" customHeight="1">
      <c r="B781" s="22"/>
      <c r="C781" s="22"/>
      <c r="M781" s="88"/>
      <c r="N781" s="31"/>
      <c r="O781" s="159"/>
      <c r="P781" s="124"/>
      <c r="Q781" s="124"/>
      <c r="R781" s="117"/>
    </row>
    <row r="782" ht="14.25" customHeight="1">
      <c r="B782" s="22"/>
      <c r="C782" s="22"/>
      <c r="M782" s="88"/>
      <c r="N782" s="31"/>
      <c r="O782" s="159"/>
      <c r="P782" s="124"/>
      <c r="Q782" s="124"/>
      <c r="R782" s="117"/>
    </row>
    <row r="783" ht="14.25" customHeight="1">
      <c r="B783" s="22"/>
      <c r="C783" s="22"/>
      <c r="M783" s="88"/>
      <c r="N783" s="31"/>
      <c r="O783" s="159"/>
      <c r="P783" s="124"/>
      <c r="Q783" s="124"/>
      <c r="R783" s="117"/>
    </row>
    <row r="784" ht="14.25" customHeight="1">
      <c r="B784" s="22"/>
      <c r="C784" s="22"/>
      <c r="M784" s="88"/>
      <c r="N784" s="31"/>
      <c r="O784" s="159"/>
      <c r="P784" s="124"/>
      <c r="Q784" s="124"/>
      <c r="R784" s="117"/>
    </row>
    <row r="785" ht="14.25" customHeight="1">
      <c r="B785" s="22"/>
      <c r="C785" s="22"/>
      <c r="M785" s="88"/>
      <c r="N785" s="31"/>
      <c r="O785" s="159"/>
      <c r="P785" s="124"/>
      <c r="Q785" s="124"/>
      <c r="R785" s="117"/>
    </row>
    <row r="786" ht="14.25" customHeight="1">
      <c r="B786" s="22"/>
      <c r="C786" s="22"/>
      <c r="M786" s="88"/>
      <c r="N786" s="31"/>
      <c r="O786" s="159"/>
      <c r="P786" s="124"/>
      <c r="Q786" s="124"/>
      <c r="R786" s="117"/>
    </row>
    <row r="787" ht="14.25" customHeight="1">
      <c r="B787" s="22"/>
      <c r="C787" s="22"/>
      <c r="M787" s="88"/>
      <c r="N787" s="31"/>
      <c r="O787" s="159"/>
      <c r="P787" s="124"/>
      <c r="Q787" s="124"/>
      <c r="R787" s="117"/>
    </row>
    <row r="788" ht="14.25" customHeight="1">
      <c r="B788" s="22"/>
      <c r="C788" s="22"/>
      <c r="M788" s="88"/>
      <c r="N788" s="31"/>
      <c r="O788" s="159"/>
      <c r="P788" s="124"/>
      <c r="Q788" s="124"/>
      <c r="R788" s="117"/>
    </row>
    <row r="789" ht="14.25" customHeight="1">
      <c r="B789" s="22"/>
      <c r="C789" s="22"/>
      <c r="M789" s="88"/>
      <c r="N789" s="31"/>
      <c r="O789" s="159"/>
      <c r="P789" s="124"/>
      <c r="Q789" s="124"/>
      <c r="R789" s="117"/>
    </row>
    <row r="790" ht="14.25" customHeight="1">
      <c r="B790" s="22"/>
      <c r="C790" s="22"/>
      <c r="M790" s="88"/>
      <c r="N790" s="31"/>
      <c r="O790" s="159"/>
      <c r="P790" s="124"/>
      <c r="Q790" s="124"/>
      <c r="R790" s="117"/>
    </row>
    <row r="791" ht="14.25" customHeight="1">
      <c r="B791" s="22"/>
      <c r="C791" s="22"/>
      <c r="M791" s="88"/>
      <c r="N791" s="31"/>
      <c r="O791" s="159"/>
      <c r="P791" s="124"/>
      <c r="Q791" s="124"/>
      <c r="R791" s="117"/>
    </row>
    <row r="792" ht="14.25" customHeight="1">
      <c r="B792" s="22"/>
      <c r="C792" s="22"/>
      <c r="M792" s="88"/>
      <c r="N792" s="31"/>
      <c r="O792" s="159"/>
      <c r="P792" s="124"/>
      <c r="Q792" s="124"/>
      <c r="R792" s="117"/>
    </row>
    <row r="793" ht="14.25" customHeight="1">
      <c r="B793" s="22"/>
      <c r="C793" s="22"/>
      <c r="M793" s="88"/>
      <c r="N793" s="31"/>
      <c r="O793" s="159"/>
      <c r="P793" s="124"/>
      <c r="Q793" s="124"/>
      <c r="R793" s="117"/>
    </row>
    <row r="794" ht="14.25" customHeight="1">
      <c r="B794" s="22"/>
      <c r="C794" s="22"/>
      <c r="M794" s="88"/>
      <c r="N794" s="31"/>
      <c r="O794" s="159"/>
      <c r="P794" s="124"/>
      <c r="Q794" s="124"/>
      <c r="R794" s="117"/>
    </row>
    <row r="795" ht="14.25" customHeight="1">
      <c r="B795" s="22"/>
      <c r="C795" s="22"/>
      <c r="M795" s="88"/>
      <c r="N795" s="31"/>
      <c r="O795" s="159"/>
      <c r="P795" s="124"/>
      <c r="Q795" s="124"/>
      <c r="R795" s="117"/>
    </row>
    <row r="796" ht="14.25" customHeight="1">
      <c r="B796" s="22"/>
      <c r="C796" s="22"/>
      <c r="M796" s="88"/>
      <c r="N796" s="31"/>
      <c r="O796" s="159"/>
      <c r="P796" s="124"/>
      <c r="Q796" s="124"/>
      <c r="R796" s="117"/>
    </row>
    <row r="797" ht="14.25" customHeight="1">
      <c r="B797" s="22"/>
      <c r="C797" s="22"/>
      <c r="M797" s="88"/>
      <c r="N797" s="31"/>
      <c r="O797" s="159"/>
      <c r="P797" s="124"/>
      <c r="Q797" s="124"/>
      <c r="R797" s="117"/>
    </row>
    <row r="798" ht="14.25" customHeight="1">
      <c r="B798" s="22"/>
      <c r="C798" s="22"/>
      <c r="M798" s="88"/>
      <c r="N798" s="31"/>
      <c r="O798" s="159"/>
      <c r="P798" s="124"/>
      <c r="Q798" s="124"/>
      <c r="R798" s="117"/>
    </row>
    <row r="799" ht="14.25" customHeight="1">
      <c r="B799" s="22"/>
      <c r="C799" s="22"/>
      <c r="M799" s="88"/>
      <c r="N799" s="31"/>
      <c r="O799" s="159"/>
      <c r="P799" s="124"/>
      <c r="Q799" s="124"/>
      <c r="R799" s="117"/>
    </row>
    <row r="800" ht="14.25" customHeight="1">
      <c r="B800" s="22"/>
      <c r="C800" s="22"/>
      <c r="M800" s="88"/>
      <c r="N800" s="31"/>
      <c r="O800" s="159"/>
      <c r="P800" s="124"/>
      <c r="Q800" s="124"/>
      <c r="R800" s="117"/>
    </row>
    <row r="801" ht="14.25" customHeight="1">
      <c r="B801" s="22"/>
      <c r="C801" s="22"/>
      <c r="M801" s="88"/>
      <c r="N801" s="31"/>
      <c r="O801" s="159"/>
      <c r="P801" s="124"/>
      <c r="Q801" s="124"/>
      <c r="R801" s="117"/>
    </row>
    <row r="802" ht="14.25" customHeight="1">
      <c r="B802" s="22"/>
      <c r="C802" s="22"/>
      <c r="M802" s="88"/>
      <c r="N802" s="31"/>
      <c r="O802" s="159"/>
      <c r="P802" s="124"/>
      <c r="Q802" s="124"/>
      <c r="R802" s="117"/>
    </row>
    <row r="803" ht="14.25" customHeight="1">
      <c r="B803" s="22"/>
      <c r="C803" s="22"/>
      <c r="M803" s="88"/>
      <c r="N803" s="31"/>
      <c r="O803" s="159"/>
      <c r="P803" s="124"/>
      <c r="Q803" s="124"/>
      <c r="R803" s="117"/>
    </row>
    <row r="804" ht="14.25" customHeight="1">
      <c r="B804" s="22"/>
      <c r="C804" s="22"/>
      <c r="M804" s="88"/>
      <c r="N804" s="31"/>
      <c r="O804" s="159"/>
      <c r="P804" s="124"/>
      <c r="Q804" s="124"/>
      <c r="R804" s="117"/>
    </row>
    <row r="805" ht="14.25" customHeight="1">
      <c r="B805" s="22"/>
      <c r="C805" s="22"/>
      <c r="M805" s="88"/>
      <c r="N805" s="31"/>
      <c r="O805" s="159"/>
      <c r="P805" s="124"/>
      <c r="Q805" s="124"/>
      <c r="R805" s="117"/>
    </row>
    <row r="806" ht="14.25" customHeight="1">
      <c r="B806" s="22"/>
      <c r="C806" s="22"/>
      <c r="M806" s="88"/>
      <c r="N806" s="31"/>
      <c r="O806" s="159"/>
      <c r="P806" s="124"/>
      <c r="Q806" s="124"/>
      <c r="R806" s="117"/>
    </row>
    <row r="807" ht="14.25" customHeight="1">
      <c r="B807" s="22"/>
      <c r="C807" s="22"/>
      <c r="M807" s="88"/>
      <c r="N807" s="31"/>
      <c r="O807" s="159"/>
      <c r="P807" s="124"/>
      <c r="Q807" s="124"/>
      <c r="R807" s="117"/>
    </row>
    <row r="808" ht="14.25" customHeight="1">
      <c r="B808" s="22"/>
      <c r="C808" s="22"/>
      <c r="M808" s="88"/>
      <c r="N808" s="31"/>
      <c r="O808" s="159"/>
      <c r="P808" s="124"/>
      <c r="Q808" s="124"/>
      <c r="R808" s="117"/>
    </row>
    <row r="809" ht="14.25" customHeight="1">
      <c r="B809" s="22"/>
      <c r="C809" s="22"/>
      <c r="M809" s="88"/>
      <c r="N809" s="31"/>
      <c r="O809" s="159"/>
      <c r="P809" s="124"/>
      <c r="Q809" s="124"/>
      <c r="R809" s="117"/>
    </row>
    <row r="810" ht="14.25" customHeight="1">
      <c r="B810" s="22"/>
      <c r="C810" s="22"/>
      <c r="M810" s="88"/>
      <c r="N810" s="31"/>
      <c r="O810" s="159"/>
      <c r="P810" s="124"/>
      <c r="Q810" s="124"/>
      <c r="R810" s="117"/>
    </row>
    <row r="811" ht="14.25" customHeight="1">
      <c r="B811" s="22"/>
      <c r="C811" s="22"/>
      <c r="M811" s="88"/>
      <c r="N811" s="31"/>
      <c r="O811" s="159"/>
      <c r="P811" s="124"/>
      <c r="Q811" s="124"/>
      <c r="R811" s="117"/>
    </row>
    <row r="812" ht="14.25" customHeight="1">
      <c r="B812" s="22"/>
      <c r="C812" s="22"/>
      <c r="M812" s="88"/>
      <c r="N812" s="31"/>
      <c r="O812" s="159"/>
      <c r="P812" s="124"/>
      <c r="Q812" s="124"/>
      <c r="R812" s="117"/>
    </row>
    <row r="813" ht="14.25" customHeight="1">
      <c r="B813" s="22"/>
      <c r="C813" s="22"/>
      <c r="M813" s="88"/>
      <c r="N813" s="31"/>
      <c r="O813" s="159"/>
      <c r="P813" s="124"/>
      <c r="Q813" s="124"/>
      <c r="R813" s="117"/>
    </row>
    <row r="814" ht="14.25" customHeight="1">
      <c r="B814" s="22"/>
      <c r="C814" s="22"/>
      <c r="M814" s="88"/>
      <c r="N814" s="31"/>
      <c r="O814" s="159"/>
      <c r="P814" s="124"/>
      <c r="Q814" s="124"/>
      <c r="R814" s="117"/>
    </row>
    <row r="815" ht="14.25" customHeight="1">
      <c r="B815" s="22"/>
      <c r="C815" s="22"/>
      <c r="M815" s="88"/>
      <c r="N815" s="31"/>
      <c r="O815" s="159"/>
      <c r="P815" s="124"/>
      <c r="Q815" s="124"/>
      <c r="R815" s="117"/>
    </row>
    <row r="816" ht="14.25" customHeight="1">
      <c r="B816" s="22"/>
      <c r="C816" s="22"/>
      <c r="M816" s="88"/>
      <c r="N816" s="31"/>
      <c r="O816" s="159"/>
      <c r="P816" s="124"/>
      <c r="Q816" s="124"/>
      <c r="R816" s="117"/>
    </row>
    <row r="817" ht="14.25" customHeight="1">
      <c r="B817" s="22"/>
      <c r="C817" s="22"/>
      <c r="M817" s="88"/>
      <c r="N817" s="31"/>
      <c r="O817" s="159"/>
      <c r="P817" s="124"/>
      <c r="Q817" s="124"/>
      <c r="R817" s="117"/>
    </row>
    <row r="818" ht="14.25" customHeight="1">
      <c r="B818" s="22"/>
      <c r="C818" s="22"/>
      <c r="M818" s="88"/>
      <c r="N818" s="31"/>
      <c r="O818" s="159"/>
      <c r="P818" s="124"/>
      <c r="Q818" s="124"/>
      <c r="R818" s="117"/>
    </row>
    <row r="819" ht="14.25" customHeight="1">
      <c r="B819" s="22"/>
      <c r="C819" s="22"/>
      <c r="M819" s="88"/>
      <c r="N819" s="31"/>
      <c r="O819" s="159"/>
      <c r="P819" s="124"/>
      <c r="Q819" s="124"/>
      <c r="R819" s="117"/>
    </row>
    <row r="820" ht="14.25" customHeight="1">
      <c r="B820" s="22"/>
      <c r="C820" s="22"/>
      <c r="M820" s="88"/>
      <c r="N820" s="31"/>
      <c r="O820" s="159"/>
      <c r="P820" s="124"/>
      <c r="Q820" s="124"/>
      <c r="R820" s="117"/>
    </row>
    <row r="821" ht="14.25" customHeight="1">
      <c r="B821" s="22"/>
      <c r="C821" s="22"/>
      <c r="M821" s="88"/>
      <c r="N821" s="31"/>
      <c r="O821" s="159"/>
      <c r="P821" s="124"/>
      <c r="Q821" s="124"/>
      <c r="R821" s="117"/>
    </row>
    <row r="822" ht="14.25" customHeight="1">
      <c r="B822" s="22"/>
      <c r="C822" s="22"/>
      <c r="M822" s="88"/>
      <c r="N822" s="31"/>
      <c r="O822" s="159"/>
      <c r="P822" s="124"/>
      <c r="Q822" s="124"/>
      <c r="R822" s="117"/>
    </row>
    <row r="823" ht="14.25" customHeight="1">
      <c r="B823" s="22"/>
      <c r="C823" s="22"/>
      <c r="M823" s="88"/>
      <c r="N823" s="31"/>
      <c r="O823" s="159"/>
      <c r="P823" s="124"/>
      <c r="Q823" s="124"/>
      <c r="R823" s="117"/>
    </row>
    <row r="824" ht="14.25" customHeight="1">
      <c r="B824" s="22"/>
      <c r="C824" s="22"/>
      <c r="M824" s="88"/>
      <c r="N824" s="31"/>
      <c r="O824" s="159"/>
      <c r="P824" s="124"/>
      <c r="Q824" s="124"/>
      <c r="R824" s="117"/>
    </row>
    <row r="825" ht="14.25" customHeight="1">
      <c r="B825" s="22"/>
      <c r="C825" s="22"/>
      <c r="M825" s="88"/>
      <c r="N825" s="31"/>
      <c r="O825" s="159"/>
      <c r="P825" s="124"/>
      <c r="Q825" s="124"/>
      <c r="R825" s="117"/>
    </row>
    <row r="826" ht="14.25" customHeight="1">
      <c r="B826" s="22"/>
      <c r="C826" s="22"/>
      <c r="M826" s="88"/>
      <c r="N826" s="31"/>
      <c r="O826" s="159"/>
      <c r="P826" s="124"/>
      <c r="Q826" s="124"/>
      <c r="R826" s="117"/>
    </row>
    <row r="827" ht="14.25" customHeight="1">
      <c r="B827" s="22"/>
      <c r="C827" s="22"/>
      <c r="M827" s="88"/>
      <c r="N827" s="31"/>
      <c r="O827" s="159"/>
      <c r="P827" s="124"/>
      <c r="Q827" s="124"/>
      <c r="R827" s="117"/>
    </row>
    <row r="828" ht="14.25" customHeight="1">
      <c r="B828" s="22"/>
      <c r="C828" s="22"/>
      <c r="M828" s="88"/>
      <c r="N828" s="31"/>
      <c r="O828" s="159"/>
      <c r="P828" s="124"/>
      <c r="Q828" s="124"/>
      <c r="R828" s="117"/>
    </row>
    <row r="829" ht="14.25" customHeight="1">
      <c r="B829" s="22"/>
      <c r="C829" s="22"/>
      <c r="M829" s="88"/>
      <c r="N829" s="31"/>
      <c r="O829" s="159"/>
      <c r="P829" s="124"/>
      <c r="Q829" s="124"/>
      <c r="R829" s="117"/>
    </row>
    <row r="830" ht="14.25" customHeight="1">
      <c r="B830" s="22"/>
      <c r="C830" s="22"/>
      <c r="M830" s="88"/>
      <c r="N830" s="31"/>
      <c r="O830" s="159"/>
      <c r="P830" s="124"/>
      <c r="Q830" s="124"/>
      <c r="R830" s="117"/>
    </row>
    <row r="831" ht="14.25" customHeight="1">
      <c r="B831" s="22"/>
      <c r="C831" s="22"/>
      <c r="M831" s="88"/>
      <c r="N831" s="31"/>
      <c r="O831" s="159"/>
      <c r="P831" s="124"/>
      <c r="Q831" s="124"/>
      <c r="R831" s="117"/>
    </row>
    <row r="832" ht="14.25" customHeight="1">
      <c r="B832" s="22"/>
      <c r="C832" s="22"/>
      <c r="M832" s="88"/>
      <c r="N832" s="31"/>
      <c r="O832" s="159"/>
      <c r="P832" s="124"/>
      <c r="Q832" s="124"/>
      <c r="R832" s="117"/>
    </row>
    <row r="833" ht="14.25" customHeight="1">
      <c r="B833" s="22"/>
      <c r="C833" s="22"/>
      <c r="M833" s="88"/>
      <c r="N833" s="31"/>
      <c r="O833" s="159"/>
      <c r="P833" s="124"/>
      <c r="Q833" s="124"/>
      <c r="R833" s="117"/>
    </row>
    <row r="834" ht="14.25" customHeight="1">
      <c r="B834" s="22"/>
      <c r="C834" s="22"/>
      <c r="M834" s="88"/>
      <c r="N834" s="31"/>
      <c r="O834" s="159"/>
      <c r="P834" s="124"/>
      <c r="Q834" s="124"/>
      <c r="R834" s="117"/>
    </row>
    <row r="835" ht="14.25" customHeight="1">
      <c r="B835" s="22"/>
      <c r="C835" s="22"/>
      <c r="M835" s="88"/>
      <c r="N835" s="31"/>
      <c r="O835" s="159"/>
      <c r="P835" s="124"/>
      <c r="Q835" s="124"/>
      <c r="R835" s="117"/>
    </row>
    <row r="836" ht="14.25" customHeight="1">
      <c r="B836" s="22"/>
      <c r="C836" s="22"/>
      <c r="M836" s="88"/>
      <c r="N836" s="31"/>
      <c r="O836" s="159"/>
      <c r="P836" s="124"/>
      <c r="Q836" s="124"/>
      <c r="R836" s="117"/>
    </row>
    <row r="837" ht="14.25" customHeight="1">
      <c r="B837" s="22"/>
      <c r="C837" s="22"/>
      <c r="M837" s="88"/>
      <c r="N837" s="31"/>
      <c r="O837" s="159"/>
      <c r="P837" s="124"/>
      <c r="Q837" s="124"/>
      <c r="R837" s="117"/>
    </row>
    <row r="838" ht="14.25" customHeight="1">
      <c r="B838" s="22"/>
      <c r="C838" s="22"/>
      <c r="M838" s="88"/>
      <c r="N838" s="31"/>
      <c r="O838" s="159"/>
      <c r="P838" s="124"/>
      <c r="Q838" s="124"/>
      <c r="R838" s="117"/>
    </row>
    <row r="839" ht="14.25" customHeight="1">
      <c r="B839" s="22"/>
      <c r="C839" s="22"/>
      <c r="M839" s="88"/>
      <c r="N839" s="31"/>
      <c r="O839" s="159"/>
      <c r="P839" s="124"/>
      <c r="Q839" s="124"/>
      <c r="R839" s="117"/>
    </row>
    <row r="840" ht="14.25" customHeight="1">
      <c r="B840" s="22"/>
      <c r="C840" s="22"/>
      <c r="M840" s="88"/>
      <c r="N840" s="31"/>
      <c r="O840" s="159"/>
      <c r="P840" s="124"/>
      <c r="Q840" s="124"/>
      <c r="R840" s="117"/>
    </row>
    <row r="841" ht="14.25" customHeight="1">
      <c r="B841" s="22"/>
      <c r="C841" s="22"/>
      <c r="M841" s="88"/>
      <c r="N841" s="31"/>
      <c r="O841" s="159"/>
      <c r="P841" s="124"/>
      <c r="Q841" s="124"/>
      <c r="R841" s="117"/>
    </row>
    <row r="842" ht="14.25" customHeight="1">
      <c r="B842" s="22"/>
      <c r="C842" s="22"/>
      <c r="M842" s="88"/>
      <c r="N842" s="31"/>
      <c r="O842" s="159"/>
      <c r="P842" s="124"/>
      <c r="Q842" s="124"/>
      <c r="R842" s="117"/>
    </row>
    <row r="843" ht="14.25" customHeight="1">
      <c r="B843" s="22"/>
      <c r="C843" s="22"/>
      <c r="M843" s="88"/>
      <c r="N843" s="31"/>
      <c r="O843" s="159"/>
      <c r="P843" s="124"/>
      <c r="Q843" s="124"/>
      <c r="R843" s="117"/>
    </row>
    <row r="844" ht="14.25" customHeight="1">
      <c r="B844" s="22"/>
      <c r="C844" s="22"/>
      <c r="M844" s="88"/>
      <c r="N844" s="31"/>
      <c r="O844" s="159"/>
      <c r="P844" s="124"/>
      <c r="Q844" s="124"/>
      <c r="R844" s="117"/>
    </row>
    <row r="845" ht="14.25" customHeight="1">
      <c r="B845" s="22"/>
      <c r="C845" s="22"/>
      <c r="M845" s="88"/>
      <c r="N845" s="31"/>
      <c r="O845" s="159"/>
      <c r="P845" s="124"/>
      <c r="Q845" s="124"/>
      <c r="R845" s="117"/>
    </row>
    <row r="846" ht="14.25" customHeight="1">
      <c r="B846" s="22"/>
      <c r="C846" s="22"/>
      <c r="M846" s="88"/>
      <c r="N846" s="31"/>
      <c r="O846" s="159"/>
      <c r="P846" s="124"/>
      <c r="Q846" s="124"/>
      <c r="R846" s="117"/>
    </row>
    <row r="847" ht="14.25" customHeight="1">
      <c r="B847" s="22"/>
      <c r="C847" s="22"/>
      <c r="M847" s="88"/>
      <c r="N847" s="31"/>
      <c r="O847" s="159"/>
      <c r="P847" s="124"/>
      <c r="Q847" s="124"/>
      <c r="R847" s="117"/>
    </row>
    <row r="848" ht="14.25" customHeight="1">
      <c r="B848" s="22"/>
      <c r="C848" s="22"/>
      <c r="M848" s="88"/>
      <c r="N848" s="31"/>
      <c r="O848" s="159"/>
      <c r="P848" s="124"/>
      <c r="Q848" s="124"/>
      <c r="R848" s="117"/>
    </row>
    <row r="849" ht="14.25" customHeight="1">
      <c r="B849" s="22"/>
      <c r="C849" s="22"/>
      <c r="M849" s="88"/>
      <c r="N849" s="31"/>
      <c r="O849" s="159"/>
      <c r="P849" s="124"/>
      <c r="Q849" s="124"/>
      <c r="R849" s="117"/>
    </row>
    <row r="850" ht="14.25" customHeight="1">
      <c r="B850" s="22"/>
      <c r="C850" s="22"/>
      <c r="M850" s="88"/>
      <c r="N850" s="31"/>
      <c r="O850" s="159"/>
      <c r="P850" s="124"/>
      <c r="Q850" s="124"/>
      <c r="R850" s="117"/>
    </row>
    <row r="851" ht="14.25" customHeight="1">
      <c r="B851" s="22"/>
      <c r="C851" s="22"/>
      <c r="M851" s="88"/>
      <c r="N851" s="31"/>
      <c r="O851" s="159"/>
      <c r="P851" s="124"/>
      <c r="Q851" s="124"/>
      <c r="R851" s="117"/>
    </row>
    <row r="852" ht="14.25" customHeight="1">
      <c r="B852" s="22"/>
      <c r="C852" s="22"/>
      <c r="M852" s="88"/>
      <c r="N852" s="31"/>
      <c r="O852" s="159"/>
      <c r="P852" s="124"/>
      <c r="Q852" s="124"/>
      <c r="R852" s="117"/>
    </row>
    <row r="853" ht="14.25" customHeight="1">
      <c r="B853" s="22"/>
      <c r="C853" s="22"/>
      <c r="M853" s="88"/>
      <c r="N853" s="31"/>
      <c r="O853" s="159"/>
      <c r="P853" s="124"/>
      <c r="Q853" s="124"/>
      <c r="R853" s="117"/>
    </row>
    <row r="854" ht="14.25" customHeight="1">
      <c r="B854" s="22"/>
      <c r="C854" s="22"/>
      <c r="M854" s="88"/>
      <c r="N854" s="31"/>
      <c r="O854" s="159"/>
      <c r="P854" s="124"/>
      <c r="Q854" s="124"/>
      <c r="R854" s="117"/>
    </row>
    <row r="855" ht="14.25" customHeight="1">
      <c r="B855" s="22"/>
      <c r="C855" s="22"/>
      <c r="M855" s="88"/>
      <c r="N855" s="31"/>
      <c r="O855" s="159"/>
      <c r="P855" s="124"/>
      <c r="Q855" s="124"/>
      <c r="R855" s="117"/>
    </row>
    <row r="856" ht="14.25" customHeight="1">
      <c r="B856" s="22"/>
      <c r="C856" s="22"/>
      <c r="M856" s="88"/>
      <c r="N856" s="31"/>
      <c r="O856" s="159"/>
      <c r="P856" s="124"/>
      <c r="Q856" s="124"/>
      <c r="R856" s="117"/>
    </row>
    <row r="857" ht="14.25" customHeight="1">
      <c r="B857" s="22"/>
      <c r="C857" s="22"/>
      <c r="M857" s="88"/>
      <c r="N857" s="31"/>
      <c r="O857" s="159"/>
      <c r="P857" s="124"/>
      <c r="Q857" s="124"/>
      <c r="R857" s="117"/>
    </row>
    <row r="858" ht="14.25" customHeight="1">
      <c r="B858" s="22"/>
      <c r="C858" s="22"/>
      <c r="M858" s="88"/>
      <c r="N858" s="31"/>
      <c r="O858" s="159"/>
      <c r="P858" s="124"/>
      <c r="Q858" s="124"/>
      <c r="R858" s="117"/>
    </row>
    <row r="859" ht="14.25" customHeight="1">
      <c r="B859" s="22"/>
      <c r="C859" s="22"/>
      <c r="M859" s="88"/>
      <c r="N859" s="31"/>
      <c r="O859" s="159"/>
      <c r="P859" s="124"/>
      <c r="Q859" s="124"/>
      <c r="R859" s="117"/>
    </row>
    <row r="860" ht="14.25" customHeight="1">
      <c r="B860" s="22"/>
      <c r="C860" s="22"/>
      <c r="M860" s="88"/>
      <c r="N860" s="31"/>
      <c r="O860" s="159"/>
      <c r="P860" s="124"/>
      <c r="Q860" s="124"/>
      <c r="R860" s="117"/>
    </row>
    <row r="861" ht="14.25" customHeight="1">
      <c r="B861" s="22"/>
      <c r="C861" s="22"/>
      <c r="M861" s="88"/>
      <c r="N861" s="31"/>
      <c r="O861" s="159"/>
      <c r="P861" s="124"/>
      <c r="Q861" s="124"/>
      <c r="R861" s="117"/>
    </row>
    <row r="862" ht="14.25" customHeight="1">
      <c r="B862" s="22"/>
      <c r="C862" s="22"/>
      <c r="M862" s="88"/>
      <c r="N862" s="31"/>
      <c r="O862" s="159"/>
      <c r="P862" s="124"/>
      <c r="Q862" s="124"/>
      <c r="R862" s="117"/>
    </row>
    <row r="863" ht="14.25" customHeight="1">
      <c r="B863" s="22"/>
      <c r="C863" s="22"/>
      <c r="M863" s="88"/>
      <c r="N863" s="31"/>
      <c r="O863" s="159"/>
      <c r="P863" s="124"/>
      <c r="Q863" s="124"/>
      <c r="R863" s="117"/>
    </row>
    <row r="864" ht="14.25" customHeight="1">
      <c r="B864" s="22"/>
      <c r="C864" s="22"/>
      <c r="M864" s="88"/>
      <c r="N864" s="31"/>
      <c r="O864" s="159"/>
      <c r="P864" s="124"/>
      <c r="Q864" s="124"/>
      <c r="R864" s="117"/>
    </row>
    <row r="865" ht="14.25" customHeight="1">
      <c r="B865" s="22"/>
      <c r="C865" s="22"/>
      <c r="M865" s="88"/>
      <c r="N865" s="31"/>
      <c r="O865" s="159"/>
      <c r="P865" s="124"/>
      <c r="Q865" s="124"/>
      <c r="R865" s="117"/>
    </row>
    <row r="866" ht="14.25" customHeight="1">
      <c r="B866" s="22"/>
      <c r="C866" s="22"/>
      <c r="M866" s="88"/>
      <c r="N866" s="31"/>
      <c r="O866" s="159"/>
      <c r="P866" s="124"/>
      <c r="Q866" s="124"/>
      <c r="R866" s="117"/>
    </row>
    <row r="867" ht="14.25" customHeight="1">
      <c r="B867" s="22"/>
      <c r="C867" s="22"/>
      <c r="M867" s="88"/>
      <c r="N867" s="31"/>
      <c r="O867" s="159"/>
      <c r="P867" s="124"/>
      <c r="Q867" s="124"/>
      <c r="R867" s="117"/>
    </row>
    <row r="868" ht="14.25" customHeight="1">
      <c r="B868" s="22"/>
      <c r="C868" s="22"/>
      <c r="M868" s="88"/>
      <c r="N868" s="31"/>
      <c r="O868" s="159"/>
      <c r="P868" s="124"/>
      <c r="Q868" s="124"/>
      <c r="R868" s="117"/>
    </row>
    <row r="869" ht="14.25" customHeight="1">
      <c r="B869" s="22"/>
      <c r="C869" s="22"/>
      <c r="M869" s="88"/>
      <c r="N869" s="31"/>
      <c r="O869" s="159"/>
      <c r="P869" s="124"/>
      <c r="Q869" s="124"/>
      <c r="R869" s="117"/>
    </row>
    <row r="870" ht="14.25" customHeight="1">
      <c r="B870" s="22"/>
      <c r="C870" s="22"/>
      <c r="M870" s="88"/>
      <c r="N870" s="31"/>
      <c r="O870" s="159"/>
      <c r="P870" s="124"/>
      <c r="Q870" s="124"/>
      <c r="R870" s="117"/>
    </row>
    <row r="871" ht="14.25" customHeight="1">
      <c r="B871" s="22"/>
      <c r="C871" s="22"/>
      <c r="M871" s="88"/>
      <c r="N871" s="31"/>
      <c r="O871" s="159"/>
      <c r="P871" s="124"/>
      <c r="Q871" s="124"/>
      <c r="R871" s="117"/>
    </row>
    <row r="872" ht="14.25" customHeight="1">
      <c r="B872" s="22"/>
      <c r="C872" s="22"/>
      <c r="M872" s="88"/>
      <c r="N872" s="31"/>
      <c r="O872" s="159"/>
      <c r="P872" s="124"/>
      <c r="Q872" s="124"/>
      <c r="R872" s="117"/>
    </row>
    <row r="873" ht="14.25" customHeight="1">
      <c r="B873" s="22"/>
      <c r="C873" s="22"/>
      <c r="M873" s="88"/>
      <c r="N873" s="31"/>
      <c r="O873" s="159"/>
      <c r="P873" s="124"/>
      <c r="Q873" s="124"/>
      <c r="R873" s="117"/>
    </row>
    <row r="874" ht="14.25" customHeight="1">
      <c r="B874" s="22"/>
      <c r="C874" s="22"/>
      <c r="M874" s="88"/>
      <c r="N874" s="31"/>
      <c r="O874" s="159"/>
      <c r="P874" s="124"/>
      <c r="Q874" s="124"/>
      <c r="R874" s="117"/>
    </row>
    <row r="875" ht="14.25" customHeight="1">
      <c r="B875" s="22"/>
      <c r="C875" s="22"/>
      <c r="M875" s="88"/>
      <c r="N875" s="31"/>
      <c r="O875" s="159"/>
      <c r="P875" s="124"/>
      <c r="Q875" s="124"/>
      <c r="R875" s="117"/>
    </row>
    <row r="876" ht="14.25" customHeight="1">
      <c r="B876" s="22"/>
      <c r="C876" s="22"/>
      <c r="M876" s="88"/>
      <c r="N876" s="31"/>
      <c r="O876" s="159"/>
      <c r="P876" s="124"/>
      <c r="Q876" s="124"/>
      <c r="R876" s="117"/>
    </row>
    <row r="877" ht="14.25" customHeight="1">
      <c r="B877" s="22"/>
      <c r="C877" s="22"/>
      <c r="M877" s="88"/>
      <c r="N877" s="31"/>
      <c r="O877" s="159"/>
      <c r="P877" s="124"/>
      <c r="Q877" s="124"/>
      <c r="R877" s="117"/>
    </row>
    <row r="878" ht="14.25" customHeight="1">
      <c r="B878" s="22"/>
      <c r="C878" s="22"/>
      <c r="M878" s="88"/>
      <c r="N878" s="31"/>
      <c r="O878" s="159"/>
      <c r="P878" s="124"/>
      <c r="Q878" s="124"/>
      <c r="R878" s="117"/>
    </row>
    <row r="879" ht="14.25" customHeight="1">
      <c r="B879" s="22"/>
      <c r="C879" s="22"/>
      <c r="M879" s="88"/>
      <c r="N879" s="31"/>
      <c r="O879" s="159"/>
      <c r="P879" s="124"/>
      <c r="Q879" s="124"/>
      <c r="R879" s="117"/>
    </row>
    <row r="880" ht="14.25" customHeight="1">
      <c r="B880" s="22"/>
      <c r="C880" s="22"/>
      <c r="M880" s="88"/>
      <c r="N880" s="31"/>
      <c r="O880" s="159"/>
      <c r="P880" s="124"/>
      <c r="Q880" s="124"/>
      <c r="R880" s="117"/>
    </row>
    <row r="881" ht="14.25" customHeight="1">
      <c r="B881" s="22"/>
      <c r="C881" s="22"/>
      <c r="M881" s="88"/>
      <c r="N881" s="31"/>
      <c r="O881" s="159"/>
      <c r="P881" s="124"/>
      <c r="Q881" s="124"/>
      <c r="R881" s="117"/>
    </row>
    <row r="882" ht="14.25" customHeight="1">
      <c r="B882" s="22"/>
      <c r="C882" s="22"/>
      <c r="M882" s="88"/>
      <c r="N882" s="31"/>
      <c r="O882" s="159"/>
      <c r="P882" s="124"/>
      <c r="Q882" s="124"/>
      <c r="R882" s="117"/>
    </row>
    <row r="883" ht="14.25" customHeight="1">
      <c r="B883" s="22"/>
      <c r="C883" s="22"/>
      <c r="M883" s="88"/>
      <c r="N883" s="31"/>
      <c r="O883" s="159"/>
      <c r="P883" s="124"/>
      <c r="Q883" s="124"/>
      <c r="R883" s="117"/>
    </row>
    <row r="884" ht="14.25" customHeight="1">
      <c r="B884" s="22"/>
      <c r="C884" s="22"/>
      <c r="M884" s="88"/>
      <c r="N884" s="31"/>
      <c r="O884" s="159"/>
      <c r="P884" s="124"/>
      <c r="Q884" s="124"/>
      <c r="R884" s="117"/>
    </row>
    <row r="885" ht="14.25" customHeight="1">
      <c r="B885" s="22"/>
      <c r="C885" s="22"/>
      <c r="M885" s="88"/>
      <c r="N885" s="31"/>
      <c r="O885" s="159"/>
      <c r="P885" s="124"/>
      <c r="Q885" s="124"/>
      <c r="R885" s="117"/>
    </row>
    <row r="886" ht="14.25" customHeight="1">
      <c r="B886" s="22"/>
      <c r="C886" s="22"/>
      <c r="M886" s="88"/>
      <c r="N886" s="31"/>
      <c r="O886" s="159"/>
      <c r="P886" s="124"/>
      <c r="Q886" s="124"/>
      <c r="R886" s="117"/>
    </row>
    <row r="887" ht="14.25" customHeight="1">
      <c r="B887" s="22"/>
      <c r="C887" s="22"/>
      <c r="M887" s="88"/>
      <c r="N887" s="31"/>
      <c r="O887" s="159"/>
      <c r="P887" s="124"/>
      <c r="Q887" s="124"/>
      <c r="R887" s="117"/>
    </row>
    <row r="888" ht="14.25" customHeight="1">
      <c r="B888" s="22"/>
      <c r="C888" s="22"/>
      <c r="M888" s="88"/>
      <c r="N888" s="31"/>
      <c r="O888" s="159"/>
      <c r="P888" s="124"/>
      <c r="Q888" s="124"/>
      <c r="R888" s="117"/>
    </row>
    <row r="889" ht="14.25" customHeight="1">
      <c r="B889" s="22"/>
      <c r="C889" s="22"/>
      <c r="M889" s="88"/>
      <c r="N889" s="31"/>
      <c r="O889" s="159"/>
      <c r="P889" s="124"/>
      <c r="Q889" s="124"/>
      <c r="R889" s="117"/>
    </row>
    <row r="890" ht="14.25" customHeight="1">
      <c r="B890" s="22"/>
      <c r="C890" s="22"/>
      <c r="M890" s="88"/>
      <c r="N890" s="31"/>
      <c r="O890" s="159"/>
      <c r="P890" s="124"/>
      <c r="Q890" s="124"/>
      <c r="R890" s="117"/>
    </row>
    <row r="891" ht="14.25" customHeight="1">
      <c r="B891" s="22"/>
      <c r="C891" s="22"/>
      <c r="M891" s="88"/>
      <c r="N891" s="31"/>
      <c r="O891" s="159"/>
      <c r="P891" s="124"/>
      <c r="Q891" s="124"/>
      <c r="R891" s="117"/>
    </row>
    <row r="892" ht="14.25" customHeight="1">
      <c r="B892" s="22"/>
      <c r="C892" s="22"/>
      <c r="M892" s="88"/>
      <c r="N892" s="31"/>
      <c r="O892" s="159"/>
      <c r="P892" s="124"/>
      <c r="Q892" s="124"/>
      <c r="R892" s="117"/>
    </row>
    <row r="893" ht="14.25" customHeight="1">
      <c r="B893" s="22"/>
      <c r="C893" s="22"/>
      <c r="M893" s="88"/>
      <c r="N893" s="31"/>
      <c r="O893" s="159"/>
      <c r="P893" s="124"/>
      <c r="Q893" s="124"/>
      <c r="R893" s="117"/>
    </row>
    <row r="894" ht="14.25" customHeight="1">
      <c r="B894" s="22"/>
      <c r="C894" s="22"/>
      <c r="M894" s="88"/>
      <c r="N894" s="31"/>
      <c r="O894" s="159"/>
      <c r="P894" s="124"/>
      <c r="Q894" s="124"/>
      <c r="R894" s="117"/>
    </row>
    <row r="895" ht="14.25" customHeight="1">
      <c r="B895" s="22"/>
      <c r="C895" s="22"/>
      <c r="M895" s="88"/>
      <c r="N895" s="31"/>
      <c r="O895" s="159"/>
      <c r="P895" s="124"/>
      <c r="Q895" s="124"/>
      <c r="R895" s="117"/>
    </row>
    <row r="896" ht="14.25" customHeight="1">
      <c r="B896" s="22"/>
      <c r="C896" s="22"/>
      <c r="M896" s="88"/>
      <c r="N896" s="31"/>
      <c r="O896" s="159"/>
      <c r="P896" s="124"/>
      <c r="Q896" s="124"/>
      <c r="R896" s="117"/>
    </row>
    <row r="897" ht="14.25" customHeight="1">
      <c r="B897" s="22"/>
      <c r="C897" s="22"/>
      <c r="M897" s="88"/>
      <c r="N897" s="31"/>
      <c r="O897" s="159"/>
      <c r="P897" s="124"/>
      <c r="Q897" s="124"/>
      <c r="R897" s="117"/>
    </row>
    <row r="898" ht="14.25" customHeight="1">
      <c r="B898" s="22"/>
      <c r="C898" s="22"/>
      <c r="M898" s="88"/>
      <c r="N898" s="31"/>
      <c r="O898" s="159"/>
      <c r="P898" s="124"/>
      <c r="Q898" s="124"/>
      <c r="R898" s="117"/>
    </row>
    <row r="899" ht="14.25" customHeight="1">
      <c r="B899" s="22"/>
      <c r="C899" s="22"/>
      <c r="M899" s="88"/>
      <c r="N899" s="31"/>
      <c r="O899" s="159"/>
      <c r="P899" s="124"/>
      <c r="Q899" s="124"/>
      <c r="R899" s="117"/>
    </row>
    <row r="900" ht="14.25" customHeight="1">
      <c r="B900" s="22"/>
      <c r="C900" s="22"/>
      <c r="M900" s="88"/>
      <c r="N900" s="31"/>
      <c r="O900" s="159"/>
      <c r="P900" s="124"/>
      <c r="Q900" s="124"/>
      <c r="R900" s="117"/>
    </row>
    <row r="901" ht="14.25" customHeight="1">
      <c r="B901" s="22"/>
      <c r="C901" s="22"/>
      <c r="M901" s="88"/>
      <c r="N901" s="31"/>
      <c r="O901" s="159"/>
      <c r="P901" s="124"/>
      <c r="Q901" s="124"/>
      <c r="R901" s="117"/>
    </row>
    <row r="902" ht="14.25" customHeight="1">
      <c r="B902" s="22"/>
      <c r="C902" s="22"/>
      <c r="M902" s="88"/>
      <c r="N902" s="31"/>
      <c r="O902" s="159"/>
      <c r="P902" s="124"/>
      <c r="Q902" s="124"/>
      <c r="R902" s="117"/>
    </row>
    <row r="903" ht="14.25" customHeight="1">
      <c r="B903" s="22"/>
      <c r="C903" s="22"/>
      <c r="M903" s="88"/>
      <c r="N903" s="31"/>
      <c r="O903" s="159"/>
      <c r="P903" s="124"/>
      <c r="Q903" s="124"/>
      <c r="R903" s="117"/>
    </row>
    <row r="904" ht="14.25" customHeight="1">
      <c r="B904" s="22"/>
      <c r="C904" s="22"/>
      <c r="M904" s="88"/>
      <c r="N904" s="31"/>
      <c r="O904" s="159"/>
      <c r="P904" s="124"/>
      <c r="Q904" s="124"/>
      <c r="R904" s="117"/>
    </row>
    <row r="905" ht="14.25" customHeight="1">
      <c r="B905" s="22"/>
      <c r="C905" s="22"/>
      <c r="M905" s="88"/>
      <c r="N905" s="31"/>
      <c r="O905" s="159"/>
      <c r="P905" s="124"/>
      <c r="Q905" s="124"/>
      <c r="R905" s="117"/>
    </row>
    <row r="906" ht="14.25" customHeight="1">
      <c r="B906" s="22"/>
      <c r="C906" s="22"/>
      <c r="M906" s="88"/>
      <c r="N906" s="31"/>
      <c r="O906" s="159"/>
      <c r="P906" s="124"/>
      <c r="Q906" s="124"/>
      <c r="R906" s="117"/>
    </row>
    <row r="907" ht="14.25" customHeight="1">
      <c r="B907" s="22"/>
      <c r="C907" s="22"/>
      <c r="M907" s="88"/>
      <c r="N907" s="31"/>
      <c r="O907" s="159"/>
      <c r="P907" s="124"/>
      <c r="Q907" s="124"/>
      <c r="R907" s="117"/>
    </row>
    <row r="908" ht="14.25" customHeight="1">
      <c r="B908" s="22"/>
      <c r="C908" s="22"/>
      <c r="M908" s="88"/>
      <c r="N908" s="31"/>
      <c r="O908" s="159"/>
      <c r="P908" s="124"/>
      <c r="Q908" s="124"/>
      <c r="R908" s="117"/>
    </row>
    <row r="909" ht="14.25" customHeight="1">
      <c r="B909" s="22"/>
      <c r="C909" s="22"/>
      <c r="M909" s="88"/>
      <c r="N909" s="31"/>
      <c r="O909" s="159"/>
      <c r="P909" s="124"/>
      <c r="Q909" s="124"/>
      <c r="R909" s="117"/>
    </row>
    <row r="910" ht="14.25" customHeight="1">
      <c r="B910" s="22"/>
      <c r="C910" s="22"/>
      <c r="M910" s="88"/>
      <c r="N910" s="31"/>
      <c r="O910" s="159"/>
      <c r="P910" s="124"/>
      <c r="Q910" s="124"/>
      <c r="R910" s="117"/>
    </row>
    <row r="911" ht="14.25" customHeight="1">
      <c r="B911" s="22"/>
      <c r="C911" s="22"/>
      <c r="M911" s="88"/>
      <c r="N911" s="31"/>
      <c r="O911" s="159"/>
      <c r="P911" s="124"/>
      <c r="Q911" s="124"/>
      <c r="R911" s="117"/>
    </row>
    <row r="912" ht="14.25" customHeight="1">
      <c r="B912" s="22"/>
      <c r="C912" s="22"/>
      <c r="M912" s="88"/>
      <c r="N912" s="31"/>
      <c r="O912" s="159"/>
      <c r="P912" s="124"/>
      <c r="Q912" s="124"/>
      <c r="R912" s="117"/>
    </row>
    <row r="913" ht="14.25" customHeight="1">
      <c r="B913" s="22"/>
      <c r="C913" s="22"/>
      <c r="M913" s="88"/>
      <c r="N913" s="31"/>
      <c r="O913" s="159"/>
      <c r="P913" s="124"/>
      <c r="Q913" s="124"/>
      <c r="R913" s="117"/>
    </row>
    <row r="914" ht="14.25" customHeight="1">
      <c r="B914" s="22"/>
      <c r="C914" s="22"/>
      <c r="M914" s="88"/>
      <c r="N914" s="31"/>
      <c r="O914" s="159"/>
      <c r="P914" s="124"/>
      <c r="Q914" s="124"/>
      <c r="R914" s="117"/>
    </row>
    <row r="915" ht="14.25" customHeight="1">
      <c r="B915" s="22"/>
      <c r="C915" s="22"/>
      <c r="M915" s="88"/>
      <c r="N915" s="31"/>
      <c r="O915" s="159"/>
      <c r="P915" s="124"/>
      <c r="Q915" s="124"/>
      <c r="R915" s="117"/>
    </row>
    <row r="916" ht="14.25" customHeight="1">
      <c r="B916" s="22"/>
      <c r="C916" s="22"/>
      <c r="M916" s="88"/>
      <c r="N916" s="31"/>
      <c r="O916" s="159"/>
      <c r="P916" s="124"/>
      <c r="Q916" s="124"/>
      <c r="R916" s="117"/>
    </row>
    <row r="917" ht="14.25" customHeight="1">
      <c r="B917" s="22"/>
      <c r="C917" s="22"/>
      <c r="M917" s="88"/>
      <c r="N917" s="31"/>
      <c r="O917" s="159"/>
      <c r="P917" s="124"/>
      <c r="Q917" s="124"/>
      <c r="R917" s="117"/>
    </row>
    <row r="918" ht="14.25" customHeight="1">
      <c r="B918" s="22"/>
      <c r="C918" s="22"/>
      <c r="M918" s="88"/>
      <c r="N918" s="31"/>
      <c r="O918" s="159"/>
      <c r="P918" s="124"/>
      <c r="Q918" s="124"/>
      <c r="R918" s="117"/>
    </row>
    <row r="919" ht="14.25" customHeight="1">
      <c r="B919" s="22"/>
      <c r="C919" s="22"/>
      <c r="M919" s="88"/>
      <c r="N919" s="31"/>
      <c r="O919" s="159"/>
      <c r="P919" s="124"/>
      <c r="Q919" s="124"/>
      <c r="R919" s="117"/>
    </row>
    <row r="920" ht="14.25" customHeight="1">
      <c r="B920" s="22"/>
      <c r="C920" s="22"/>
      <c r="M920" s="88"/>
      <c r="N920" s="31"/>
      <c r="O920" s="159"/>
      <c r="P920" s="124"/>
      <c r="Q920" s="124"/>
      <c r="R920" s="117"/>
    </row>
    <row r="921" ht="14.25" customHeight="1">
      <c r="B921" s="22"/>
      <c r="C921" s="22"/>
      <c r="M921" s="88"/>
      <c r="N921" s="31"/>
      <c r="O921" s="159"/>
      <c r="P921" s="124"/>
      <c r="Q921" s="124"/>
      <c r="R921" s="117"/>
    </row>
    <row r="922" ht="14.25" customHeight="1">
      <c r="B922" s="22"/>
      <c r="C922" s="22"/>
      <c r="M922" s="88"/>
      <c r="N922" s="31"/>
      <c r="O922" s="159"/>
      <c r="P922" s="124"/>
      <c r="Q922" s="124"/>
      <c r="R922" s="117"/>
    </row>
    <row r="923" ht="14.25" customHeight="1">
      <c r="B923" s="22"/>
      <c r="C923" s="22"/>
      <c r="M923" s="88"/>
      <c r="N923" s="31"/>
      <c r="O923" s="159"/>
      <c r="P923" s="124"/>
      <c r="Q923" s="124"/>
      <c r="R923" s="117"/>
    </row>
    <row r="924" ht="14.25" customHeight="1">
      <c r="B924" s="22"/>
      <c r="C924" s="22"/>
      <c r="M924" s="88"/>
      <c r="N924" s="31"/>
      <c r="O924" s="159"/>
      <c r="P924" s="124"/>
      <c r="Q924" s="124"/>
      <c r="R924" s="117"/>
    </row>
    <row r="925" ht="14.25" customHeight="1">
      <c r="B925" s="22"/>
      <c r="C925" s="22"/>
      <c r="M925" s="88"/>
      <c r="N925" s="31"/>
      <c r="O925" s="159"/>
      <c r="P925" s="124"/>
      <c r="Q925" s="124"/>
      <c r="R925" s="117"/>
    </row>
    <row r="926" ht="14.25" customHeight="1">
      <c r="B926" s="22"/>
      <c r="C926" s="22"/>
      <c r="M926" s="88"/>
      <c r="N926" s="31"/>
      <c r="O926" s="159"/>
      <c r="P926" s="124"/>
      <c r="Q926" s="124"/>
      <c r="R926" s="117"/>
    </row>
    <row r="927" ht="14.25" customHeight="1">
      <c r="B927" s="22"/>
      <c r="C927" s="22"/>
      <c r="M927" s="88"/>
      <c r="N927" s="31"/>
      <c r="O927" s="159"/>
      <c r="P927" s="124"/>
      <c r="Q927" s="124"/>
      <c r="R927" s="117"/>
    </row>
    <row r="928" ht="14.25" customHeight="1">
      <c r="B928" s="22"/>
      <c r="C928" s="22"/>
      <c r="M928" s="88"/>
      <c r="N928" s="31"/>
      <c r="O928" s="159"/>
      <c r="P928" s="124"/>
      <c r="Q928" s="124"/>
      <c r="R928" s="117"/>
    </row>
    <row r="929" ht="14.25" customHeight="1">
      <c r="B929" s="22"/>
      <c r="C929" s="22"/>
      <c r="M929" s="88"/>
      <c r="N929" s="31"/>
      <c r="O929" s="159"/>
      <c r="P929" s="124"/>
      <c r="Q929" s="124"/>
      <c r="R929" s="117"/>
    </row>
    <row r="930" ht="14.25" customHeight="1">
      <c r="B930" s="22"/>
      <c r="C930" s="22"/>
      <c r="M930" s="88"/>
      <c r="N930" s="31"/>
      <c r="O930" s="159"/>
      <c r="P930" s="124"/>
      <c r="Q930" s="124"/>
      <c r="R930" s="117"/>
    </row>
    <row r="931" ht="14.25" customHeight="1">
      <c r="B931" s="22"/>
      <c r="C931" s="22"/>
      <c r="M931" s="88"/>
      <c r="N931" s="31"/>
      <c r="O931" s="159"/>
      <c r="P931" s="124"/>
      <c r="Q931" s="124"/>
      <c r="R931" s="117"/>
    </row>
    <row r="932" ht="14.25" customHeight="1">
      <c r="B932" s="22"/>
      <c r="C932" s="22"/>
      <c r="M932" s="88"/>
      <c r="N932" s="31"/>
      <c r="O932" s="159"/>
      <c r="P932" s="124"/>
      <c r="Q932" s="124"/>
      <c r="R932" s="117"/>
    </row>
    <row r="933" ht="14.25" customHeight="1">
      <c r="B933" s="22"/>
      <c r="C933" s="22"/>
      <c r="M933" s="88"/>
      <c r="N933" s="31"/>
      <c r="O933" s="159"/>
      <c r="P933" s="124"/>
      <c r="Q933" s="124"/>
      <c r="R933" s="117"/>
    </row>
    <row r="934" ht="14.25" customHeight="1">
      <c r="B934" s="22"/>
      <c r="C934" s="22"/>
      <c r="M934" s="88"/>
      <c r="N934" s="31"/>
      <c r="O934" s="159"/>
      <c r="P934" s="124"/>
      <c r="Q934" s="124"/>
      <c r="R934" s="117"/>
    </row>
    <row r="935" ht="14.25" customHeight="1">
      <c r="B935" s="22"/>
      <c r="C935" s="22"/>
      <c r="M935" s="88"/>
      <c r="N935" s="31"/>
      <c r="O935" s="159"/>
      <c r="P935" s="124"/>
      <c r="Q935" s="124"/>
      <c r="R935" s="117"/>
    </row>
    <row r="936" ht="14.25" customHeight="1">
      <c r="B936" s="22"/>
      <c r="C936" s="22"/>
      <c r="M936" s="88"/>
      <c r="N936" s="31"/>
      <c r="O936" s="159"/>
      <c r="P936" s="124"/>
      <c r="Q936" s="124"/>
      <c r="R936" s="117"/>
    </row>
    <row r="937" ht="14.25" customHeight="1">
      <c r="B937" s="22"/>
      <c r="C937" s="22"/>
      <c r="M937" s="88"/>
      <c r="N937" s="31"/>
      <c r="O937" s="159"/>
      <c r="P937" s="124"/>
      <c r="Q937" s="124"/>
      <c r="R937" s="117"/>
    </row>
    <row r="938" ht="14.25" customHeight="1">
      <c r="B938" s="22"/>
      <c r="C938" s="22"/>
      <c r="M938" s="88"/>
      <c r="N938" s="31"/>
      <c r="O938" s="159"/>
      <c r="P938" s="124"/>
      <c r="Q938" s="124"/>
      <c r="R938" s="117"/>
    </row>
    <row r="939" ht="14.25" customHeight="1">
      <c r="B939" s="22"/>
      <c r="C939" s="22"/>
      <c r="M939" s="88"/>
      <c r="N939" s="31"/>
      <c r="O939" s="159"/>
      <c r="P939" s="124"/>
      <c r="Q939" s="124"/>
      <c r="R939" s="117"/>
    </row>
    <row r="940" ht="14.25" customHeight="1">
      <c r="B940" s="22"/>
      <c r="C940" s="22"/>
      <c r="M940" s="88"/>
      <c r="N940" s="31"/>
      <c r="O940" s="159"/>
      <c r="P940" s="124"/>
      <c r="Q940" s="124"/>
      <c r="R940" s="117"/>
    </row>
    <row r="941" ht="14.25" customHeight="1">
      <c r="B941" s="22"/>
      <c r="C941" s="22"/>
      <c r="M941" s="88"/>
      <c r="N941" s="31"/>
      <c r="O941" s="159"/>
      <c r="P941" s="124"/>
      <c r="Q941" s="124"/>
      <c r="R941" s="117"/>
    </row>
    <row r="942" ht="14.25" customHeight="1">
      <c r="B942" s="22"/>
      <c r="C942" s="22"/>
      <c r="M942" s="88"/>
      <c r="N942" s="31"/>
      <c r="O942" s="159"/>
      <c r="P942" s="124"/>
      <c r="Q942" s="124"/>
      <c r="R942" s="117"/>
    </row>
    <row r="943" ht="14.25" customHeight="1">
      <c r="B943" s="22"/>
      <c r="C943" s="22"/>
      <c r="M943" s="88"/>
      <c r="N943" s="31"/>
      <c r="O943" s="159"/>
      <c r="P943" s="124"/>
      <c r="Q943" s="124"/>
      <c r="R943" s="117"/>
    </row>
    <row r="944" ht="14.25" customHeight="1">
      <c r="B944" s="22"/>
      <c r="C944" s="22"/>
      <c r="M944" s="88"/>
      <c r="N944" s="31"/>
      <c r="O944" s="159"/>
      <c r="P944" s="124"/>
      <c r="Q944" s="124"/>
      <c r="R944" s="117"/>
    </row>
    <row r="945" ht="14.25" customHeight="1">
      <c r="B945" s="22"/>
      <c r="C945" s="22"/>
      <c r="M945" s="88"/>
      <c r="N945" s="31"/>
      <c r="O945" s="159"/>
      <c r="P945" s="124"/>
      <c r="Q945" s="124"/>
      <c r="R945" s="117"/>
    </row>
    <row r="946" ht="14.25" customHeight="1">
      <c r="B946" s="22"/>
      <c r="C946" s="22"/>
      <c r="M946" s="88"/>
      <c r="N946" s="31"/>
      <c r="O946" s="159"/>
      <c r="P946" s="124"/>
      <c r="Q946" s="124"/>
      <c r="R946" s="117"/>
    </row>
    <row r="947" ht="14.25" customHeight="1">
      <c r="B947" s="22"/>
      <c r="C947" s="22"/>
      <c r="M947" s="88"/>
      <c r="N947" s="31"/>
      <c r="O947" s="159"/>
      <c r="P947" s="124"/>
      <c r="Q947" s="124"/>
      <c r="R947" s="117"/>
    </row>
    <row r="948" ht="14.25" customHeight="1">
      <c r="B948" s="22"/>
      <c r="C948" s="22"/>
      <c r="M948" s="88"/>
      <c r="N948" s="31"/>
      <c r="O948" s="159"/>
      <c r="P948" s="124"/>
      <c r="Q948" s="124"/>
      <c r="R948" s="117"/>
    </row>
    <row r="949" ht="14.25" customHeight="1">
      <c r="B949" s="22"/>
      <c r="C949" s="22"/>
      <c r="M949" s="88"/>
      <c r="N949" s="31"/>
      <c r="O949" s="159"/>
      <c r="P949" s="124"/>
      <c r="Q949" s="124"/>
      <c r="R949" s="117"/>
    </row>
    <row r="950" ht="14.25" customHeight="1">
      <c r="B950" s="22"/>
      <c r="C950" s="22"/>
      <c r="M950" s="88"/>
      <c r="N950" s="31"/>
      <c r="O950" s="159"/>
      <c r="P950" s="124"/>
      <c r="Q950" s="124"/>
      <c r="R950" s="117"/>
    </row>
    <row r="951" ht="14.25" customHeight="1">
      <c r="B951" s="22"/>
      <c r="C951" s="22"/>
      <c r="M951" s="88"/>
      <c r="N951" s="31"/>
      <c r="O951" s="159"/>
      <c r="P951" s="124"/>
      <c r="Q951" s="124"/>
      <c r="R951" s="117"/>
    </row>
    <row r="952" ht="14.25" customHeight="1">
      <c r="B952" s="22"/>
      <c r="C952" s="22"/>
      <c r="M952" s="88"/>
      <c r="N952" s="31"/>
      <c r="O952" s="159"/>
      <c r="P952" s="124"/>
      <c r="Q952" s="124"/>
      <c r="R952" s="117"/>
    </row>
    <row r="953" ht="14.25" customHeight="1">
      <c r="B953" s="22"/>
      <c r="C953" s="22"/>
      <c r="M953" s="88"/>
      <c r="N953" s="31"/>
      <c r="O953" s="159"/>
      <c r="P953" s="124"/>
      <c r="Q953" s="124"/>
      <c r="R953" s="117"/>
    </row>
    <row r="954" ht="14.25" customHeight="1">
      <c r="B954" s="22"/>
      <c r="C954" s="22"/>
      <c r="M954" s="88"/>
      <c r="N954" s="31"/>
      <c r="O954" s="159"/>
      <c r="P954" s="124"/>
      <c r="Q954" s="124"/>
      <c r="R954" s="117"/>
    </row>
    <row r="955" ht="14.25" customHeight="1">
      <c r="B955" s="22"/>
      <c r="C955" s="22"/>
      <c r="M955" s="88"/>
      <c r="N955" s="31"/>
      <c r="O955" s="159"/>
      <c r="P955" s="124"/>
      <c r="Q955" s="124"/>
      <c r="R955" s="117"/>
    </row>
    <row r="956" ht="14.25" customHeight="1">
      <c r="B956" s="22"/>
      <c r="C956" s="22"/>
      <c r="M956" s="88"/>
      <c r="N956" s="31"/>
      <c r="O956" s="159"/>
      <c r="P956" s="124"/>
      <c r="Q956" s="124"/>
      <c r="R956" s="117"/>
    </row>
    <row r="957" ht="14.25" customHeight="1">
      <c r="B957" s="22"/>
      <c r="C957" s="22"/>
      <c r="M957" s="88"/>
      <c r="N957" s="31"/>
      <c r="O957" s="159"/>
      <c r="P957" s="124"/>
      <c r="Q957" s="124"/>
      <c r="R957" s="117"/>
    </row>
    <row r="958" ht="14.25" customHeight="1">
      <c r="B958" s="22"/>
      <c r="C958" s="22"/>
      <c r="M958" s="88"/>
      <c r="N958" s="31"/>
      <c r="O958" s="159"/>
      <c r="P958" s="124"/>
      <c r="Q958" s="124"/>
      <c r="R958" s="117"/>
    </row>
    <row r="959" ht="14.25" customHeight="1">
      <c r="B959" s="22"/>
      <c r="C959" s="22"/>
      <c r="M959" s="88"/>
      <c r="N959" s="31"/>
      <c r="O959" s="159"/>
      <c r="P959" s="124"/>
      <c r="Q959" s="124"/>
      <c r="R959" s="117"/>
    </row>
    <row r="960" ht="14.25" customHeight="1">
      <c r="B960" s="22"/>
      <c r="C960" s="22"/>
      <c r="M960" s="88"/>
      <c r="N960" s="31"/>
      <c r="O960" s="159"/>
      <c r="P960" s="124"/>
      <c r="Q960" s="124"/>
      <c r="R960" s="117"/>
    </row>
    <row r="961" ht="14.25" customHeight="1">
      <c r="B961" s="22"/>
      <c r="C961" s="22"/>
      <c r="M961" s="88"/>
      <c r="N961" s="31"/>
      <c r="O961" s="159"/>
      <c r="P961" s="124"/>
      <c r="Q961" s="124"/>
      <c r="R961" s="117"/>
    </row>
    <row r="962" ht="14.25" customHeight="1">
      <c r="B962" s="22"/>
      <c r="C962" s="22"/>
      <c r="M962" s="88"/>
      <c r="N962" s="31"/>
      <c r="O962" s="159"/>
      <c r="P962" s="124"/>
      <c r="Q962" s="124"/>
      <c r="R962" s="117"/>
    </row>
    <row r="963" ht="14.25" customHeight="1">
      <c r="B963" s="22"/>
      <c r="C963" s="22"/>
      <c r="M963" s="88"/>
      <c r="N963" s="31"/>
      <c r="O963" s="159"/>
      <c r="P963" s="124"/>
      <c r="Q963" s="124"/>
      <c r="R963" s="117"/>
    </row>
    <row r="964" ht="14.25" customHeight="1">
      <c r="B964" s="22"/>
      <c r="C964" s="22"/>
      <c r="M964" s="88"/>
      <c r="N964" s="31"/>
      <c r="O964" s="159"/>
      <c r="P964" s="124"/>
      <c r="Q964" s="124"/>
      <c r="R964" s="117"/>
    </row>
    <row r="965" ht="14.25" customHeight="1">
      <c r="B965" s="22"/>
      <c r="C965" s="22"/>
      <c r="M965" s="88"/>
      <c r="N965" s="31"/>
      <c r="O965" s="159"/>
      <c r="P965" s="124"/>
      <c r="Q965" s="124"/>
      <c r="R965" s="117"/>
    </row>
    <row r="966" ht="14.25" customHeight="1">
      <c r="B966" s="22"/>
      <c r="C966" s="22"/>
      <c r="M966" s="88"/>
      <c r="N966" s="31"/>
      <c r="O966" s="159"/>
      <c r="P966" s="124"/>
      <c r="Q966" s="124"/>
      <c r="R966" s="117"/>
    </row>
    <row r="967" ht="14.25" customHeight="1">
      <c r="B967" s="22"/>
      <c r="C967" s="22"/>
      <c r="M967" s="88"/>
      <c r="N967" s="31"/>
      <c r="O967" s="159"/>
      <c r="P967" s="124"/>
      <c r="Q967" s="124"/>
      <c r="R967" s="117"/>
    </row>
    <row r="968" ht="14.25" customHeight="1">
      <c r="B968" s="22"/>
      <c r="C968" s="22"/>
      <c r="M968" s="88"/>
      <c r="N968" s="31"/>
      <c r="O968" s="159"/>
      <c r="P968" s="124"/>
      <c r="Q968" s="124"/>
      <c r="R968" s="117"/>
    </row>
    <row r="969" ht="14.25" customHeight="1">
      <c r="B969" s="22"/>
      <c r="C969" s="22"/>
      <c r="M969" s="88"/>
      <c r="N969" s="31"/>
      <c r="O969" s="159"/>
      <c r="P969" s="124"/>
      <c r="Q969" s="124"/>
      <c r="R969" s="117"/>
    </row>
    <row r="970" ht="14.25" customHeight="1">
      <c r="B970" s="22"/>
      <c r="C970" s="22"/>
      <c r="M970" s="88"/>
      <c r="N970" s="31"/>
      <c r="O970" s="159"/>
      <c r="P970" s="124"/>
      <c r="Q970" s="124"/>
      <c r="R970" s="117"/>
    </row>
    <row r="971" ht="14.25" customHeight="1">
      <c r="B971" s="22"/>
      <c r="C971" s="22"/>
      <c r="M971" s="88"/>
      <c r="N971" s="31"/>
      <c r="O971" s="159"/>
      <c r="P971" s="124"/>
      <c r="Q971" s="124"/>
      <c r="R971" s="117"/>
    </row>
    <row r="972" ht="14.25" customHeight="1">
      <c r="B972" s="22"/>
      <c r="C972" s="22"/>
      <c r="M972" s="88"/>
      <c r="N972" s="31"/>
      <c r="O972" s="159"/>
      <c r="P972" s="124"/>
      <c r="Q972" s="124"/>
      <c r="R972" s="117"/>
    </row>
    <row r="973" ht="14.25" customHeight="1">
      <c r="B973" s="22"/>
      <c r="C973" s="22"/>
      <c r="M973" s="88"/>
      <c r="N973" s="31"/>
      <c r="O973" s="159"/>
      <c r="P973" s="124"/>
      <c r="Q973" s="124"/>
      <c r="R973" s="117"/>
    </row>
    <row r="974" ht="14.25" customHeight="1">
      <c r="B974" s="22"/>
      <c r="C974" s="22"/>
      <c r="M974" s="88"/>
      <c r="N974" s="31"/>
      <c r="O974" s="159"/>
      <c r="P974" s="124"/>
      <c r="Q974" s="124"/>
      <c r="R974" s="117"/>
    </row>
    <row r="975" ht="14.25" customHeight="1">
      <c r="B975" s="22"/>
      <c r="C975" s="22"/>
      <c r="M975" s="88"/>
      <c r="N975" s="31"/>
      <c r="O975" s="159"/>
      <c r="P975" s="124"/>
      <c r="Q975" s="124"/>
      <c r="R975" s="117"/>
    </row>
    <row r="976" ht="14.25" customHeight="1">
      <c r="B976" s="22"/>
      <c r="C976" s="22"/>
      <c r="M976" s="88"/>
      <c r="N976" s="31"/>
      <c r="O976" s="159"/>
      <c r="P976" s="124"/>
      <c r="Q976" s="124"/>
      <c r="R976" s="117"/>
    </row>
    <row r="977" ht="14.25" customHeight="1">
      <c r="B977" s="22"/>
      <c r="C977" s="22"/>
      <c r="M977" s="88"/>
      <c r="N977" s="31"/>
      <c r="O977" s="159"/>
      <c r="P977" s="124"/>
      <c r="Q977" s="124"/>
      <c r="R977" s="117"/>
    </row>
    <row r="978" ht="14.25" customHeight="1">
      <c r="B978" s="22"/>
      <c r="C978" s="22"/>
      <c r="M978" s="88"/>
      <c r="N978" s="31"/>
      <c r="O978" s="159"/>
      <c r="P978" s="124"/>
      <c r="Q978" s="124"/>
      <c r="R978" s="117"/>
    </row>
    <row r="979" ht="14.25" customHeight="1">
      <c r="B979" s="22"/>
      <c r="C979" s="22"/>
      <c r="M979" s="88"/>
      <c r="N979" s="31"/>
      <c r="O979" s="159"/>
      <c r="P979" s="124"/>
      <c r="Q979" s="124"/>
      <c r="R979" s="117"/>
    </row>
    <row r="980" ht="14.25" customHeight="1">
      <c r="B980" s="22"/>
      <c r="C980" s="22"/>
      <c r="M980" s="88"/>
      <c r="N980" s="31"/>
      <c r="O980" s="159"/>
      <c r="P980" s="124"/>
      <c r="Q980" s="124"/>
      <c r="R980" s="117"/>
    </row>
    <row r="981" ht="14.25" customHeight="1">
      <c r="B981" s="22"/>
      <c r="C981" s="22"/>
      <c r="M981" s="88"/>
      <c r="N981" s="31"/>
      <c r="O981" s="159"/>
      <c r="P981" s="124"/>
      <c r="Q981" s="124"/>
      <c r="R981" s="117"/>
    </row>
    <row r="982" ht="14.25" customHeight="1">
      <c r="B982" s="22"/>
      <c r="C982" s="22"/>
      <c r="M982" s="88"/>
      <c r="N982" s="31"/>
      <c r="O982" s="159"/>
      <c r="P982" s="124"/>
      <c r="Q982" s="124"/>
      <c r="R982" s="117"/>
    </row>
    <row r="983" ht="14.25" customHeight="1">
      <c r="B983" s="22"/>
      <c r="C983" s="22"/>
      <c r="M983" s="88"/>
      <c r="N983" s="31"/>
      <c r="O983" s="159"/>
      <c r="P983" s="124"/>
      <c r="Q983" s="124"/>
      <c r="R983" s="117"/>
    </row>
    <row r="984" ht="14.25" customHeight="1">
      <c r="B984" s="22"/>
      <c r="C984" s="22"/>
      <c r="M984" s="88"/>
      <c r="N984" s="31"/>
      <c r="O984" s="159"/>
      <c r="P984" s="124"/>
      <c r="Q984" s="124"/>
      <c r="R984" s="117"/>
    </row>
    <row r="985" ht="14.25" customHeight="1">
      <c r="B985" s="22"/>
      <c r="C985" s="22"/>
      <c r="M985" s="88"/>
      <c r="N985" s="31"/>
      <c r="O985" s="159"/>
      <c r="P985" s="124"/>
      <c r="Q985" s="124"/>
      <c r="R985" s="117"/>
    </row>
    <row r="986" ht="14.25" customHeight="1">
      <c r="B986" s="22"/>
      <c r="C986" s="22"/>
      <c r="M986" s="88"/>
      <c r="N986" s="31"/>
      <c r="O986" s="159"/>
      <c r="P986" s="124"/>
      <c r="Q986" s="124"/>
      <c r="R986" s="117"/>
    </row>
    <row r="987" ht="14.25" customHeight="1">
      <c r="B987" s="22"/>
      <c r="C987" s="22"/>
      <c r="M987" s="88"/>
      <c r="N987" s="31"/>
      <c r="O987" s="159"/>
      <c r="P987" s="124"/>
      <c r="Q987" s="124"/>
      <c r="R987" s="117"/>
    </row>
    <row r="988" ht="14.25" customHeight="1">
      <c r="B988" s="22"/>
      <c r="C988" s="22"/>
      <c r="M988" s="88"/>
      <c r="N988" s="31"/>
      <c r="O988" s="159"/>
      <c r="P988" s="124"/>
      <c r="Q988" s="124"/>
      <c r="R988" s="117"/>
    </row>
    <row r="989" ht="14.25" customHeight="1">
      <c r="B989" s="22"/>
      <c r="C989" s="22"/>
      <c r="M989" s="88"/>
      <c r="N989" s="31"/>
      <c r="O989" s="159"/>
      <c r="P989" s="124"/>
      <c r="Q989" s="124"/>
      <c r="R989" s="117"/>
    </row>
    <row r="990" ht="14.25" customHeight="1">
      <c r="B990" s="22"/>
      <c r="C990" s="22"/>
      <c r="M990" s="88"/>
      <c r="N990" s="31"/>
      <c r="O990" s="159"/>
      <c r="P990" s="124"/>
      <c r="Q990" s="124"/>
      <c r="R990" s="117"/>
    </row>
    <row r="991" ht="14.25" customHeight="1">
      <c r="B991" s="22"/>
      <c r="C991" s="22"/>
      <c r="M991" s="88"/>
      <c r="N991" s="31"/>
      <c r="O991" s="159"/>
      <c r="P991" s="124"/>
      <c r="Q991" s="124"/>
      <c r="R991" s="117"/>
    </row>
    <row r="992" ht="14.25" customHeight="1">
      <c r="B992" s="22"/>
      <c r="C992" s="22"/>
      <c r="M992" s="88"/>
      <c r="N992" s="31"/>
      <c r="O992" s="159"/>
      <c r="P992" s="124"/>
      <c r="Q992" s="124"/>
      <c r="R992" s="117"/>
    </row>
    <row r="993" ht="14.25" customHeight="1">
      <c r="B993" s="22"/>
      <c r="C993" s="22"/>
      <c r="M993" s="88"/>
      <c r="N993" s="31"/>
      <c r="O993" s="159"/>
      <c r="P993" s="124"/>
      <c r="Q993" s="124"/>
      <c r="R993" s="117"/>
    </row>
    <row r="994" ht="14.25" customHeight="1">
      <c r="B994" s="22"/>
      <c r="C994" s="22"/>
      <c r="M994" s="88"/>
      <c r="N994" s="31"/>
      <c r="O994" s="159"/>
      <c r="P994" s="124"/>
      <c r="Q994" s="124"/>
      <c r="R994" s="117"/>
    </row>
    <row r="995" ht="14.25" customHeight="1">
      <c r="B995" s="22"/>
      <c r="C995" s="22"/>
      <c r="M995" s="88"/>
      <c r="N995" s="31"/>
      <c r="O995" s="159"/>
      <c r="P995" s="124"/>
      <c r="Q995" s="124"/>
      <c r="R995" s="117"/>
    </row>
    <row r="996" ht="14.25" customHeight="1">
      <c r="B996" s="22"/>
      <c r="C996" s="22"/>
      <c r="M996" s="88"/>
      <c r="N996" s="31"/>
      <c r="O996" s="159"/>
      <c r="P996" s="124"/>
      <c r="Q996" s="124"/>
      <c r="R996" s="117"/>
    </row>
    <row r="997" ht="14.25" customHeight="1">
      <c r="B997" s="22"/>
      <c r="C997" s="22"/>
      <c r="M997" s="88"/>
      <c r="N997" s="31"/>
      <c r="O997" s="159"/>
      <c r="P997" s="124"/>
      <c r="Q997" s="124"/>
      <c r="R997" s="117"/>
    </row>
    <row r="998" ht="14.25" customHeight="1">
      <c r="B998" s="22"/>
      <c r="C998" s="22"/>
      <c r="M998" s="88"/>
      <c r="N998" s="31"/>
      <c r="O998" s="159"/>
      <c r="P998" s="124"/>
      <c r="Q998" s="124"/>
      <c r="R998" s="117"/>
    </row>
    <row r="999" ht="14.25" customHeight="1">
      <c r="B999" s="22"/>
      <c r="C999" s="22"/>
      <c r="M999" s="88"/>
      <c r="N999" s="31"/>
      <c r="O999" s="159"/>
      <c r="P999" s="124"/>
      <c r="Q999" s="124"/>
      <c r="R999" s="117"/>
    </row>
    <row r="1000" ht="14.25" customHeight="1">
      <c r="B1000" s="22"/>
      <c r="C1000" s="22"/>
      <c r="M1000" s="88"/>
      <c r="N1000" s="31"/>
      <c r="O1000" s="159"/>
      <c r="P1000" s="124"/>
      <c r="Q1000" s="124"/>
      <c r="R1000" s="117"/>
    </row>
  </sheetData>
  <mergeCells count="19">
    <mergeCell ref="A1:A2"/>
    <mergeCell ref="B1:C1"/>
    <mergeCell ref="F1:F2"/>
    <mergeCell ref="K1:K2"/>
    <mergeCell ref="B2:C2"/>
    <mergeCell ref="A3:C3"/>
    <mergeCell ref="P3:R3"/>
    <mergeCell ref="A65:C65"/>
    <mergeCell ref="R65:S65"/>
    <mergeCell ref="A73:C77"/>
    <mergeCell ref="A81:C82"/>
    <mergeCell ref="A85:C87"/>
    <mergeCell ref="S39:X39"/>
    <mergeCell ref="S47:S56"/>
    <mergeCell ref="B54:B55"/>
    <mergeCell ref="C54:C55"/>
    <mergeCell ref="P54:P55"/>
    <mergeCell ref="Q54:Q55"/>
    <mergeCell ref="S57:S58"/>
  </mergeCells>
  <printOptions/>
  <pageMargins bottom="0.75" footer="0.0" header="0.0" left="0.7" right="0.7" top="0.75"/>
  <pageSetup paperSize="9" orientation="portrait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2006-09-28T05:33:49Z</dcterms:created>
</cp:coreProperties>
</file>